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autoCompressPictures="0" defaultThemeVersion="124226"/>
  <bookViews>
    <workbookView xWindow="960" yWindow="480" windowWidth="18024" windowHeight="8076" tabRatio="709" firstSheet="1" activeTab="4"/>
  </bookViews>
  <sheets>
    <sheet name="XFLR5 Twist Study" sheetId="24" r:id="rId1"/>
    <sheet name="XFLR5 ReTwist Study" sheetId="25" r:id="rId2"/>
    <sheet name="XFLR5 Outs" sheetId="19" r:id="rId3"/>
    <sheet name="XFLR5 Lift Distribution" sheetId="33" r:id="rId4"/>
    <sheet name="CD0" sheetId="5" r:id="rId5"/>
    <sheet name="CoolingDrag_IC" sheetId="28" r:id="rId6"/>
    <sheet name="CoolingDrag_Electric" sheetId="34" r:id="rId7"/>
    <sheet name="Drag Polar Clean" sheetId="20" r:id="rId8"/>
    <sheet name="CD0 High Lift" sheetId="30" r:id="rId9"/>
    <sheet name="Drag Polar High Lift" sheetId="31" r:id="rId10"/>
    <sheet name="Comparison" sheetId="23" r:id="rId11"/>
  </sheets>
  <definedNames>
    <definedName name="Aexit" localSheetId="6">CoolingDrag_Electric!$G$55</definedName>
    <definedName name="Aexit">CoolingDrag_IC!$G$60</definedName>
    <definedName name="Aexit2" localSheetId="6">CoolingDrag_Electric!$P$55</definedName>
    <definedName name="Aexit2">CoolingDrag_IC!$P$60</definedName>
    <definedName name="Cbar" localSheetId="7">'Drag Polar Clean'!$B$3</definedName>
    <definedName name="Cbar" localSheetId="9">'Drag Polar High Lift'!$B$3</definedName>
    <definedName name="CG_Loc" localSheetId="7">'Drag Polar Clean'!$B$7</definedName>
    <definedName name="Cp" localSheetId="4">CD0!$B$45</definedName>
    <definedName name="Cp" localSheetId="8">'CD0 High Lift'!$B$45</definedName>
    <definedName name="Den" localSheetId="4">CD0!$B$6</definedName>
    <definedName name="Den" localSheetId="8">'CD0 High Lift'!$B$6</definedName>
    <definedName name="Mach" localSheetId="4">CD0!$B$5</definedName>
    <definedName name="Mach" localSheetId="8">'CD0 High Lift'!$B$5</definedName>
    <definedName name="mdot_cool" localSheetId="6">CoolingDrag_Electric!$G$45</definedName>
    <definedName name="mdot_cool">CoolingDrag_IC!$G$50</definedName>
    <definedName name="mdot_cool2" localSheetId="6">CoolingDrag_Electric!$P$45</definedName>
    <definedName name="mdot_cool2">CoolingDrag_IC!$P$50</definedName>
    <definedName name="pexit" localSheetId="6">CoolingDrag_Electric!$G$49</definedName>
    <definedName name="pexit">CoolingDrag_IC!$G$54</definedName>
    <definedName name="pexit2" localSheetId="6">CoolingDrag_Electric!$P$49</definedName>
    <definedName name="pexit2">CoolingDrag_IC!$P$54</definedName>
    <definedName name="pinf" localSheetId="6">CoolingDrag_Electric!$B$21</definedName>
    <definedName name="pinf">CoolingDrag_IC!$B$21</definedName>
    <definedName name="pinf2" localSheetId="6">CoolingDrag_Electric!$K$22</definedName>
    <definedName name="pinf2">CoolingDrag_IC!$K$23</definedName>
    <definedName name="qinf" localSheetId="6">CoolingDrag_Electric!$B$22</definedName>
    <definedName name="qinf">CoolingDrag_IC!$B$22</definedName>
    <definedName name="qinf2" localSheetId="6">CoolingDrag_Electric!$K$23</definedName>
    <definedName name="qinf2">CoolingDrag_IC!$K$24</definedName>
    <definedName name="Ref_Area" localSheetId="4">CD0!$B$12</definedName>
    <definedName name="Ref_Area" localSheetId="8">'CD0 High Lift'!$B$12</definedName>
    <definedName name="rhoexit" localSheetId="6">CoolingDrag_Electric!$G$52</definedName>
    <definedName name="rhoexit">CoolingDrag_IC!$G$57</definedName>
    <definedName name="rhoexit2" localSheetId="6">CoolingDrag_Electric!$P$52</definedName>
    <definedName name="rhoexit2">CoolingDrag_IC!$P$57</definedName>
    <definedName name="S" localSheetId="7">'Drag Polar Clean'!$B$2</definedName>
    <definedName name="S" localSheetId="9">'Drag Polar High Lift'!$B$2</definedName>
    <definedName name="solver_adj" localSheetId="7" hidden="1">'Drag Polar Clean'!$L$57,'Drag Polar Clean'!$N$57</definedName>
    <definedName name="solver_adj" localSheetId="9" hidden="1">'Drag Polar High Lift'!$L$59,'Drag Polar High Lift'!$N$59</definedName>
    <definedName name="solver_cvg" localSheetId="7" hidden="1">0.0001</definedName>
    <definedName name="solver_cvg" localSheetId="9" hidden="1">0.0001</definedName>
    <definedName name="solver_drv" localSheetId="7" hidden="1">1</definedName>
    <definedName name="solver_drv" localSheetId="9" hidden="1">1</definedName>
    <definedName name="solver_est" localSheetId="7" hidden="1">1</definedName>
    <definedName name="solver_est" localSheetId="9" hidden="1">1</definedName>
    <definedName name="solver_itr" localSheetId="7" hidden="1">100</definedName>
    <definedName name="solver_itr" localSheetId="9" hidden="1">100</definedName>
    <definedName name="solver_lin" localSheetId="7" hidden="1">2</definedName>
    <definedName name="solver_lin" localSheetId="9" hidden="1">2</definedName>
    <definedName name="solver_neg" localSheetId="7" hidden="1">2</definedName>
    <definedName name="solver_neg" localSheetId="9" hidden="1">2</definedName>
    <definedName name="solver_num" localSheetId="7" hidden="1">0</definedName>
    <definedName name="solver_num" localSheetId="9" hidden="1">0</definedName>
    <definedName name="solver_nwt" localSheetId="7" hidden="1">1</definedName>
    <definedName name="solver_nwt" localSheetId="9" hidden="1">1</definedName>
    <definedName name="solver_opt" localSheetId="7" hidden="1">'Drag Polar Clean'!$V$51</definedName>
    <definedName name="solver_opt" localSheetId="9" hidden="1">'Drag Polar High Lift'!$V$53</definedName>
    <definedName name="solver_pre" localSheetId="7" hidden="1">0.000001</definedName>
    <definedName name="solver_pre" localSheetId="9" hidden="1">0.000001</definedName>
    <definedName name="solver_scl" localSheetId="7" hidden="1">2</definedName>
    <definedName name="solver_scl" localSheetId="9" hidden="1">2</definedName>
    <definedName name="solver_sho" localSheetId="7" hidden="1">2</definedName>
    <definedName name="solver_sho" localSheetId="9" hidden="1">2</definedName>
    <definedName name="solver_tim" localSheetId="7" hidden="1">100</definedName>
    <definedName name="solver_tim" localSheetId="9" hidden="1">100</definedName>
    <definedName name="solver_tol" localSheetId="7" hidden="1">0.05</definedName>
    <definedName name="solver_tol" localSheetId="9" hidden="1">0.05</definedName>
    <definedName name="solver_typ" localSheetId="7" hidden="1">3</definedName>
    <definedName name="solver_typ" localSheetId="9" hidden="1">3</definedName>
    <definedName name="solver_val" localSheetId="7" hidden="1">0</definedName>
    <definedName name="solver_val" localSheetId="9" hidden="1">0</definedName>
    <definedName name="Vel" localSheetId="4">CD0!$B$4</definedName>
    <definedName name="Vel" localSheetId="8">'CD0 High Lift'!$B$4</definedName>
    <definedName name="Vexit" localSheetId="6">CoolingDrag_Electric!$G$54</definedName>
    <definedName name="Vexit">CoolingDrag_IC!$G$59</definedName>
    <definedName name="Vexit2" localSheetId="6">CoolingDrag_Electric!$P$54</definedName>
    <definedName name="Vexit2">CoolingDrag_IC!$P$59</definedName>
    <definedName name="Vinf" localSheetId="6">CoolingDrag_Electric!$B$17</definedName>
    <definedName name="Vinf">CoolingDrag_IC!$B$17</definedName>
    <definedName name="Vinf2" localSheetId="6">CoolingDrag_Electric!$K$17</definedName>
    <definedName name="Vinf2">CoolingDrag_IC!$K$18</definedName>
    <definedName name="Vis" localSheetId="4">CD0!$B$7</definedName>
    <definedName name="Vis" localSheetId="8">'CD0 High Lift'!$B$7</definedName>
    <definedName name="Weight" localSheetId="7">'Drag Polar Clean'!$B$6</definedName>
    <definedName name="Weight" localSheetId="9">'Drag Polar High Lift'!$B$6</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Z3" i="5" l="1"/>
  <c r="Z4" i="5"/>
  <c r="Z5" i="5"/>
  <c r="Z6" i="5"/>
  <c r="Z7" i="5"/>
  <c r="Z8" i="5"/>
  <c r="Z9" i="5"/>
  <c r="Z2" i="5"/>
  <c r="Y10" i="5"/>
  <c r="Y3" i="5"/>
  <c r="Y4" i="5"/>
  <c r="Y5" i="5"/>
  <c r="Y6" i="5"/>
  <c r="Y7" i="5"/>
  <c r="Y8" i="5"/>
  <c r="Y9" i="5"/>
  <c r="Y2" i="5"/>
  <c r="X10" i="5"/>
  <c r="X9" i="5"/>
  <c r="X8" i="5"/>
  <c r="X7" i="5"/>
  <c r="E10" i="5"/>
  <c r="I45" i="5"/>
  <c r="B16" i="34"/>
  <c r="A20" i="34"/>
  <c r="A19" i="34"/>
  <c r="A17" i="34"/>
  <c r="C20" i="34"/>
  <c r="L21" i="34" s="1"/>
  <c r="C17" i="34"/>
  <c r="L17" i="34" s="1"/>
  <c r="C16" i="34"/>
  <c r="L16" i="34" s="1"/>
  <c r="B4" i="31"/>
  <c r="B16" i="28"/>
  <c r="K43" i="34"/>
  <c r="K36" i="34"/>
  <c r="P39" i="34" s="1"/>
  <c r="B26" i="34"/>
  <c r="K27" i="34" s="1"/>
  <c r="K46" i="34"/>
  <c r="K17" i="34"/>
  <c r="K30" i="34"/>
  <c r="K29" i="34"/>
  <c r="K28" i="34"/>
  <c r="K37" i="34"/>
  <c r="B47" i="34"/>
  <c r="B44" i="34"/>
  <c r="G39" i="34"/>
  <c r="L46" i="34"/>
  <c r="L45" i="34"/>
  <c r="L44" i="34"/>
  <c r="L43" i="34"/>
  <c r="L42" i="34"/>
  <c r="L41" i="34"/>
  <c r="K38" i="34"/>
  <c r="L37" i="34"/>
  <c r="J36" i="34"/>
  <c r="L35" i="34"/>
  <c r="B34" i="34"/>
  <c r="K35" i="34" s="1"/>
  <c r="K34" i="34"/>
  <c r="L33" i="34"/>
  <c r="K33" i="34"/>
  <c r="L30" i="34"/>
  <c r="L29" i="34"/>
  <c r="J29" i="34"/>
  <c r="L27" i="34"/>
  <c r="L26" i="34"/>
  <c r="K26" i="34"/>
  <c r="J16" i="34"/>
  <c r="C48" i="5"/>
  <c r="C49" i="5"/>
  <c r="C50" i="5"/>
  <c r="C51" i="5"/>
  <c r="C52" i="5"/>
  <c r="C53" i="5"/>
  <c r="C54" i="5"/>
  <c r="C55" i="5"/>
  <c r="C56" i="5"/>
  <c r="B19" i="30"/>
  <c r="B17" i="5"/>
  <c r="B17" i="30" s="1"/>
  <c r="B4" i="30"/>
  <c r="I41" i="30"/>
  <c r="D41" i="30"/>
  <c r="H41" i="30"/>
  <c r="C41" i="30"/>
  <c r="G41" i="30"/>
  <c r="B41" i="30"/>
  <c r="U41" i="30" s="1"/>
  <c r="I40" i="30"/>
  <c r="D40" i="30"/>
  <c r="H40" i="30"/>
  <c r="N40" i="30" s="1"/>
  <c r="C40" i="30"/>
  <c r="G40" i="30"/>
  <c r="B40" i="30"/>
  <c r="S40" i="30" s="1"/>
  <c r="I39" i="30"/>
  <c r="D39" i="30"/>
  <c r="H39" i="30"/>
  <c r="M39" i="30" s="1"/>
  <c r="C39" i="30"/>
  <c r="G39" i="30"/>
  <c r="B39" i="30"/>
  <c r="S39" i="30" s="1"/>
  <c r="I38" i="30"/>
  <c r="D38" i="30"/>
  <c r="H38" i="30"/>
  <c r="M38" i="30" s="1"/>
  <c r="C38" i="30"/>
  <c r="G38" i="30"/>
  <c r="B38" i="30"/>
  <c r="U38" i="30" s="1"/>
  <c r="I37" i="30"/>
  <c r="D37" i="30"/>
  <c r="H37" i="30"/>
  <c r="C37" i="30"/>
  <c r="G37" i="30"/>
  <c r="B37" i="30"/>
  <c r="S37" i="30" s="1"/>
  <c r="I36" i="30"/>
  <c r="D36" i="30"/>
  <c r="H36" i="30"/>
  <c r="C36" i="30"/>
  <c r="G36" i="30"/>
  <c r="B36" i="30"/>
  <c r="I35" i="30"/>
  <c r="D35" i="30"/>
  <c r="H35" i="30"/>
  <c r="M35" i="30" s="1"/>
  <c r="C35" i="30"/>
  <c r="G35" i="30"/>
  <c r="B35" i="30"/>
  <c r="S35" i="30" s="1"/>
  <c r="I34" i="30"/>
  <c r="D34" i="30"/>
  <c r="H34" i="30"/>
  <c r="M34" i="30" s="1"/>
  <c r="C34" i="30"/>
  <c r="G34" i="30"/>
  <c r="B34" i="30"/>
  <c r="S34" i="30" s="1"/>
  <c r="U34" i="30"/>
  <c r="I33" i="30"/>
  <c r="H33" i="30"/>
  <c r="M33" i="30" s="1"/>
  <c r="G33" i="30"/>
  <c r="B33" i="30"/>
  <c r="U33" i="30" s="1"/>
  <c r="I32" i="30"/>
  <c r="H32" i="30"/>
  <c r="G32" i="30"/>
  <c r="B32" i="30"/>
  <c r="F32" i="30"/>
  <c r="I31" i="30"/>
  <c r="H31" i="30"/>
  <c r="M31" i="30" s="1"/>
  <c r="G31" i="30"/>
  <c r="B31" i="30"/>
  <c r="F31" i="30"/>
  <c r="I30" i="30"/>
  <c r="H30" i="30"/>
  <c r="M30" i="30" s="1"/>
  <c r="G30" i="30"/>
  <c r="B30" i="30"/>
  <c r="U30" i="30" s="1"/>
  <c r="I29" i="30"/>
  <c r="D29" i="30"/>
  <c r="H29" i="30"/>
  <c r="M29" i="30" s="1"/>
  <c r="G29" i="30"/>
  <c r="B29" i="30"/>
  <c r="S29" i="30" s="1"/>
  <c r="I28" i="30"/>
  <c r="D28" i="30"/>
  <c r="H28" i="30"/>
  <c r="N28" i="30" s="1"/>
  <c r="G28" i="30"/>
  <c r="B28" i="30"/>
  <c r="S28" i="30" s="1"/>
  <c r="F28" i="30"/>
  <c r="I27" i="30"/>
  <c r="D27" i="30"/>
  <c r="H27" i="30"/>
  <c r="N27" i="30" s="1"/>
  <c r="G27" i="30"/>
  <c r="B27" i="30"/>
  <c r="U27" i="30"/>
  <c r="I26" i="30"/>
  <c r="D26" i="30"/>
  <c r="H26" i="30"/>
  <c r="M26" i="30" s="1"/>
  <c r="G26" i="30"/>
  <c r="B26" i="30"/>
  <c r="U26" i="30" s="1"/>
  <c r="I25" i="30"/>
  <c r="H25" i="30"/>
  <c r="M25" i="30" s="1"/>
  <c r="C25" i="30"/>
  <c r="G25" i="30"/>
  <c r="B25" i="30"/>
  <c r="S25" i="30" s="1"/>
  <c r="I24" i="30"/>
  <c r="H24" i="30"/>
  <c r="M24" i="30" s="1"/>
  <c r="C24" i="30"/>
  <c r="G24" i="30"/>
  <c r="B24" i="30"/>
  <c r="U24" i="30"/>
  <c r="E33" i="30"/>
  <c r="S33" i="30" s="1"/>
  <c r="C18" i="30"/>
  <c r="C20" i="30"/>
  <c r="C17" i="30"/>
  <c r="A16" i="30"/>
  <c r="B4" i="5"/>
  <c r="B4" i="24" s="1"/>
  <c r="B18" i="5"/>
  <c r="U24" i="5"/>
  <c r="B2" i="20"/>
  <c r="D24" i="5"/>
  <c r="C24" i="5"/>
  <c r="E24" i="5"/>
  <c r="E24" i="30" s="1"/>
  <c r="S24" i="5"/>
  <c r="D25" i="5"/>
  <c r="F25" i="5"/>
  <c r="F25" i="30" s="1"/>
  <c r="U25" i="5"/>
  <c r="C25" i="5"/>
  <c r="S25" i="5"/>
  <c r="D26" i="5"/>
  <c r="N26" i="5"/>
  <c r="C26" i="5"/>
  <c r="U26" i="5"/>
  <c r="E26" i="5"/>
  <c r="E26" i="30" s="1"/>
  <c r="S26" i="5"/>
  <c r="D27" i="5"/>
  <c r="N27" i="5"/>
  <c r="C27" i="5"/>
  <c r="U27" i="5"/>
  <c r="E27" i="5"/>
  <c r="D28" i="5"/>
  <c r="N28" i="5" s="1"/>
  <c r="F28" i="5"/>
  <c r="U28" i="5"/>
  <c r="C28" i="5"/>
  <c r="C28" i="30" s="1"/>
  <c r="S28" i="5"/>
  <c r="D29" i="5"/>
  <c r="N29" i="5" s="1"/>
  <c r="F29" i="5"/>
  <c r="C29" i="5"/>
  <c r="S29" i="5"/>
  <c r="D30" i="5"/>
  <c r="D30" i="30" s="1"/>
  <c r="N30" i="5"/>
  <c r="U30" i="5"/>
  <c r="C30" i="5"/>
  <c r="E30" i="5"/>
  <c r="D31" i="5"/>
  <c r="D31" i="30" s="1"/>
  <c r="N31" i="5"/>
  <c r="F31" i="5"/>
  <c r="U31" i="5"/>
  <c r="C31" i="5"/>
  <c r="S31" i="5"/>
  <c r="D32" i="5"/>
  <c r="F32" i="5"/>
  <c r="U32" i="5"/>
  <c r="C32" i="5"/>
  <c r="C32" i="30" s="1"/>
  <c r="S32" i="5"/>
  <c r="D33" i="5"/>
  <c r="U33" i="5"/>
  <c r="C33" i="5"/>
  <c r="E33" i="5"/>
  <c r="S33" i="5"/>
  <c r="N34" i="5"/>
  <c r="U34" i="5"/>
  <c r="S34" i="5"/>
  <c r="N35" i="5"/>
  <c r="U35" i="5"/>
  <c r="S35" i="5"/>
  <c r="N36" i="5"/>
  <c r="U36" i="5"/>
  <c r="S36" i="5"/>
  <c r="N37" i="5"/>
  <c r="U37" i="5"/>
  <c r="S37" i="5"/>
  <c r="N38" i="5"/>
  <c r="U38" i="5"/>
  <c r="S38" i="5"/>
  <c r="N39" i="5"/>
  <c r="U39" i="5"/>
  <c r="S39" i="5"/>
  <c r="N40" i="5"/>
  <c r="U40" i="5"/>
  <c r="S40" i="5"/>
  <c r="N41" i="5"/>
  <c r="U41" i="5"/>
  <c r="S41" i="5"/>
  <c r="F2" i="20"/>
  <c r="B2" i="23" s="1"/>
  <c r="R12" i="20"/>
  <c r="R13" i="20"/>
  <c r="R14" i="20"/>
  <c r="C15" i="31"/>
  <c r="R15" i="31"/>
  <c r="C16" i="31"/>
  <c r="R16" i="31" s="1"/>
  <c r="C17" i="31"/>
  <c r="F17" i="31"/>
  <c r="E14" i="31"/>
  <c r="E15" i="31"/>
  <c r="E16" i="31"/>
  <c r="E17" i="31"/>
  <c r="E18" i="31"/>
  <c r="E19" i="31"/>
  <c r="E20" i="31"/>
  <c r="E21" i="31"/>
  <c r="E22" i="31"/>
  <c r="E23" i="31"/>
  <c r="E24" i="31"/>
  <c r="E25" i="31"/>
  <c r="E26" i="31"/>
  <c r="E27" i="31"/>
  <c r="E28" i="31"/>
  <c r="E29" i="31"/>
  <c r="E30" i="31"/>
  <c r="E31" i="31"/>
  <c r="E32" i="31"/>
  <c r="E33" i="31"/>
  <c r="E34" i="31"/>
  <c r="E35" i="31"/>
  <c r="E36" i="31"/>
  <c r="E37" i="31"/>
  <c r="E38" i="31"/>
  <c r="E39" i="31"/>
  <c r="E40" i="31"/>
  <c r="E41" i="31"/>
  <c r="E42" i="31"/>
  <c r="E43" i="31"/>
  <c r="E44" i="31"/>
  <c r="E45" i="31"/>
  <c r="E46" i="31"/>
  <c r="E47" i="31"/>
  <c r="E48" i="31"/>
  <c r="E49" i="31"/>
  <c r="B45" i="30"/>
  <c r="B48" i="30"/>
  <c r="B12" i="30"/>
  <c r="B2" i="31" s="1"/>
  <c r="B49" i="30"/>
  <c r="B50" i="30"/>
  <c r="B51" i="30"/>
  <c r="B52" i="30"/>
  <c r="B53" i="30"/>
  <c r="B54" i="30"/>
  <c r="B55" i="30"/>
  <c r="B56" i="30"/>
  <c r="B62" i="30"/>
  <c r="B13" i="5"/>
  <c r="F2" i="31"/>
  <c r="C18" i="31"/>
  <c r="T18" i="31" s="1"/>
  <c r="F18" i="31"/>
  <c r="C19" i="31"/>
  <c r="F19" i="31"/>
  <c r="C20" i="31"/>
  <c r="F20" i="31"/>
  <c r="C21" i="31"/>
  <c r="U21" i="31" s="1"/>
  <c r="F21" i="31"/>
  <c r="C22" i="31"/>
  <c r="M85" i="31" s="1"/>
  <c r="F22" i="31"/>
  <c r="C23" i="31"/>
  <c r="F23" i="31"/>
  <c r="C24" i="31"/>
  <c r="F24" i="31"/>
  <c r="C25" i="31"/>
  <c r="T25" i="31" s="1"/>
  <c r="U25" i="31" s="1"/>
  <c r="F25" i="31"/>
  <c r="C26" i="31"/>
  <c r="T26" i="31" s="1"/>
  <c r="U26" i="31" s="1"/>
  <c r="F26" i="31"/>
  <c r="C27" i="31"/>
  <c r="F27" i="31"/>
  <c r="C28" i="31"/>
  <c r="F28" i="31"/>
  <c r="C29" i="31"/>
  <c r="F29" i="31"/>
  <c r="C30" i="31"/>
  <c r="T30" i="31" s="1"/>
  <c r="U30" i="31" s="1"/>
  <c r="F30" i="31"/>
  <c r="C31" i="31"/>
  <c r="F31" i="31"/>
  <c r="C32" i="31"/>
  <c r="F32" i="31"/>
  <c r="C33" i="31"/>
  <c r="F33" i="31"/>
  <c r="C34" i="31"/>
  <c r="T34" i="31" s="1"/>
  <c r="U34" i="31" s="1"/>
  <c r="F34" i="31"/>
  <c r="C35" i="31"/>
  <c r="F35" i="31"/>
  <c r="C36" i="31"/>
  <c r="F36" i="31"/>
  <c r="C37" i="31"/>
  <c r="F37" i="31"/>
  <c r="C38" i="31"/>
  <c r="F38" i="31"/>
  <c r="C39" i="31"/>
  <c r="F39" i="31"/>
  <c r="C40" i="31"/>
  <c r="F40" i="31"/>
  <c r="C41" i="31"/>
  <c r="F41" i="31"/>
  <c r="C42" i="31"/>
  <c r="T42" i="31" s="1"/>
  <c r="U42" i="31" s="1"/>
  <c r="F42" i="31"/>
  <c r="C43" i="31"/>
  <c r="F43" i="31"/>
  <c r="C44" i="31"/>
  <c r="F44" i="31"/>
  <c r="C45" i="31"/>
  <c r="F45" i="31"/>
  <c r="C46" i="31"/>
  <c r="T46" i="31" s="1"/>
  <c r="F46" i="31"/>
  <c r="C47" i="31"/>
  <c r="F47" i="31"/>
  <c r="C48" i="31"/>
  <c r="T48" i="31" s="1"/>
  <c r="F48" i="31"/>
  <c r="C49" i="31"/>
  <c r="F49" i="31"/>
  <c r="C14" i="31"/>
  <c r="C52" i="31" s="1"/>
  <c r="R14" i="31"/>
  <c r="AM21" i="33"/>
  <c r="AM19" i="33"/>
  <c r="AH65" i="33"/>
  <c r="AJ65" i="33"/>
  <c r="AH64" i="33"/>
  <c r="AJ64" i="33" s="1"/>
  <c r="AH63" i="33"/>
  <c r="AJ63" i="33" s="1"/>
  <c r="AH62" i="33"/>
  <c r="AJ62" i="33"/>
  <c r="AH61" i="33"/>
  <c r="AJ61" i="33" s="1"/>
  <c r="AH60" i="33"/>
  <c r="AJ60" i="33"/>
  <c r="AH59" i="33"/>
  <c r="AJ59" i="33" s="1"/>
  <c r="AH58" i="33"/>
  <c r="AJ58" i="33"/>
  <c r="AH57" i="33"/>
  <c r="AJ57" i="33" s="1"/>
  <c r="AH56" i="33"/>
  <c r="AJ56" i="33"/>
  <c r="AH55" i="33"/>
  <c r="AJ55" i="33"/>
  <c r="AH54" i="33"/>
  <c r="AJ54" i="33"/>
  <c r="AH53" i="33"/>
  <c r="AJ53" i="33" s="1"/>
  <c r="AH52" i="33"/>
  <c r="AJ52" i="33" s="1"/>
  <c r="AH51" i="33"/>
  <c r="AJ51" i="33"/>
  <c r="AH50" i="33"/>
  <c r="AJ50" i="33"/>
  <c r="AH49" i="33"/>
  <c r="AJ49" i="33" s="1"/>
  <c r="AH48" i="33"/>
  <c r="AJ48" i="33" s="1"/>
  <c r="AH47" i="33"/>
  <c r="AJ47" i="33"/>
  <c r="AH46" i="33"/>
  <c r="AJ46" i="33"/>
  <c r="AH45" i="33"/>
  <c r="AJ45" i="33" s="1"/>
  <c r="AH44" i="33"/>
  <c r="AJ44" i="33"/>
  <c r="AH43" i="33"/>
  <c r="AJ43" i="33" s="1"/>
  <c r="AH42" i="33"/>
  <c r="AJ42" i="33"/>
  <c r="AH41" i="33"/>
  <c r="AJ41" i="33" s="1"/>
  <c r="AH40" i="33"/>
  <c r="AJ40" i="33" s="1"/>
  <c r="AH39" i="33"/>
  <c r="AJ39" i="33" s="1"/>
  <c r="AH38" i="33"/>
  <c r="AJ38" i="33"/>
  <c r="AH37" i="33"/>
  <c r="AJ37" i="33" s="1"/>
  <c r="AH36" i="33"/>
  <c r="AJ36" i="33"/>
  <c r="AH35" i="33"/>
  <c r="AJ35" i="33"/>
  <c r="AH34" i="33"/>
  <c r="AJ34" i="33"/>
  <c r="AH33" i="33"/>
  <c r="AJ33" i="33" s="1"/>
  <c r="AH32" i="33"/>
  <c r="AJ32" i="33" s="1"/>
  <c r="AH31" i="33"/>
  <c r="AJ31" i="33" s="1"/>
  <c r="AH30" i="33"/>
  <c r="AJ30" i="33"/>
  <c r="AH29" i="33"/>
  <c r="AJ29" i="33" s="1"/>
  <c r="AH28" i="33"/>
  <c r="AJ28" i="33"/>
  <c r="AG65" i="33"/>
  <c r="AI65" i="33" s="1"/>
  <c r="AG64" i="33"/>
  <c r="AI64" i="33"/>
  <c r="AG63" i="33"/>
  <c r="AI63" i="33" s="1"/>
  <c r="AG62" i="33"/>
  <c r="AI62" i="33"/>
  <c r="AG61" i="33"/>
  <c r="AI61" i="33" s="1"/>
  <c r="AG60" i="33"/>
  <c r="AI60" i="33"/>
  <c r="AG59" i="33"/>
  <c r="AI59" i="33" s="1"/>
  <c r="AG58" i="33"/>
  <c r="AI58" i="33" s="1"/>
  <c r="AG57" i="33"/>
  <c r="AI57" i="33"/>
  <c r="AG56" i="33"/>
  <c r="AI56" i="33"/>
  <c r="AG55" i="33"/>
  <c r="AI55" i="33" s="1"/>
  <c r="AG54" i="33"/>
  <c r="AI54" i="33" s="1"/>
  <c r="AG53" i="33"/>
  <c r="AI53" i="33"/>
  <c r="AG52" i="33"/>
  <c r="AI52" i="33"/>
  <c r="AG51" i="33"/>
  <c r="AI51" i="33" s="1"/>
  <c r="AG50" i="33"/>
  <c r="AI50" i="33"/>
  <c r="AG49" i="33"/>
  <c r="AI49" i="33" s="1"/>
  <c r="AG48" i="33"/>
  <c r="AI48" i="33"/>
  <c r="AG47" i="33"/>
  <c r="AI47" i="33" s="1"/>
  <c r="AG46" i="33"/>
  <c r="AI46" i="33" s="1"/>
  <c r="AG45" i="33"/>
  <c r="AI45" i="33" s="1"/>
  <c r="AG44" i="33"/>
  <c r="AI44" i="33"/>
  <c r="AG43" i="33"/>
  <c r="AI43" i="33" s="1"/>
  <c r="AG42" i="33"/>
  <c r="AI42" i="33" s="1"/>
  <c r="AG41" i="33"/>
  <c r="AI41" i="33"/>
  <c r="AG40" i="33"/>
  <c r="AI40" i="33"/>
  <c r="AG39" i="33"/>
  <c r="AI39" i="33" s="1"/>
  <c r="AG38" i="33"/>
  <c r="AI38" i="33" s="1"/>
  <c r="AG37" i="33"/>
  <c r="AI37" i="33" s="1"/>
  <c r="AG36" i="33"/>
  <c r="AI36" i="33"/>
  <c r="AG35" i="33"/>
  <c r="AI35" i="33" s="1"/>
  <c r="AG34" i="33"/>
  <c r="AI34" i="33"/>
  <c r="AG33" i="33"/>
  <c r="AI33" i="33" s="1"/>
  <c r="AG32" i="33"/>
  <c r="AI32" i="33"/>
  <c r="AG31" i="33"/>
  <c r="AI31" i="33" s="1"/>
  <c r="AG30" i="33"/>
  <c r="AI30" i="33"/>
  <c r="AG29" i="33"/>
  <c r="AI29" i="33"/>
  <c r="AG28" i="33"/>
  <c r="AI28" i="33"/>
  <c r="AI27" i="33"/>
  <c r="AG25" i="33"/>
  <c r="AI25" i="33" s="1"/>
  <c r="AH25" i="33"/>
  <c r="AH26" i="33"/>
  <c r="AJ26" i="33"/>
  <c r="AM22" i="33" s="1"/>
  <c r="AG26" i="33"/>
  <c r="AI26" i="33"/>
  <c r="AG66" i="33"/>
  <c r="AI66" i="33" s="1"/>
  <c r="AH66" i="33"/>
  <c r="AG27" i="33"/>
  <c r="AH27" i="33"/>
  <c r="AJ27" i="33"/>
  <c r="N26" i="33"/>
  <c r="P26" i="33"/>
  <c r="R26" i="33" s="1"/>
  <c r="N27" i="33"/>
  <c r="P27" i="33" s="1"/>
  <c r="N28" i="33"/>
  <c r="P28" i="33" s="1"/>
  <c r="R28" i="33" s="1"/>
  <c r="N29" i="33"/>
  <c r="P29" i="33"/>
  <c r="R29" i="33" s="1"/>
  <c r="N30" i="33"/>
  <c r="P30" i="33"/>
  <c r="R30" i="33" s="1"/>
  <c r="N31" i="33"/>
  <c r="P31" i="33" s="1"/>
  <c r="R31" i="33" s="1"/>
  <c r="N32" i="33"/>
  <c r="P32" i="33"/>
  <c r="R32" i="33" s="1"/>
  <c r="N33" i="33"/>
  <c r="P33" i="33" s="1"/>
  <c r="N34" i="33"/>
  <c r="P34" i="33"/>
  <c r="N35" i="33"/>
  <c r="P35" i="33" s="1"/>
  <c r="R35" i="33" s="1"/>
  <c r="N36" i="33"/>
  <c r="P36" i="33" s="1"/>
  <c r="R36" i="33" s="1"/>
  <c r="N37" i="33"/>
  <c r="P37" i="33" s="1"/>
  <c r="R37" i="33" s="1"/>
  <c r="N38" i="33"/>
  <c r="P38" i="33"/>
  <c r="R38" i="33" s="1"/>
  <c r="N39" i="33"/>
  <c r="P39" i="33" s="1"/>
  <c r="R39" i="33" s="1"/>
  <c r="N40" i="33"/>
  <c r="P40" i="33"/>
  <c r="R40" i="33" s="1"/>
  <c r="N41" i="33"/>
  <c r="P41" i="33"/>
  <c r="N42" i="33"/>
  <c r="P42" i="33"/>
  <c r="N43" i="33"/>
  <c r="P43" i="33" s="1"/>
  <c r="N44" i="33"/>
  <c r="P44" i="33"/>
  <c r="R44" i="33" s="1"/>
  <c r="N45" i="33"/>
  <c r="P45" i="33" s="1"/>
  <c r="R45" i="33" s="1"/>
  <c r="N46" i="33"/>
  <c r="P46" i="33"/>
  <c r="N47" i="33"/>
  <c r="P47" i="33" s="1"/>
  <c r="N48" i="33"/>
  <c r="P48" i="33"/>
  <c r="R48" i="33" s="1"/>
  <c r="N49" i="33"/>
  <c r="P49" i="33"/>
  <c r="R49" i="33" s="1"/>
  <c r="N50" i="33"/>
  <c r="P50" i="33"/>
  <c r="R50" i="33" s="1"/>
  <c r="N51" i="33"/>
  <c r="P51" i="33" s="1"/>
  <c r="N52" i="33"/>
  <c r="P52" i="33"/>
  <c r="N53" i="33"/>
  <c r="P53" i="33" s="1"/>
  <c r="R53" i="33" s="1"/>
  <c r="N54" i="33"/>
  <c r="P54" i="33"/>
  <c r="N55" i="33"/>
  <c r="P55" i="33" s="1"/>
  <c r="R55" i="33" s="1"/>
  <c r="N56" i="33"/>
  <c r="P56" i="33" s="1"/>
  <c r="R56" i="33" s="1"/>
  <c r="N57" i="33"/>
  <c r="P57" i="33"/>
  <c r="R57" i="33" s="1"/>
  <c r="N58" i="33"/>
  <c r="P58" i="33"/>
  <c r="R58" i="33" s="1"/>
  <c r="N59" i="33"/>
  <c r="P59" i="33" s="1"/>
  <c r="N60" i="33"/>
  <c r="P60" i="33" s="1"/>
  <c r="R60" i="33" s="1"/>
  <c r="N61" i="33"/>
  <c r="P61" i="33"/>
  <c r="R61" i="33" s="1"/>
  <c r="N62" i="33"/>
  <c r="P62" i="33"/>
  <c r="R62" i="33" s="1"/>
  <c r="N63" i="33"/>
  <c r="P63" i="33" s="1"/>
  <c r="R63" i="33" s="1"/>
  <c r="N64" i="33"/>
  <c r="P64" i="33"/>
  <c r="N65" i="33"/>
  <c r="P65" i="33" s="1"/>
  <c r="R65" i="33" s="1"/>
  <c r="N66" i="33"/>
  <c r="P66" i="33"/>
  <c r="R66" i="33" s="1"/>
  <c r="N67" i="33"/>
  <c r="P67" i="33" s="1"/>
  <c r="R67" i="33" s="1"/>
  <c r="N68" i="33"/>
  <c r="P68" i="33" s="1"/>
  <c r="R68" i="33" s="1"/>
  <c r="N69" i="33"/>
  <c r="P69" i="33" s="1"/>
  <c r="R69" i="33" s="1"/>
  <c r="N70" i="33"/>
  <c r="P70" i="33"/>
  <c r="N71" i="33"/>
  <c r="P71" i="33" s="1"/>
  <c r="R71" i="33" s="1"/>
  <c r="N72" i="33"/>
  <c r="P72" i="33" s="1"/>
  <c r="R72" i="33" s="1"/>
  <c r="N73" i="33"/>
  <c r="P73" i="33"/>
  <c r="R73" i="33" s="1"/>
  <c r="N74" i="33"/>
  <c r="P74" i="33"/>
  <c r="N75" i="33"/>
  <c r="P75" i="33" s="1"/>
  <c r="R75" i="33" s="1"/>
  <c r="N76" i="33"/>
  <c r="P76" i="33" s="1"/>
  <c r="R76" i="33" s="1"/>
  <c r="N77" i="33"/>
  <c r="P77" i="33" s="1"/>
  <c r="R77" i="33" s="1"/>
  <c r="N78" i="33"/>
  <c r="P78" i="33"/>
  <c r="N79" i="33"/>
  <c r="P79" i="33" s="1"/>
  <c r="N80" i="33"/>
  <c r="P80" i="33"/>
  <c r="N81" i="33"/>
  <c r="P81" i="33" s="1"/>
  <c r="R81" i="33" s="1"/>
  <c r="N82" i="33"/>
  <c r="P82" i="33"/>
  <c r="N83" i="33"/>
  <c r="P83" i="33" s="1"/>
  <c r="N84" i="33"/>
  <c r="P84" i="33"/>
  <c r="R84" i="33" s="1"/>
  <c r="N85" i="33"/>
  <c r="P85" i="33"/>
  <c r="R85" i="33" s="1"/>
  <c r="N86" i="33"/>
  <c r="P86" i="33"/>
  <c r="N87" i="33"/>
  <c r="P87" i="33" s="1"/>
  <c r="N88" i="33"/>
  <c r="P88" i="33" s="1"/>
  <c r="R88" i="33" s="1"/>
  <c r="N89" i="33"/>
  <c r="P89" i="33"/>
  <c r="N90" i="33"/>
  <c r="P90" i="33"/>
  <c r="R90" i="33" s="1"/>
  <c r="N91" i="33"/>
  <c r="P91" i="33" s="1"/>
  <c r="N92" i="33"/>
  <c r="P92" i="33" s="1"/>
  <c r="R92" i="33" s="1"/>
  <c r="N93" i="33"/>
  <c r="P93" i="33"/>
  <c r="R93" i="33" s="1"/>
  <c r="N94" i="33"/>
  <c r="P94" i="33"/>
  <c r="R94" i="33" s="1"/>
  <c r="N95" i="33"/>
  <c r="P95" i="33" s="1"/>
  <c r="R95" i="33" s="1"/>
  <c r="N96" i="33"/>
  <c r="P96" i="33"/>
  <c r="R96" i="33" s="1"/>
  <c r="N97" i="33"/>
  <c r="P97" i="33" s="1"/>
  <c r="N98" i="33"/>
  <c r="P98" i="33"/>
  <c r="R98" i="33" s="1"/>
  <c r="N99" i="33"/>
  <c r="P99" i="33" s="1"/>
  <c r="R99" i="33" s="1"/>
  <c r="N100" i="33"/>
  <c r="P100" i="33" s="1"/>
  <c r="N101" i="33"/>
  <c r="P101" i="33" s="1"/>
  <c r="R101" i="33" s="1"/>
  <c r="N102" i="33"/>
  <c r="P102" i="33"/>
  <c r="R102" i="33" s="1"/>
  <c r="N103" i="33"/>
  <c r="P103" i="33" s="1"/>
  <c r="R103" i="33" s="1"/>
  <c r="N104" i="33"/>
  <c r="P104" i="33"/>
  <c r="R104" i="33" s="1"/>
  <c r="N105" i="33"/>
  <c r="P105" i="33"/>
  <c r="N106" i="33"/>
  <c r="P106" i="33"/>
  <c r="N107" i="33"/>
  <c r="P107" i="33" s="1"/>
  <c r="N108" i="33"/>
  <c r="P108" i="33" s="1"/>
  <c r="R108" i="33" s="1"/>
  <c r="N25" i="33"/>
  <c r="P25" i="33" s="1"/>
  <c r="R25" i="33" s="1"/>
  <c r="R27" i="33"/>
  <c r="R33" i="33"/>
  <c r="R34" i="33"/>
  <c r="R41" i="33"/>
  <c r="R42" i="33"/>
  <c r="R43" i="33"/>
  <c r="R46" i="33"/>
  <c r="R47" i="33"/>
  <c r="R51" i="33"/>
  <c r="R52" i="33"/>
  <c r="R54" i="33"/>
  <c r="R59" i="33"/>
  <c r="R64" i="33"/>
  <c r="R70" i="33"/>
  <c r="R74" i="33"/>
  <c r="R78" i="33"/>
  <c r="R79" i="33"/>
  <c r="R80" i="33"/>
  <c r="R82" i="33"/>
  <c r="R83" i="33"/>
  <c r="R86" i="33"/>
  <c r="R87" i="33"/>
  <c r="R89" i="33"/>
  <c r="R91" i="33"/>
  <c r="R97" i="33"/>
  <c r="R100" i="33"/>
  <c r="R105" i="33"/>
  <c r="R106" i="33"/>
  <c r="R107" i="33"/>
  <c r="O108" i="33"/>
  <c r="O25" i="33"/>
  <c r="O27" i="33"/>
  <c r="Q27" i="33"/>
  <c r="O28" i="33"/>
  <c r="Q28" i="33"/>
  <c r="O29" i="33"/>
  <c r="Q29" i="33"/>
  <c r="O30" i="33"/>
  <c r="Q30" i="33" s="1"/>
  <c r="O31" i="33"/>
  <c r="Q31" i="33"/>
  <c r="O32" i="33"/>
  <c r="Q32" i="33" s="1"/>
  <c r="O33" i="33"/>
  <c r="Q33" i="33"/>
  <c r="O34" i="33"/>
  <c r="Q34" i="33" s="1"/>
  <c r="O35" i="33"/>
  <c r="Q35" i="33"/>
  <c r="O36" i="33"/>
  <c r="Q36" i="33"/>
  <c r="O37" i="33"/>
  <c r="Q37" i="33"/>
  <c r="O38" i="33"/>
  <c r="Q38" i="33" s="1"/>
  <c r="O39" i="33"/>
  <c r="Q39" i="33"/>
  <c r="O40" i="33"/>
  <c r="Q40" i="33" s="1"/>
  <c r="O41" i="33"/>
  <c r="Q41" i="33"/>
  <c r="O42" i="33"/>
  <c r="Q42" i="33" s="1"/>
  <c r="O43" i="33"/>
  <c r="Q43" i="33"/>
  <c r="O44" i="33"/>
  <c r="Q44" i="33"/>
  <c r="O45" i="33"/>
  <c r="Q45" i="33"/>
  <c r="O46" i="33"/>
  <c r="Q46" i="33" s="1"/>
  <c r="O47" i="33"/>
  <c r="Q47" i="33"/>
  <c r="O48" i="33"/>
  <c r="Q48" i="33"/>
  <c r="O49" i="33"/>
  <c r="Q49" i="33"/>
  <c r="O50" i="33"/>
  <c r="Q50" i="33" s="1"/>
  <c r="O51" i="33"/>
  <c r="Q51" i="33"/>
  <c r="O52" i="33"/>
  <c r="Q52" i="33" s="1"/>
  <c r="O53" i="33"/>
  <c r="Q53" i="33"/>
  <c r="O54" i="33"/>
  <c r="Q54" i="33" s="1"/>
  <c r="O55" i="33"/>
  <c r="Q55" i="33"/>
  <c r="O56" i="33"/>
  <c r="Q56" i="33" s="1"/>
  <c r="O57" i="33"/>
  <c r="Q57" i="33"/>
  <c r="O58" i="33"/>
  <c r="Q58" i="33" s="1"/>
  <c r="O59" i="33"/>
  <c r="Q59" i="33"/>
  <c r="O60" i="33"/>
  <c r="Q60" i="33"/>
  <c r="O61" i="33"/>
  <c r="Q61" i="33"/>
  <c r="O62" i="33"/>
  <c r="Q62" i="33" s="1"/>
  <c r="O63" i="33"/>
  <c r="Q63" i="33"/>
  <c r="O64" i="33"/>
  <c r="Q64" i="33" s="1"/>
  <c r="O65" i="33"/>
  <c r="Q65" i="33"/>
  <c r="O66" i="33"/>
  <c r="Q66" i="33" s="1"/>
  <c r="O67" i="33"/>
  <c r="Q67" i="33"/>
  <c r="O68" i="33"/>
  <c r="Q68" i="33" s="1"/>
  <c r="O69" i="33"/>
  <c r="Q69" i="33"/>
  <c r="O70" i="33"/>
  <c r="Q70" i="33" s="1"/>
  <c r="O71" i="33"/>
  <c r="Q71" i="33"/>
  <c r="O72" i="33"/>
  <c r="Q72" i="33"/>
  <c r="O73" i="33"/>
  <c r="Q73" i="33"/>
  <c r="O74" i="33"/>
  <c r="Q74" i="33" s="1"/>
  <c r="O75" i="33"/>
  <c r="Q75" i="33"/>
  <c r="O76" i="33"/>
  <c r="Q76" i="33"/>
  <c r="O77" i="33"/>
  <c r="Q77" i="33"/>
  <c r="O78" i="33"/>
  <c r="Q78" i="33" s="1"/>
  <c r="O79" i="33"/>
  <c r="Q79" i="33"/>
  <c r="O80" i="33"/>
  <c r="Q80" i="33"/>
  <c r="O81" i="33"/>
  <c r="Q81" i="33"/>
  <c r="O82" i="33"/>
  <c r="Q82" i="33" s="1"/>
  <c r="O83" i="33"/>
  <c r="Q83" i="33"/>
  <c r="O84" i="33"/>
  <c r="Q84" i="33" s="1"/>
  <c r="O85" i="33"/>
  <c r="Q85" i="33"/>
  <c r="O86" i="33"/>
  <c r="Q86" i="33" s="1"/>
  <c r="O87" i="33"/>
  <c r="Q87" i="33"/>
  <c r="O88" i="33"/>
  <c r="Q88" i="33" s="1"/>
  <c r="O89" i="33"/>
  <c r="Q89" i="33"/>
  <c r="O90" i="33"/>
  <c r="Q90" i="33" s="1"/>
  <c r="O91" i="33"/>
  <c r="Q91" i="33"/>
  <c r="O92" i="33"/>
  <c r="Q92" i="33"/>
  <c r="O93" i="33"/>
  <c r="Q93" i="33"/>
  <c r="O94" i="33"/>
  <c r="Q94" i="33" s="1"/>
  <c r="O95" i="33"/>
  <c r="Q95" i="33"/>
  <c r="O96" i="33"/>
  <c r="Q96" i="33" s="1"/>
  <c r="O97" i="33"/>
  <c r="Q97" i="33"/>
  <c r="O98" i="33"/>
  <c r="Q98" i="33" s="1"/>
  <c r="O99" i="33"/>
  <c r="Q99" i="33"/>
  <c r="O100" i="33"/>
  <c r="Q100" i="33" s="1"/>
  <c r="O101" i="33"/>
  <c r="Q101" i="33"/>
  <c r="O102" i="33"/>
  <c r="Q102" i="33" s="1"/>
  <c r="O103" i="33"/>
  <c r="Q103" i="33"/>
  <c r="O104" i="33"/>
  <c r="Q104" i="33" s="1"/>
  <c r="O105" i="33"/>
  <c r="Q105" i="33" s="1"/>
  <c r="O106" i="33"/>
  <c r="Q106" i="33" s="1"/>
  <c r="O107" i="33"/>
  <c r="Q107" i="33"/>
  <c r="O26" i="33"/>
  <c r="Q26" i="33"/>
  <c r="B6" i="24"/>
  <c r="K18" i="28"/>
  <c r="K30" i="28"/>
  <c r="K36" i="28"/>
  <c r="K37" i="28"/>
  <c r="K31" i="28"/>
  <c r="K46" i="28"/>
  <c r="K49" i="28"/>
  <c r="K50" i="28" s="1"/>
  <c r="K40" i="28"/>
  <c r="K52" i="28"/>
  <c r="K39" i="28"/>
  <c r="K48" i="28"/>
  <c r="P41" i="28"/>
  <c r="K54" i="28"/>
  <c r="P37" i="28" s="1"/>
  <c r="K29" i="28"/>
  <c r="P55" i="28"/>
  <c r="B54" i="28"/>
  <c r="G37" i="28"/>
  <c r="E49" i="20"/>
  <c r="B26" i="28"/>
  <c r="K28" i="28" s="1"/>
  <c r="B36" i="28"/>
  <c r="B37" i="28" s="1"/>
  <c r="B34" i="28"/>
  <c r="C4" i="31"/>
  <c r="A24" i="23"/>
  <c r="N24" i="23"/>
  <c r="B24" i="23"/>
  <c r="O24" i="23" s="1"/>
  <c r="A25" i="23"/>
  <c r="N25" i="23" s="1"/>
  <c r="B25" i="23"/>
  <c r="O25" i="23" s="1"/>
  <c r="A26" i="23"/>
  <c r="N26" i="23"/>
  <c r="B26" i="23"/>
  <c r="O26" i="23"/>
  <c r="A27" i="23"/>
  <c r="N27" i="23" s="1"/>
  <c r="B27" i="23"/>
  <c r="O27" i="23" s="1"/>
  <c r="A28" i="23"/>
  <c r="N28" i="23"/>
  <c r="B28" i="23"/>
  <c r="O28" i="23" s="1"/>
  <c r="A29" i="23"/>
  <c r="N29" i="23" s="1"/>
  <c r="B29" i="23"/>
  <c r="O29" i="23" s="1"/>
  <c r="A30" i="23"/>
  <c r="N30" i="23"/>
  <c r="B30" i="23"/>
  <c r="O30" i="23" s="1"/>
  <c r="A31" i="23"/>
  <c r="N31" i="23" s="1"/>
  <c r="B31" i="23"/>
  <c r="O31" i="23" s="1"/>
  <c r="A32" i="23"/>
  <c r="N32" i="23"/>
  <c r="B32" i="23"/>
  <c r="O32" i="23"/>
  <c r="A33" i="23"/>
  <c r="N33" i="23" s="1"/>
  <c r="B33" i="23"/>
  <c r="O33" i="23" s="1"/>
  <c r="A34" i="23"/>
  <c r="N34" i="23"/>
  <c r="B34" i="23"/>
  <c r="O34" i="23"/>
  <c r="A35" i="23"/>
  <c r="N35" i="23" s="1"/>
  <c r="B35" i="23"/>
  <c r="O35" i="23" s="1"/>
  <c r="A36" i="23"/>
  <c r="N36" i="23" s="1"/>
  <c r="B36" i="23"/>
  <c r="O36" i="23" s="1"/>
  <c r="A37" i="23"/>
  <c r="N37" i="23" s="1"/>
  <c r="B37" i="23"/>
  <c r="O37" i="23" s="1"/>
  <c r="A38" i="23"/>
  <c r="N38" i="23"/>
  <c r="B38" i="23"/>
  <c r="O38" i="23" s="1"/>
  <c r="A39" i="23"/>
  <c r="N39" i="23" s="1"/>
  <c r="B39" i="23"/>
  <c r="O39" i="23" s="1"/>
  <c r="A40" i="23"/>
  <c r="N40" i="23"/>
  <c r="B40" i="23"/>
  <c r="O40" i="23"/>
  <c r="A41" i="23"/>
  <c r="N41" i="23" s="1"/>
  <c r="B41" i="23"/>
  <c r="O41" i="23" s="1"/>
  <c r="N42" i="23"/>
  <c r="O42" i="23"/>
  <c r="P42" i="23"/>
  <c r="Q42" i="23"/>
  <c r="R42" i="23"/>
  <c r="N43" i="23"/>
  <c r="O43" i="23"/>
  <c r="P43" i="23"/>
  <c r="Q43" i="23"/>
  <c r="R43" i="23"/>
  <c r="N44" i="23"/>
  <c r="O44" i="23"/>
  <c r="P44" i="23"/>
  <c r="Q44" i="23"/>
  <c r="R44" i="23"/>
  <c r="N45" i="23"/>
  <c r="O45" i="23"/>
  <c r="P45" i="23"/>
  <c r="Q45" i="23"/>
  <c r="R45" i="23"/>
  <c r="N46" i="23"/>
  <c r="O46" i="23"/>
  <c r="P46" i="23"/>
  <c r="Q46" i="23"/>
  <c r="R46" i="23"/>
  <c r="N47" i="23"/>
  <c r="O47" i="23"/>
  <c r="P47" i="23"/>
  <c r="Q47" i="23"/>
  <c r="R47" i="23"/>
  <c r="N48" i="23"/>
  <c r="O48" i="23"/>
  <c r="P48" i="23"/>
  <c r="Q48" i="23"/>
  <c r="R48" i="23"/>
  <c r="N49" i="23"/>
  <c r="O49" i="23"/>
  <c r="P49" i="23"/>
  <c r="Q49" i="23"/>
  <c r="R49" i="23"/>
  <c r="N50" i="23"/>
  <c r="O50" i="23"/>
  <c r="P50" i="23"/>
  <c r="Q50" i="23"/>
  <c r="R50" i="23"/>
  <c r="N51" i="23"/>
  <c r="O51" i="23"/>
  <c r="P51" i="23"/>
  <c r="Q51" i="23"/>
  <c r="R51" i="23"/>
  <c r="N52" i="23"/>
  <c r="O52" i="23"/>
  <c r="P52" i="23"/>
  <c r="Q52" i="23"/>
  <c r="R52" i="23"/>
  <c r="N53" i="23"/>
  <c r="O53" i="23"/>
  <c r="P53" i="23"/>
  <c r="Q53" i="23"/>
  <c r="R53" i="23"/>
  <c r="N54" i="23"/>
  <c r="O54" i="23"/>
  <c r="P54" i="23"/>
  <c r="Q54" i="23"/>
  <c r="R54" i="23"/>
  <c r="N55" i="23"/>
  <c r="O55" i="23"/>
  <c r="P55" i="23"/>
  <c r="Q55" i="23"/>
  <c r="R55" i="23"/>
  <c r="N56" i="23"/>
  <c r="O56" i="23"/>
  <c r="P56" i="23"/>
  <c r="Q56" i="23"/>
  <c r="R56" i="23"/>
  <c r="N57" i="23"/>
  <c r="O57" i="23"/>
  <c r="P57" i="23"/>
  <c r="Q57" i="23"/>
  <c r="R57" i="23"/>
  <c r="N58" i="23"/>
  <c r="O58" i="23"/>
  <c r="P58" i="23"/>
  <c r="Q58" i="23"/>
  <c r="R58" i="23"/>
  <c r="N59" i="23"/>
  <c r="O59" i="23"/>
  <c r="P59" i="23"/>
  <c r="Q59" i="23"/>
  <c r="R59" i="23"/>
  <c r="N60" i="23"/>
  <c r="O60" i="23"/>
  <c r="P60" i="23"/>
  <c r="Q60" i="23"/>
  <c r="R60" i="23"/>
  <c r="A7" i="23"/>
  <c r="N7" i="23" s="1"/>
  <c r="B7" i="23"/>
  <c r="O7" i="23" s="1"/>
  <c r="A8" i="23"/>
  <c r="N8" i="23"/>
  <c r="B8" i="23"/>
  <c r="O8" i="23"/>
  <c r="A9" i="23"/>
  <c r="N9" i="23" s="1"/>
  <c r="B9" i="23"/>
  <c r="O9" i="23"/>
  <c r="A10" i="23"/>
  <c r="N10" i="23" s="1"/>
  <c r="B10" i="23"/>
  <c r="O10" i="23"/>
  <c r="A11" i="23"/>
  <c r="N11" i="23" s="1"/>
  <c r="B11" i="23"/>
  <c r="O11" i="23"/>
  <c r="A12" i="23"/>
  <c r="N12" i="23" s="1"/>
  <c r="B12" i="23"/>
  <c r="O12" i="23" s="1"/>
  <c r="A13" i="23"/>
  <c r="N13" i="23" s="1"/>
  <c r="B13" i="23"/>
  <c r="O13" i="23"/>
  <c r="A14" i="23"/>
  <c r="N14" i="23"/>
  <c r="B14" i="23"/>
  <c r="O14" i="23"/>
  <c r="A15" i="23"/>
  <c r="N15" i="23" s="1"/>
  <c r="B15" i="23"/>
  <c r="O15" i="23"/>
  <c r="A16" i="23"/>
  <c r="N16" i="23" s="1"/>
  <c r="B16" i="23"/>
  <c r="O16" i="23"/>
  <c r="A17" i="23"/>
  <c r="N17" i="23" s="1"/>
  <c r="B17" i="23"/>
  <c r="O17" i="23" s="1"/>
  <c r="A18" i="23"/>
  <c r="N18" i="23" s="1"/>
  <c r="B18" i="23"/>
  <c r="O18" i="23"/>
  <c r="A19" i="23"/>
  <c r="N19" i="23" s="1"/>
  <c r="B19" i="23"/>
  <c r="O19" i="23"/>
  <c r="A20" i="23"/>
  <c r="N20" i="23" s="1"/>
  <c r="B20" i="23"/>
  <c r="O20" i="23"/>
  <c r="A21" i="23"/>
  <c r="N21" i="23" s="1"/>
  <c r="B21" i="23"/>
  <c r="O21" i="23"/>
  <c r="A22" i="23"/>
  <c r="N22" i="23"/>
  <c r="B22" i="23"/>
  <c r="O22" i="23" s="1"/>
  <c r="A23" i="23"/>
  <c r="N23" i="23" s="1"/>
  <c r="B23" i="23"/>
  <c r="O23" i="23"/>
  <c r="T13" i="20"/>
  <c r="U13" i="20" s="1"/>
  <c r="C7" i="23"/>
  <c r="T14" i="20"/>
  <c r="C8" i="23"/>
  <c r="T15" i="20"/>
  <c r="C9" i="23" s="1"/>
  <c r="T16" i="20"/>
  <c r="C10" i="23"/>
  <c r="T17" i="20"/>
  <c r="U17" i="20" s="1"/>
  <c r="T18" i="20"/>
  <c r="C12" i="23"/>
  <c r="T19" i="20"/>
  <c r="C13" i="23" s="1"/>
  <c r="T20" i="20"/>
  <c r="U20" i="20" s="1"/>
  <c r="C14" i="23"/>
  <c r="T21" i="20"/>
  <c r="T22" i="20"/>
  <c r="C16" i="23"/>
  <c r="T23" i="20"/>
  <c r="C17" i="23" s="1"/>
  <c r="T24" i="20"/>
  <c r="C18" i="23"/>
  <c r="T25" i="20"/>
  <c r="U25" i="20" s="1"/>
  <c r="C19" i="23"/>
  <c r="T26" i="20"/>
  <c r="C20" i="23"/>
  <c r="T27" i="20"/>
  <c r="C21" i="23" s="1"/>
  <c r="T28" i="20"/>
  <c r="U28" i="20" s="1"/>
  <c r="C22" i="23"/>
  <c r="T29" i="20"/>
  <c r="T30" i="20"/>
  <c r="C24" i="23"/>
  <c r="T31" i="20"/>
  <c r="C25" i="23" s="1"/>
  <c r="T32" i="20"/>
  <c r="C26" i="23"/>
  <c r="T33" i="20"/>
  <c r="C27" i="23"/>
  <c r="T34" i="20"/>
  <c r="C28" i="23"/>
  <c r="T35" i="20"/>
  <c r="C29" i="23" s="1"/>
  <c r="T36" i="20"/>
  <c r="U36" i="20" s="1"/>
  <c r="C30" i="23"/>
  <c r="T37" i="20"/>
  <c r="U37" i="20" s="1"/>
  <c r="C31" i="23"/>
  <c r="T38" i="20"/>
  <c r="C32" i="23"/>
  <c r="T39" i="20"/>
  <c r="C33" i="23" s="1"/>
  <c r="T40" i="20"/>
  <c r="C34" i="23"/>
  <c r="T41" i="20"/>
  <c r="U41" i="20" s="1"/>
  <c r="C35" i="23"/>
  <c r="T42" i="20"/>
  <c r="C36" i="23"/>
  <c r="T43" i="20"/>
  <c r="C37" i="23" s="1"/>
  <c r="T44" i="20"/>
  <c r="U44" i="20" s="1"/>
  <c r="C38" i="23"/>
  <c r="T45" i="20"/>
  <c r="U45" i="20" s="1"/>
  <c r="C39" i="23"/>
  <c r="T46" i="20"/>
  <c r="C40" i="23"/>
  <c r="T47" i="20"/>
  <c r="C41" i="23" s="1"/>
  <c r="G2" i="20"/>
  <c r="C2" i="23" s="1"/>
  <c r="F4" i="20"/>
  <c r="B4" i="23" s="1"/>
  <c r="G4" i="20"/>
  <c r="C4" i="23" s="1"/>
  <c r="A3" i="23"/>
  <c r="A4" i="23"/>
  <c r="A2" i="23"/>
  <c r="B7" i="31"/>
  <c r="F14" i="31"/>
  <c r="F15" i="31"/>
  <c r="F16" i="31"/>
  <c r="B49" i="31"/>
  <c r="B48" i="31"/>
  <c r="Y48" i="31" s="1"/>
  <c r="B47" i="31"/>
  <c r="B46" i="31"/>
  <c r="B45" i="31"/>
  <c r="Y45" i="31" s="1"/>
  <c r="B44" i="31"/>
  <c r="Y44" i="31" s="1"/>
  <c r="B43" i="31"/>
  <c r="Y43" i="31" s="1"/>
  <c r="B42" i="31"/>
  <c r="Z42" i="31" s="1"/>
  <c r="B41" i="31"/>
  <c r="B40" i="31"/>
  <c r="Y40" i="31" s="1"/>
  <c r="B39" i="31"/>
  <c r="Y39" i="31" s="1"/>
  <c r="B38" i="31"/>
  <c r="B37" i="31"/>
  <c r="Z37" i="31" s="1"/>
  <c r="B36" i="31"/>
  <c r="B35" i="31"/>
  <c r="Y35" i="31" s="1"/>
  <c r="B34" i="31"/>
  <c r="Z34" i="31" s="1"/>
  <c r="B33" i="31"/>
  <c r="B32" i="31"/>
  <c r="Y32" i="31" s="1"/>
  <c r="B31" i="31"/>
  <c r="B30" i="31"/>
  <c r="B29" i="31"/>
  <c r="B28" i="31"/>
  <c r="Z28" i="31" s="1"/>
  <c r="B27" i="31"/>
  <c r="Y27" i="31" s="1"/>
  <c r="B26" i="31"/>
  <c r="Z26" i="31" s="1"/>
  <c r="B25" i="31"/>
  <c r="B24" i="31"/>
  <c r="Y24" i="31" s="1"/>
  <c r="B23" i="31"/>
  <c r="B22" i="31"/>
  <c r="B21" i="31"/>
  <c r="Y21" i="31" s="1"/>
  <c r="B20" i="31"/>
  <c r="Z20" i="31" s="1"/>
  <c r="B19" i="31"/>
  <c r="Y19" i="31" s="1"/>
  <c r="B18" i="31"/>
  <c r="Z18" i="31" s="1"/>
  <c r="B17" i="31"/>
  <c r="B16" i="31"/>
  <c r="Y16" i="31" s="1"/>
  <c r="B15" i="31"/>
  <c r="Y15" i="31" s="1"/>
  <c r="B14" i="31"/>
  <c r="P24" i="28"/>
  <c r="K69" i="28"/>
  <c r="P29" i="28"/>
  <c r="K70" i="28"/>
  <c r="B46" i="28"/>
  <c r="B50" i="28"/>
  <c r="B52" i="28"/>
  <c r="G40" i="28"/>
  <c r="B47" i="28"/>
  <c r="B48" i="28" s="1"/>
  <c r="G41" i="28"/>
  <c r="K41" i="28"/>
  <c r="L37" i="28"/>
  <c r="J37" i="28"/>
  <c r="C52" i="20"/>
  <c r="D52" i="20"/>
  <c r="E52" i="20"/>
  <c r="F52" i="20"/>
  <c r="G52" i="20"/>
  <c r="H52" i="20"/>
  <c r="I52" i="20"/>
  <c r="J52" i="20"/>
  <c r="K52" i="20"/>
  <c r="L52" i="20"/>
  <c r="M52" i="20"/>
  <c r="F49" i="20"/>
  <c r="T12" i="20"/>
  <c r="U14" i="20"/>
  <c r="U15" i="20"/>
  <c r="U16" i="20"/>
  <c r="U18" i="20"/>
  <c r="U19" i="20"/>
  <c r="U22" i="20"/>
  <c r="U23" i="20"/>
  <c r="U24" i="20"/>
  <c r="U26" i="20"/>
  <c r="U27" i="20"/>
  <c r="U30" i="20"/>
  <c r="U31" i="20"/>
  <c r="U32" i="20"/>
  <c r="U34" i="20"/>
  <c r="U35" i="20"/>
  <c r="U38" i="20"/>
  <c r="U39" i="20"/>
  <c r="U40" i="20"/>
  <c r="U42" i="20"/>
  <c r="U43" i="20"/>
  <c r="U46" i="20"/>
  <c r="U47" i="20"/>
  <c r="B52" i="20"/>
  <c r="T14" i="31"/>
  <c r="T15" i="31"/>
  <c r="T16" i="31"/>
  <c r="T17" i="31"/>
  <c r="U17" i="31" s="1"/>
  <c r="T19" i="31"/>
  <c r="U19" i="31" s="1"/>
  <c r="T20" i="31"/>
  <c r="U20" i="31" s="1"/>
  <c r="T21" i="31"/>
  <c r="T22" i="31"/>
  <c r="T23" i="31"/>
  <c r="U23" i="31" s="1"/>
  <c r="T24" i="31"/>
  <c r="T27" i="31"/>
  <c r="T28" i="31"/>
  <c r="U28" i="31" s="1"/>
  <c r="T31" i="31"/>
  <c r="U31" i="31" s="1"/>
  <c r="T32" i="31"/>
  <c r="U32" i="31" s="1"/>
  <c r="T35" i="31"/>
  <c r="U35" i="31" s="1"/>
  <c r="T36" i="31"/>
  <c r="T39" i="31"/>
  <c r="U39" i="31" s="1"/>
  <c r="T40" i="31"/>
  <c r="U40" i="31" s="1"/>
  <c r="T41" i="31"/>
  <c r="U41" i="31" s="1"/>
  <c r="T43" i="31"/>
  <c r="U43" i="31" s="1"/>
  <c r="T44" i="31"/>
  <c r="T47" i="31"/>
  <c r="T49" i="31"/>
  <c r="U49" i="31" s="1"/>
  <c r="U14" i="31"/>
  <c r="U15" i="31"/>
  <c r="U16" i="31"/>
  <c r="U24" i="31"/>
  <c r="U47" i="31"/>
  <c r="M14" i="31"/>
  <c r="M52" i="31" s="1"/>
  <c r="M15" i="31"/>
  <c r="M51" i="31" s="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L14" i="31"/>
  <c r="L15" i="31"/>
  <c r="L16" i="31"/>
  <c r="L17" i="31"/>
  <c r="L18" i="31"/>
  <c r="L19" i="31"/>
  <c r="L20" i="31"/>
  <c r="L51" i="31" s="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K14" i="31"/>
  <c r="K54" i="31" s="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J14" i="31"/>
  <c r="J15" i="31"/>
  <c r="J16" i="31"/>
  <c r="J17" i="31"/>
  <c r="J18" i="31"/>
  <c r="J19" i="31"/>
  <c r="J20" i="31"/>
  <c r="J21" i="31"/>
  <c r="J22" i="31"/>
  <c r="J23" i="31"/>
  <c r="J24" i="31"/>
  <c r="J25" i="31"/>
  <c r="J26" i="31"/>
  <c r="J27" i="31"/>
  <c r="J28" i="31"/>
  <c r="J29" i="31"/>
  <c r="J30" i="31"/>
  <c r="J31" i="31"/>
  <c r="J32" i="31"/>
  <c r="J33" i="31"/>
  <c r="J34" i="31"/>
  <c r="J35" i="31"/>
  <c r="J36" i="31"/>
  <c r="J37" i="31"/>
  <c r="J38" i="31"/>
  <c r="J39" i="31"/>
  <c r="J40" i="31"/>
  <c r="J41" i="31"/>
  <c r="J42" i="31"/>
  <c r="J43" i="31"/>
  <c r="J44" i="31"/>
  <c r="J45" i="31"/>
  <c r="J46" i="31"/>
  <c r="J47" i="31"/>
  <c r="J48" i="31"/>
  <c r="J49" i="31"/>
  <c r="I14" i="31"/>
  <c r="I15" i="31"/>
  <c r="I16" i="31"/>
  <c r="I17" i="31"/>
  <c r="I18" i="31"/>
  <c r="I19" i="31"/>
  <c r="I20" i="31"/>
  <c r="I21" i="31"/>
  <c r="I22" i="31"/>
  <c r="I23" i="31"/>
  <c r="I24" i="31"/>
  <c r="I25" i="31"/>
  <c r="I26" i="31"/>
  <c r="I27" i="31"/>
  <c r="I28" i="31"/>
  <c r="I29" i="31"/>
  <c r="I30" i="31"/>
  <c r="I31" i="31"/>
  <c r="I32" i="31"/>
  <c r="I33" i="31"/>
  <c r="I34" i="31"/>
  <c r="I35" i="31"/>
  <c r="I36" i="31"/>
  <c r="I37" i="31"/>
  <c r="I38" i="31"/>
  <c r="I39" i="31"/>
  <c r="I40" i="31"/>
  <c r="I41" i="31"/>
  <c r="I42" i="31"/>
  <c r="I43" i="31"/>
  <c r="I44" i="31"/>
  <c r="I45" i="31"/>
  <c r="I46" i="31"/>
  <c r="I47" i="31"/>
  <c r="I48" i="31"/>
  <c r="I49"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M87" i="20"/>
  <c r="C54" i="31"/>
  <c r="C9" i="31"/>
  <c r="M83" i="20"/>
  <c r="B8" i="31"/>
  <c r="O5" i="31"/>
  <c r="F4" i="31"/>
  <c r="M108" i="31"/>
  <c r="L105" i="31"/>
  <c r="M64" i="31"/>
  <c r="M63" i="31"/>
  <c r="Z49" i="31"/>
  <c r="Y49" i="31"/>
  <c r="Z48" i="31"/>
  <c r="Y42" i="31"/>
  <c r="Z41" i="31"/>
  <c r="Y41" i="31"/>
  <c r="Z40" i="31"/>
  <c r="Z39" i="31"/>
  <c r="Y37" i="31"/>
  <c r="Z36" i="31"/>
  <c r="Y36" i="31"/>
  <c r="Y34" i="31"/>
  <c r="Z33" i="31"/>
  <c r="Y33" i="31"/>
  <c r="Z32" i="31"/>
  <c r="Z31" i="31"/>
  <c r="Z29" i="31"/>
  <c r="Y29" i="31"/>
  <c r="Y26" i="31"/>
  <c r="Z25" i="31"/>
  <c r="Y25" i="31"/>
  <c r="Z24" i="31"/>
  <c r="Z21" i="31"/>
  <c r="Y18" i="31"/>
  <c r="Z17" i="31"/>
  <c r="Y17" i="31"/>
  <c r="Z16" i="31"/>
  <c r="Z15" i="31"/>
  <c r="G4" i="31"/>
  <c r="G2" i="31"/>
  <c r="C2" i="31"/>
  <c r="A49" i="30"/>
  <c r="A50" i="30"/>
  <c r="A51" i="30"/>
  <c r="A52" i="30"/>
  <c r="A53" i="30"/>
  <c r="A54" i="30"/>
  <c r="A55" i="30"/>
  <c r="A56" i="30"/>
  <c r="A48" i="30"/>
  <c r="F24" i="30"/>
  <c r="E25" i="5"/>
  <c r="E25" i="30" s="1"/>
  <c r="F26" i="30"/>
  <c r="F27" i="30"/>
  <c r="E28" i="30"/>
  <c r="E29" i="30"/>
  <c r="F30" i="5"/>
  <c r="F30" i="30"/>
  <c r="E31" i="30"/>
  <c r="E32" i="30"/>
  <c r="F33" i="5"/>
  <c r="F33" i="30" s="1"/>
  <c r="E34" i="30"/>
  <c r="F34" i="30"/>
  <c r="E35" i="30"/>
  <c r="F35" i="30"/>
  <c r="E36" i="30"/>
  <c r="F36" i="30"/>
  <c r="E37" i="30"/>
  <c r="F37" i="30"/>
  <c r="E38" i="30"/>
  <c r="F38" i="30"/>
  <c r="E39" i="30"/>
  <c r="F39" i="30"/>
  <c r="E40" i="30"/>
  <c r="F40" i="30"/>
  <c r="E41" i="30"/>
  <c r="F41" i="30"/>
  <c r="A25" i="30"/>
  <c r="A26" i="30"/>
  <c r="A27" i="30"/>
  <c r="A28" i="30"/>
  <c r="A29" i="30"/>
  <c r="A30" i="30"/>
  <c r="A31" i="30"/>
  <c r="A32" i="30"/>
  <c r="A33" i="30"/>
  <c r="A34" i="30"/>
  <c r="A35" i="30"/>
  <c r="A36" i="30"/>
  <c r="A37" i="30"/>
  <c r="A38" i="30"/>
  <c r="A39" i="30"/>
  <c r="A40" i="30"/>
  <c r="A41" i="30"/>
  <c r="A24" i="30"/>
  <c r="B70" i="30"/>
  <c r="C70" i="30"/>
  <c r="D70" i="30"/>
  <c r="E70" i="30"/>
  <c r="F70" i="30"/>
  <c r="G70" i="30"/>
  <c r="H70" i="30"/>
  <c r="I70" i="30"/>
  <c r="J70" i="30"/>
  <c r="K70" i="30"/>
  <c r="L70" i="30"/>
  <c r="M70" i="30"/>
  <c r="N70" i="30"/>
  <c r="O70" i="30"/>
  <c r="B71" i="30"/>
  <c r="C71" i="30"/>
  <c r="D71" i="30"/>
  <c r="E71" i="30"/>
  <c r="F71" i="30"/>
  <c r="G71" i="30"/>
  <c r="H71" i="30"/>
  <c r="I71" i="30"/>
  <c r="J71" i="30"/>
  <c r="K71" i="30"/>
  <c r="L71" i="30"/>
  <c r="M71" i="30"/>
  <c r="N71" i="30"/>
  <c r="O71" i="30"/>
  <c r="B72" i="30"/>
  <c r="C72" i="30"/>
  <c r="D72" i="30"/>
  <c r="E72" i="30"/>
  <c r="F72" i="30"/>
  <c r="G72" i="30"/>
  <c r="H72" i="30"/>
  <c r="I72" i="30"/>
  <c r="J72" i="30"/>
  <c r="K72" i="30"/>
  <c r="L72" i="30"/>
  <c r="M72" i="30"/>
  <c r="N72" i="30"/>
  <c r="O72" i="30"/>
  <c r="B73" i="30"/>
  <c r="C73" i="30"/>
  <c r="D73" i="30"/>
  <c r="E73" i="30"/>
  <c r="F73" i="30"/>
  <c r="G73" i="30"/>
  <c r="H73" i="30"/>
  <c r="I73" i="30"/>
  <c r="J73" i="30"/>
  <c r="K73" i="30"/>
  <c r="L73" i="30"/>
  <c r="M73" i="30"/>
  <c r="N73" i="30"/>
  <c r="O73" i="30"/>
  <c r="B74" i="30"/>
  <c r="C74" i="30"/>
  <c r="D74" i="30"/>
  <c r="E74" i="30"/>
  <c r="F74" i="30"/>
  <c r="G74" i="30"/>
  <c r="H74" i="30"/>
  <c r="I74" i="30"/>
  <c r="J74" i="30"/>
  <c r="K74" i="30"/>
  <c r="L74" i="30"/>
  <c r="M74" i="30"/>
  <c r="N74" i="30"/>
  <c r="O74" i="30"/>
  <c r="B75" i="30"/>
  <c r="C75" i="30"/>
  <c r="D75" i="30"/>
  <c r="E75" i="30"/>
  <c r="F75" i="30"/>
  <c r="G75" i="30"/>
  <c r="H75" i="30"/>
  <c r="I75" i="30"/>
  <c r="J75" i="30"/>
  <c r="K75" i="30"/>
  <c r="L75" i="30"/>
  <c r="M75" i="30"/>
  <c r="N75" i="30"/>
  <c r="O75" i="30"/>
  <c r="B76" i="30"/>
  <c r="C76" i="30"/>
  <c r="D76" i="30"/>
  <c r="E76" i="30"/>
  <c r="F76" i="30"/>
  <c r="G76" i="30"/>
  <c r="H76" i="30"/>
  <c r="I76" i="30"/>
  <c r="J76" i="30"/>
  <c r="K76" i="30"/>
  <c r="L76" i="30"/>
  <c r="M76" i="30"/>
  <c r="N76" i="30"/>
  <c r="O76" i="30"/>
  <c r="B77" i="30"/>
  <c r="C77" i="30"/>
  <c r="D77" i="30"/>
  <c r="E77" i="30"/>
  <c r="F77" i="30"/>
  <c r="G77" i="30"/>
  <c r="H77" i="30"/>
  <c r="I77" i="30"/>
  <c r="J77" i="30"/>
  <c r="K77" i="30"/>
  <c r="L77" i="30"/>
  <c r="M77" i="30"/>
  <c r="N77" i="30"/>
  <c r="O77" i="30"/>
  <c r="B78" i="30"/>
  <c r="C78" i="30"/>
  <c r="D78" i="30"/>
  <c r="E78" i="30"/>
  <c r="F78" i="30"/>
  <c r="G78" i="30"/>
  <c r="H78" i="30"/>
  <c r="I78" i="30"/>
  <c r="J78" i="30"/>
  <c r="K78" i="30"/>
  <c r="L78" i="30"/>
  <c r="M78" i="30"/>
  <c r="N78" i="30"/>
  <c r="O78" i="30"/>
  <c r="B79" i="30"/>
  <c r="C79" i="30"/>
  <c r="D79" i="30"/>
  <c r="E79" i="30"/>
  <c r="F79" i="30"/>
  <c r="G79" i="30"/>
  <c r="H79" i="30"/>
  <c r="I79" i="30"/>
  <c r="J79" i="30"/>
  <c r="K79" i="30"/>
  <c r="L79" i="30"/>
  <c r="M79" i="30"/>
  <c r="N79" i="30"/>
  <c r="O79" i="30"/>
  <c r="B80" i="30"/>
  <c r="C80" i="30"/>
  <c r="D80" i="30"/>
  <c r="E80" i="30"/>
  <c r="F80" i="30"/>
  <c r="G80" i="30"/>
  <c r="H80" i="30"/>
  <c r="I80" i="30"/>
  <c r="J80" i="30"/>
  <c r="K80" i="30"/>
  <c r="L80" i="30"/>
  <c r="M80" i="30"/>
  <c r="N80" i="30"/>
  <c r="O80" i="30"/>
  <c r="B81" i="30"/>
  <c r="C81" i="30"/>
  <c r="D81" i="30"/>
  <c r="E81" i="30"/>
  <c r="F81" i="30"/>
  <c r="G81" i="30"/>
  <c r="H81" i="30"/>
  <c r="I81" i="30"/>
  <c r="J81" i="30"/>
  <c r="K81" i="30"/>
  <c r="L81" i="30"/>
  <c r="M81" i="30"/>
  <c r="N81" i="30"/>
  <c r="O81" i="30"/>
  <c r="B82" i="30"/>
  <c r="C82" i="30"/>
  <c r="D82" i="30"/>
  <c r="E82" i="30"/>
  <c r="F82" i="30"/>
  <c r="G82" i="30"/>
  <c r="H82" i="30"/>
  <c r="I82" i="30"/>
  <c r="J82" i="30"/>
  <c r="K82" i="30"/>
  <c r="L82" i="30"/>
  <c r="M82" i="30"/>
  <c r="N82" i="30"/>
  <c r="O82" i="30"/>
  <c r="B83" i="30"/>
  <c r="C83" i="30"/>
  <c r="D83" i="30"/>
  <c r="E83" i="30"/>
  <c r="F83" i="30"/>
  <c r="G83" i="30"/>
  <c r="H83" i="30"/>
  <c r="I83" i="30"/>
  <c r="J83" i="30"/>
  <c r="K83" i="30"/>
  <c r="L83" i="30"/>
  <c r="M83" i="30"/>
  <c r="N83" i="30"/>
  <c r="O83" i="30"/>
  <c r="B84" i="30"/>
  <c r="C84" i="30"/>
  <c r="D84" i="30"/>
  <c r="E84" i="30"/>
  <c r="F84" i="30"/>
  <c r="G84" i="30"/>
  <c r="H84" i="30"/>
  <c r="I84" i="30"/>
  <c r="J84" i="30"/>
  <c r="K84" i="30"/>
  <c r="L84" i="30"/>
  <c r="M84" i="30"/>
  <c r="N84" i="30"/>
  <c r="O84" i="30"/>
  <c r="B85" i="30"/>
  <c r="C85" i="30"/>
  <c r="D85" i="30"/>
  <c r="E85" i="30"/>
  <c r="F85" i="30"/>
  <c r="G85" i="30"/>
  <c r="H85" i="30"/>
  <c r="I85" i="30"/>
  <c r="J85" i="30"/>
  <c r="K85" i="30"/>
  <c r="L85" i="30"/>
  <c r="M85" i="30"/>
  <c r="N85" i="30"/>
  <c r="O85" i="30"/>
  <c r="B86" i="30"/>
  <c r="C86" i="30"/>
  <c r="D86" i="30"/>
  <c r="E86" i="30"/>
  <c r="F86" i="30"/>
  <c r="G86" i="30"/>
  <c r="H86" i="30"/>
  <c r="I86" i="30"/>
  <c r="J86" i="30"/>
  <c r="K86" i="30"/>
  <c r="L86" i="30"/>
  <c r="M86" i="30"/>
  <c r="N86" i="30"/>
  <c r="O86" i="30"/>
  <c r="B87" i="30"/>
  <c r="C87" i="30"/>
  <c r="D87" i="30"/>
  <c r="E87" i="30"/>
  <c r="F87" i="30"/>
  <c r="G87" i="30"/>
  <c r="H87" i="30"/>
  <c r="I87" i="30"/>
  <c r="J87" i="30"/>
  <c r="K87" i="30"/>
  <c r="L87" i="30"/>
  <c r="M87" i="30"/>
  <c r="N87" i="30"/>
  <c r="O87" i="30"/>
  <c r="B88" i="30"/>
  <c r="C88" i="30"/>
  <c r="D88" i="30"/>
  <c r="E88" i="30"/>
  <c r="F88" i="30"/>
  <c r="G88" i="30"/>
  <c r="H88" i="30"/>
  <c r="I88" i="30"/>
  <c r="J88" i="30"/>
  <c r="K88" i="30"/>
  <c r="L88" i="30"/>
  <c r="M88" i="30"/>
  <c r="N88" i="30"/>
  <c r="O88" i="30"/>
  <c r="B89" i="30"/>
  <c r="C89" i="30"/>
  <c r="D89" i="30"/>
  <c r="E89" i="30"/>
  <c r="F89" i="30"/>
  <c r="G89" i="30"/>
  <c r="H89" i="30"/>
  <c r="I89" i="30"/>
  <c r="J89" i="30"/>
  <c r="K89" i="30"/>
  <c r="L89" i="30"/>
  <c r="M89" i="30"/>
  <c r="N89" i="30"/>
  <c r="O89" i="30"/>
  <c r="B90" i="30"/>
  <c r="C90" i="30"/>
  <c r="D90" i="30"/>
  <c r="E90" i="30"/>
  <c r="F90" i="30"/>
  <c r="G90" i="30"/>
  <c r="H90" i="30"/>
  <c r="I90" i="30"/>
  <c r="J90" i="30"/>
  <c r="K90" i="30"/>
  <c r="L90" i="30"/>
  <c r="M90" i="30"/>
  <c r="N90" i="30"/>
  <c r="O90" i="30"/>
  <c r="B91" i="30"/>
  <c r="C91" i="30"/>
  <c r="D91" i="30"/>
  <c r="E91" i="30"/>
  <c r="F91" i="30"/>
  <c r="G91" i="30"/>
  <c r="H91" i="30"/>
  <c r="I91" i="30"/>
  <c r="J91" i="30"/>
  <c r="K91" i="30"/>
  <c r="L91" i="30"/>
  <c r="M91" i="30"/>
  <c r="N91" i="30"/>
  <c r="O91" i="30"/>
  <c r="B92" i="30"/>
  <c r="C92" i="30"/>
  <c r="D92" i="30"/>
  <c r="E92" i="30"/>
  <c r="F92" i="30"/>
  <c r="G92" i="30"/>
  <c r="H92" i="30"/>
  <c r="I92" i="30"/>
  <c r="J92" i="30"/>
  <c r="K92" i="30"/>
  <c r="L92" i="30"/>
  <c r="M92" i="30"/>
  <c r="N92" i="30"/>
  <c r="O92" i="30"/>
  <c r="B93" i="30"/>
  <c r="C93" i="30"/>
  <c r="D93" i="30"/>
  <c r="E93" i="30"/>
  <c r="F93" i="30"/>
  <c r="G93" i="30"/>
  <c r="H93" i="30"/>
  <c r="I93" i="30"/>
  <c r="J93" i="30"/>
  <c r="K93" i="30"/>
  <c r="L93" i="30"/>
  <c r="M93" i="30"/>
  <c r="N93" i="30"/>
  <c r="O93" i="30"/>
  <c r="B94" i="30"/>
  <c r="C94" i="30"/>
  <c r="D94" i="30"/>
  <c r="E94" i="30"/>
  <c r="F94" i="30"/>
  <c r="G94" i="30"/>
  <c r="H94" i="30"/>
  <c r="I94" i="30"/>
  <c r="J94" i="30"/>
  <c r="K94" i="30"/>
  <c r="L94" i="30"/>
  <c r="M94" i="30"/>
  <c r="N94" i="30"/>
  <c r="O94" i="30"/>
  <c r="A71" i="30"/>
  <c r="A72" i="30"/>
  <c r="A73" i="30"/>
  <c r="A74" i="30"/>
  <c r="A75" i="30"/>
  <c r="A76" i="30"/>
  <c r="A77" i="30"/>
  <c r="A78" i="30"/>
  <c r="A79" i="30"/>
  <c r="A80" i="30"/>
  <c r="A81" i="30"/>
  <c r="A82" i="30"/>
  <c r="A83" i="30"/>
  <c r="A84" i="30"/>
  <c r="A85" i="30"/>
  <c r="A86" i="30"/>
  <c r="A87" i="30"/>
  <c r="A88" i="30"/>
  <c r="A89" i="30"/>
  <c r="A90" i="30"/>
  <c r="A91" i="30"/>
  <c r="A92" i="30"/>
  <c r="A93" i="30"/>
  <c r="A94" i="30"/>
  <c r="A70" i="30"/>
  <c r="M41" i="30"/>
  <c r="M37" i="30"/>
  <c r="M36" i="30"/>
  <c r="L51" i="28"/>
  <c r="L52" i="28"/>
  <c r="L53" i="28"/>
  <c r="L54" i="28"/>
  <c r="L49" i="28"/>
  <c r="L50" i="28"/>
  <c r="L47" i="28"/>
  <c r="L48" i="28"/>
  <c r="L46" i="28"/>
  <c r="L45" i="28"/>
  <c r="L41" i="28"/>
  <c r="L40" i="28"/>
  <c r="L39" i="28"/>
  <c r="L38" i="28"/>
  <c r="L36" i="28"/>
  <c r="L35" i="28"/>
  <c r="L34" i="28"/>
  <c r="L31" i="28"/>
  <c r="L30" i="28"/>
  <c r="L28" i="28"/>
  <c r="L27" i="28"/>
  <c r="K42" i="28"/>
  <c r="K34" i="28"/>
  <c r="J30" i="28"/>
  <c r="K38" i="28"/>
  <c r="K35" i="28"/>
  <c r="K27" i="28"/>
  <c r="J16" i="28"/>
  <c r="A19" i="28"/>
  <c r="A20" i="28"/>
  <c r="C17" i="28"/>
  <c r="L18" i="28" s="1"/>
  <c r="C20" i="28"/>
  <c r="L22" i="28" s="1"/>
  <c r="A17" i="28"/>
  <c r="C16" i="28"/>
  <c r="L16" i="28" s="1"/>
  <c r="M106" i="20"/>
  <c r="L103" i="20"/>
  <c r="Z16" i="20" s="1"/>
  <c r="Z21" i="20"/>
  <c r="Z23" i="20"/>
  <c r="Z24" i="20"/>
  <c r="Z26" i="20"/>
  <c r="Z33" i="20"/>
  <c r="Z34" i="20"/>
  <c r="Z42" i="20"/>
  <c r="Z44" i="20"/>
  <c r="Z45" i="20"/>
  <c r="Z12" i="20"/>
  <c r="Y13" i="20"/>
  <c r="Y14" i="20"/>
  <c r="Y15" i="20"/>
  <c r="Y16" i="20"/>
  <c r="Y17" i="20"/>
  <c r="Y18" i="20"/>
  <c r="Y19" i="20"/>
  <c r="Y20" i="20"/>
  <c r="Y21" i="20"/>
  <c r="Y22" i="20"/>
  <c r="Y23" i="20"/>
  <c r="Y24" i="20"/>
  <c r="Y25" i="20"/>
  <c r="Y26" i="20"/>
  <c r="Y27" i="20"/>
  <c r="Y28" i="20"/>
  <c r="Y29" i="20"/>
  <c r="Y30" i="20"/>
  <c r="Y31" i="20"/>
  <c r="Y32" i="20"/>
  <c r="Y33" i="20"/>
  <c r="Y34" i="20"/>
  <c r="Y35" i="20"/>
  <c r="Y36" i="20"/>
  <c r="Y37" i="20"/>
  <c r="Y38" i="20"/>
  <c r="Y39" i="20"/>
  <c r="Y40" i="20"/>
  <c r="Y41" i="20"/>
  <c r="Y42" i="20"/>
  <c r="Y43" i="20"/>
  <c r="Y44" i="20"/>
  <c r="Y45" i="20"/>
  <c r="Y46" i="20"/>
  <c r="Y47" i="20"/>
  <c r="Y12" i="20"/>
  <c r="G324" i="24"/>
  <c r="G280" i="24"/>
  <c r="G235" i="24"/>
  <c r="G191" i="24"/>
  <c r="G147" i="24"/>
  <c r="G103" i="24"/>
  <c r="G58" i="24"/>
  <c r="G10" i="24"/>
  <c r="G279" i="25"/>
  <c r="G236" i="25"/>
  <c r="G10" i="25"/>
  <c r="G57" i="25"/>
  <c r="G102" i="25"/>
  <c r="G147" i="25"/>
  <c r="G192" i="25"/>
  <c r="C6" i="25"/>
  <c r="B6" i="25"/>
  <c r="A6" i="25"/>
  <c r="C5" i="25"/>
  <c r="A5" i="25"/>
  <c r="C4" i="25"/>
  <c r="A4" i="25"/>
  <c r="C3" i="25"/>
  <c r="B3" i="25"/>
  <c r="A3" i="25"/>
  <c r="B2" i="19"/>
  <c r="C6" i="24"/>
  <c r="A6" i="24"/>
  <c r="C5" i="24"/>
  <c r="A5" i="24"/>
  <c r="C4" i="24"/>
  <c r="A4" i="24"/>
  <c r="C3" i="24"/>
  <c r="A3" i="24"/>
  <c r="B3" i="24"/>
  <c r="C5" i="23"/>
  <c r="B6" i="23"/>
  <c r="O6" i="23" s="1"/>
  <c r="B5" i="23"/>
  <c r="A6" i="23"/>
  <c r="N6" i="23" s="1"/>
  <c r="A5" i="23"/>
  <c r="M62" i="20"/>
  <c r="M61" i="20"/>
  <c r="M51" i="20"/>
  <c r="L51" i="20"/>
  <c r="K51" i="20"/>
  <c r="J51" i="20"/>
  <c r="I51" i="20"/>
  <c r="H51" i="20"/>
  <c r="G51" i="20"/>
  <c r="F51" i="20"/>
  <c r="E51" i="20"/>
  <c r="D51" i="20"/>
  <c r="C51" i="20"/>
  <c r="B51" i="20"/>
  <c r="M50" i="20"/>
  <c r="L50" i="20"/>
  <c r="K50" i="20"/>
  <c r="J50" i="20"/>
  <c r="I50" i="20"/>
  <c r="H50" i="20"/>
  <c r="G50" i="20"/>
  <c r="F50" i="20"/>
  <c r="E50" i="20"/>
  <c r="D50" i="20"/>
  <c r="C50" i="20"/>
  <c r="B50" i="20"/>
  <c r="M49" i="20"/>
  <c r="L49" i="20"/>
  <c r="K49" i="20"/>
  <c r="J49" i="20"/>
  <c r="I49" i="20"/>
  <c r="H49" i="20"/>
  <c r="G49" i="20"/>
  <c r="D49" i="20"/>
  <c r="C49" i="20"/>
  <c r="B49" i="20"/>
  <c r="C2" i="20"/>
  <c r="B57" i="5"/>
  <c r="M33" i="5"/>
  <c r="M34" i="5"/>
  <c r="M35" i="5"/>
  <c r="M36" i="5"/>
  <c r="M37" i="5"/>
  <c r="M38" i="5"/>
  <c r="M39" i="5"/>
  <c r="M40" i="5"/>
  <c r="M41" i="5"/>
  <c r="M25" i="5"/>
  <c r="M26" i="5"/>
  <c r="M27" i="5"/>
  <c r="M28" i="5"/>
  <c r="M29" i="5"/>
  <c r="M30" i="5"/>
  <c r="M31" i="5"/>
  <c r="M32" i="5"/>
  <c r="M24" i="5"/>
  <c r="B4" i="25"/>
  <c r="F2" i="25"/>
  <c r="B6" i="5"/>
  <c r="B7" i="5"/>
  <c r="B20" i="28"/>
  <c r="B5" i="5"/>
  <c r="B18" i="28"/>
  <c r="B6" i="30"/>
  <c r="B21" i="28"/>
  <c r="B20" i="34"/>
  <c r="B21" i="34"/>
  <c r="K23" i="28"/>
  <c r="E4" i="30"/>
  <c r="K22" i="34"/>
  <c r="B18" i="34"/>
  <c r="K19" i="34"/>
  <c r="E4" i="5"/>
  <c r="B7" i="30"/>
  <c r="L68" i="31"/>
  <c r="K20" i="28"/>
  <c r="L69" i="31"/>
  <c r="G148" i="25"/>
  <c r="M84" i="20"/>
  <c r="G58" i="25"/>
  <c r="G193" i="25"/>
  <c r="G104" i="24"/>
  <c r="G236" i="24"/>
  <c r="M88" i="20"/>
  <c r="G11" i="25"/>
  <c r="G280" i="25"/>
  <c r="M110" i="31"/>
  <c r="M108" i="20"/>
  <c r="G325" i="24"/>
  <c r="G11" i="24"/>
  <c r="M107" i="20"/>
  <c r="M86" i="31"/>
  <c r="G281" i="24"/>
  <c r="G103" i="25"/>
  <c r="G59" i="24"/>
  <c r="G237" i="25"/>
  <c r="M109" i="31"/>
  <c r="G148" i="24"/>
  <c r="G192" i="24"/>
  <c r="C48" i="30" l="1"/>
  <c r="U28" i="30"/>
  <c r="U37" i="30"/>
  <c r="N39" i="30"/>
  <c r="O39" i="30" s="1"/>
  <c r="M28" i="30"/>
  <c r="Z44" i="31"/>
  <c r="G52" i="31"/>
  <c r="T38" i="31"/>
  <c r="U38" i="31" s="1"/>
  <c r="Y20" i="31"/>
  <c r="Z27" i="31"/>
  <c r="Z45" i="31"/>
  <c r="C53" i="31"/>
  <c r="J53" i="31"/>
  <c r="U22" i="31"/>
  <c r="N31" i="30"/>
  <c r="U35" i="30"/>
  <c r="T37" i="31"/>
  <c r="U37" i="31" s="1"/>
  <c r="Y28" i="31"/>
  <c r="M53" i="31"/>
  <c r="Z43" i="31"/>
  <c r="I51" i="31"/>
  <c r="Z35" i="31"/>
  <c r="C54" i="30"/>
  <c r="C53" i="30"/>
  <c r="M27" i="30"/>
  <c r="C52" i="30"/>
  <c r="C50" i="30"/>
  <c r="S38" i="30"/>
  <c r="N36" i="30"/>
  <c r="O36" i="30" s="1"/>
  <c r="N34" i="30"/>
  <c r="O34" i="30" s="1"/>
  <c r="N35" i="30"/>
  <c r="U39" i="30"/>
  <c r="U25" i="30"/>
  <c r="N41" i="30"/>
  <c r="O41" i="30" s="1"/>
  <c r="S24" i="30"/>
  <c r="N29" i="30"/>
  <c r="O29" i="30" s="1"/>
  <c r="N38" i="30"/>
  <c r="O38" i="30" s="1"/>
  <c r="N37" i="30"/>
  <c r="O37" i="30" s="1"/>
  <c r="M40" i="30"/>
  <c r="C56" i="30"/>
  <c r="C51" i="30"/>
  <c r="S41" i="30"/>
  <c r="C55" i="30"/>
  <c r="S26" i="30"/>
  <c r="N26" i="30"/>
  <c r="O26" i="30" s="1"/>
  <c r="N30" i="30"/>
  <c r="O30" i="30" s="1"/>
  <c r="B17" i="28"/>
  <c r="B22" i="28" s="1"/>
  <c r="P19" i="28"/>
  <c r="P23" i="28" s="1"/>
  <c r="P28" i="28" s="1"/>
  <c r="P30" i="28" s="1"/>
  <c r="B8" i="30"/>
  <c r="E5" i="5"/>
  <c r="P19" i="34"/>
  <c r="P23" i="34" s="1"/>
  <c r="P28" i="34" s="1"/>
  <c r="K21" i="34"/>
  <c r="K23" i="34" s="1"/>
  <c r="P49" i="34" s="1"/>
  <c r="E5" i="30"/>
  <c r="K22" i="28"/>
  <c r="K24" i="28" s="1"/>
  <c r="P54" i="28"/>
  <c r="F5" i="31"/>
  <c r="F6" i="31" s="1"/>
  <c r="J34" i="30"/>
  <c r="J37" i="30"/>
  <c r="B20" i="30"/>
  <c r="O28" i="30"/>
  <c r="G19" i="28"/>
  <c r="G23" i="28" s="1"/>
  <c r="G28" i="28" s="1"/>
  <c r="F3" i="20"/>
  <c r="B3" i="23" s="1"/>
  <c r="B8" i="5"/>
  <c r="O37" i="5"/>
  <c r="J39" i="5"/>
  <c r="B20" i="5"/>
  <c r="O30" i="5"/>
  <c r="J32" i="5"/>
  <c r="J34" i="5"/>
  <c r="J26" i="5"/>
  <c r="O40" i="5"/>
  <c r="F5" i="20"/>
  <c r="F6" i="20" s="1"/>
  <c r="O29" i="5"/>
  <c r="J35" i="5"/>
  <c r="O38" i="5"/>
  <c r="O41" i="5"/>
  <c r="J27" i="5"/>
  <c r="J40" i="5"/>
  <c r="B9" i="5"/>
  <c r="B5" i="25"/>
  <c r="B7" i="25" s="1"/>
  <c r="J24" i="5"/>
  <c r="J31" i="5"/>
  <c r="B5" i="24"/>
  <c r="B7" i="24" s="1"/>
  <c r="B52" i="31"/>
  <c r="Z14" i="31"/>
  <c r="B51" i="31"/>
  <c r="B53" i="31"/>
  <c r="Y14" i="31"/>
  <c r="Z38" i="31"/>
  <c r="Y38" i="31"/>
  <c r="U33" i="20"/>
  <c r="T50" i="20"/>
  <c r="T51" i="20"/>
  <c r="G53" i="31"/>
  <c r="L52" i="31"/>
  <c r="L54" i="31"/>
  <c r="L53" i="31"/>
  <c r="U46" i="31"/>
  <c r="U27" i="31"/>
  <c r="Y23" i="31"/>
  <c r="Z23" i="31"/>
  <c r="Y31" i="31"/>
  <c r="M89" i="31"/>
  <c r="Y47" i="31"/>
  <c r="Z47" i="31"/>
  <c r="Z30" i="31"/>
  <c r="Y30" i="31"/>
  <c r="Z22" i="31"/>
  <c r="Y22" i="31"/>
  <c r="Z46" i="31"/>
  <c r="Y46" i="31"/>
  <c r="B54" i="31"/>
  <c r="I52" i="31"/>
  <c r="I53" i="31"/>
  <c r="C49" i="30"/>
  <c r="B57" i="30"/>
  <c r="E51" i="31"/>
  <c r="E54" i="31"/>
  <c r="E53" i="31"/>
  <c r="E52" i="31"/>
  <c r="Z32" i="20"/>
  <c r="M54" i="31"/>
  <c r="U48" i="31"/>
  <c r="T52" i="20"/>
  <c r="U12" i="20"/>
  <c r="T49" i="20"/>
  <c r="C6" i="23"/>
  <c r="F51" i="31"/>
  <c r="F53" i="31"/>
  <c r="F54" i="31"/>
  <c r="F52" i="31"/>
  <c r="U29" i="20"/>
  <c r="C23" i="23"/>
  <c r="B13" i="30"/>
  <c r="B3" i="31" s="1"/>
  <c r="B3" i="20"/>
  <c r="U29" i="5"/>
  <c r="F29" i="30"/>
  <c r="U29" i="30" s="1"/>
  <c r="S31" i="30"/>
  <c r="U31" i="30"/>
  <c r="U44" i="31"/>
  <c r="U36" i="31"/>
  <c r="T33" i="31"/>
  <c r="T51" i="31" s="1"/>
  <c r="C31" i="30"/>
  <c r="C42" i="5"/>
  <c r="Z37" i="20"/>
  <c r="U18" i="31"/>
  <c r="U21" i="20"/>
  <c r="C15" i="23"/>
  <c r="C51" i="31"/>
  <c r="T29" i="31"/>
  <c r="C57" i="5"/>
  <c r="Z13" i="20"/>
  <c r="Z14" i="20"/>
  <c r="Z22" i="20"/>
  <c r="Z30" i="20"/>
  <c r="Z38" i="20"/>
  <c r="Z46" i="20"/>
  <c r="Z19" i="20"/>
  <c r="Z27" i="20"/>
  <c r="Z35" i="20"/>
  <c r="Z43" i="20"/>
  <c r="Z17" i="20"/>
  <c r="Z28" i="20"/>
  <c r="Z39" i="20"/>
  <c r="Z18" i="20"/>
  <c r="Z29" i="20"/>
  <c r="Z40" i="20"/>
  <c r="Z20" i="20"/>
  <c r="Z31" i="20"/>
  <c r="Z41" i="20"/>
  <c r="Z15" i="20"/>
  <c r="Z25" i="20"/>
  <c r="Z36" i="20"/>
  <c r="Z47" i="20"/>
  <c r="J52" i="31"/>
  <c r="J54" i="31"/>
  <c r="K52" i="31"/>
  <c r="K53" i="31"/>
  <c r="K51" i="31"/>
  <c r="P40" i="28"/>
  <c r="J36" i="30"/>
  <c r="Z19" i="31"/>
  <c r="D33" i="30"/>
  <c r="J33" i="30" s="1"/>
  <c r="N33" i="5"/>
  <c r="O33" i="5" s="1"/>
  <c r="AM20" i="33"/>
  <c r="S30" i="5"/>
  <c r="E30" i="30"/>
  <c r="S30" i="30" s="1"/>
  <c r="M32" i="30"/>
  <c r="I54" i="31"/>
  <c r="C11" i="23"/>
  <c r="D32" i="30"/>
  <c r="J32" i="30" s="1"/>
  <c r="N32" i="5"/>
  <c r="O32" i="5" s="1"/>
  <c r="T53" i="31"/>
  <c r="T45" i="31"/>
  <c r="U45" i="31" s="1"/>
  <c r="C33" i="30"/>
  <c r="J51" i="31"/>
  <c r="G54" i="31"/>
  <c r="U32" i="30"/>
  <c r="S32" i="30"/>
  <c r="S36" i="30"/>
  <c r="U36" i="30"/>
  <c r="J41" i="30"/>
  <c r="J38" i="30"/>
  <c r="J35" i="30"/>
  <c r="J26" i="30"/>
  <c r="K21" i="28"/>
  <c r="P18" i="28" s="1"/>
  <c r="P22" i="28" s="1"/>
  <c r="P27" i="28" s="1"/>
  <c r="D25" i="30"/>
  <c r="N25" i="30" s="1"/>
  <c r="N25" i="5"/>
  <c r="O27" i="5"/>
  <c r="J27" i="30"/>
  <c r="O27" i="30"/>
  <c r="J31" i="30"/>
  <c r="O31" i="30"/>
  <c r="J39" i="30"/>
  <c r="G51" i="31"/>
  <c r="S27" i="5"/>
  <c r="E27" i="30"/>
  <c r="S27" i="30" s="1"/>
  <c r="C26" i="30"/>
  <c r="K20" i="34"/>
  <c r="P18" i="34" s="1"/>
  <c r="P22" i="34" s="1"/>
  <c r="P27" i="34" s="1"/>
  <c r="P24" i="34"/>
  <c r="P29" i="34" s="1"/>
  <c r="J29" i="30"/>
  <c r="J30" i="30"/>
  <c r="O35" i="30"/>
  <c r="D24" i="30"/>
  <c r="N24" i="30" s="1"/>
  <c r="O24" i="30" s="1"/>
  <c r="N24" i="5"/>
  <c r="J28" i="30"/>
  <c r="U40" i="30"/>
  <c r="J40" i="30"/>
  <c r="O40" i="30"/>
  <c r="C27" i="30"/>
  <c r="C29" i="30"/>
  <c r="J36" i="5"/>
  <c r="O34" i="5"/>
  <c r="J28" i="5"/>
  <c r="O26" i="5"/>
  <c r="J41" i="5"/>
  <c r="O39" i="5"/>
  <c r="J33" i="5"/>
  <c r="O31" i="5"/>
  <c r="O24" i="5"/>
  <c r="B17" i="34"/>
  <c r="B22" i="34" s="1"/>
  <c r="J38" i="5"/>
  <c r="O36" i="5"/>
  <c r="J30" i="5"/>
  <c r="O28" i="5"/>
  <c r="C30" i="30"/>
  <c r="J37" i="5"/>
  <c r="O35" i="5"/>
  <c r="J29" i="5"/>
  <c r="B19" i="28"/>
  <c r="B5" i="30"/>
  <c r="G43" i="28"/>
  <c r="P43" i="28"/>
  <c r="M90" i="31"/>
  <c r="T52" i="31" l="1"/>
  <c r="U33" i="31"/>
  <c r="C57" i="30"/>
  <c r="B9" i="30"/>
  <c r="N32" i="30"/>
  <c r="O32" i="30" s="1"/>
  <c r="Q32" i="30" s="1"/>
  <c r="N33" i="30"/>
  <c r="O33" i="30" s="1"/>
  <c r="Q33" i="30" s="1"/>
  <c r="G18" i="28"/>
  <c r="G22" i="28" s="1"/>
  <c r="G27" i="28" s="1"/>
  <c r="G36" i="28" s="1"/>
  <c r="G53" i="28" s="1"/>
  <c r="G54" i="28" s="1"/>
  <c r="G19" i="34"/>
  <c r="G23" i="34" s="1"/>
  <c r="G28" i="34" s="1"/>
  <c r="G37" i="34" s="1"/>
  <c r="G41" i="34" s="1"/>
  <c r="G42" i="34" s="1"/>
  <c r="G24" i="28"/>
  <c r="G29" i="28" s="1"/>
  <c r="G30" i="28" s="1"/>
  <c r="G31" i="28" s="1"/>
  <c r="P42" i="28"/>
  <c r="P44" i="28" s="1"/>
  <c r="P46" i="28" s="1"/>
  <c r="G42" i="28"/>
  <c r="G44" i="28" s="1"/>
  <c r="G46" i="28" s="1"/>
  <c r="D23" i="31"/>
  <c r="D18" i="31"/>
  <c r="D17" i="31"/>
  <c r="D49" i="31"/>
  <c r="D44" i="31"/>
  <c r="D47" i="31"/>
  <c r="D46" i="31"/>
  <c r="D16" i="31"/>
  <c r="D15" i="31"/>
  <c r="D14" i="31"/>
  <c r="D21" i="31"/>
  <c r="D20" i="31"/>
  <c r="D19" i="31"/>
  <c r="D22" i="31"/>
  <c r="D25" i="31"/>
  <c r="D24" i="31"/>
  <c r="D39" i="31"/>
  <c r="D38" i="31"/>
  <c r="D41" i="31"/>
  <c r="D40" i="31"/>
  <c r="D30" i="31"/>
  <c r="D32" i="31"/>
  <c r="D34" i="31"/>
  <c r="D36" i="31"/>
  <c r="D43" i="31"/>
  <c r="D45" i="31"/>
  <c r="D27" i="31"/>
  <c r="D28" i="31"/>
  <c r="D29" i="31"/>
  <c r="D33" i="31"/>
  <c r="D31" i="31"/>
  <c r="D48" i="31"/>
  <c r="D42" i="31"/>
  <c r="D35" i="31"/>
  <c r="D26" i="31"/>
  <c r="D37" i="31"/>
  <c r="F3" i="31"/>
  <c r="K33" i="30"/>
  <c r="L33" i="30"/>
  <c r="Q24" i="30"/>
  <c r="P24" i="30"/>
  <c r="P32" i="5"/>
  <c r="Q32" i="5"/>
  <c r="P33" i="5"/>
  <c r="Q33" i="5"/>
  <c r="P33" i="30"/>
  <c r="P36" i="28"/>
  <c r="P53" i="28" s="1"/>
  <c r="L58" i="28" s="1"/>
  <c r="P31" i="28"/>
  <c r="R54" i="28"/>
  <c r="L39" i="5"/>
  <c r="K39" i="5"/>
  <c r="L29" i="5"/>
  <c r="K29" i="5"/>
  <c r="Q31" i="30"/>
  <c r="P31" i="30"/>
  <c r="P37" i="5"/>
  <c r="Q37" i="5"/>
  <c r="Q35" i="5"/>
  <c r="P35" i="5"/>
  <c r="Q28" i="5"/>
  <c r="P28" i="5"/>
  <c r="L33" i="5"/>
  <c r="K33" i="5"/>
  <c r="C42" i="30"/>
  <c r="L32" i="30"/>
  <c r="K32" i="30"/>
  <c r="L41" i="30"/>
  <c r="K41" i="30"/>
  <c r="K24" i="5"/>
  <c r="L24" i="5"/>
  <c r="Q30" i="5"/>
  <c r="P30" i="5"/>
  <c r="P38" i="30"/>
  <c r="Q38" i="30"/>
  <c r="P36" i="34"/>
  <c r="P48" i="34" s="1"/>
  <c r="R54" i="34" s="1"/>
  <c r="L30" i="5"/>
  <c r="K30" i="5"/>
  <c r="Q39" i="5"/>
  <c r="P39" i="5"/>
  <c r="L30" i="30"/>
  <c r="K30" i="30"/>
  <c r="Q27" i="5"/>
  <c r="P27" i="5"/>
  <c r="P37" i="30"/>
  <c r="Q37" i="30"/>
  <c r="B236" i="25"/>
  <c r="B147" i="25"/>
  <c r="B10" i="25"/>
  <c r="B57" i="25"/>
  <c r="B102" i="25"/>
  <c r="B279" i="25"/>
  <c r="B192" i="25"/>
  <c r="P29" i="5"/>
  <c r="Q29" i="5"/>
  <c r="J25" i="5"/>
  <c r="O25" i="5"/>
  <c r="L34" i="30"/>
  <c r="K34" i="30"/>
  <c r="L50" i="34"/>
  <c r="L41" i="5"/>
  <c r="R41" i="5" s="1"/>
  <c r="K41" i="5"/>
  <c r="P34" i="30"/>
  <c r="Q34" i="30"/>
  <c r="P26" i="30"/>
  <c r="Q26" i="30"/>
  <c r="Q36" i="5"/>
  <c r="P36" i="5"/>
  <c r="P40" i="5"/>
  <c r="Q40" i="5"/>
  <c r="L38" i="5"/>
  <c r="K38" i="5"/>
  <c r="P40" i="30"/>
  <c r="Q40" i="30"/>
  <c r="P37" i="34"/>
  <c r="P30" i="34"/>
  <c r="P31" i="34" s="1"/>
  <c r="L37" i="5"/>
  <c r="K37" i="5"/>
  <c r="G24" i="34"/>
  <c r="G29" i="34" s="1"/>
  <c r="Q36" i="30"/>
  <c r="P36" i="30"/>
  <c r="P41" i="5"/>
  <c r="Q41" i="5"/>
  <c r="L34" i="5"/>
  <c r="K34" i="5"/>
  <c r="J25" i="30"/>
  <c r="Q24" i="5"/>
  <c r="P24" i="5"/>
  <c r="Q34" i="5"/>
  <c r="P34" i="5"/>
  <c r="Q39" i="30"/>
  <c r="P39" i="30"/>
  <c r="Q27" i="30"/>
  <c r="P27" i="30"/>
  <c r="B10" i="24"/>
  <c r="B280" i="24"/>
  <c r="B324" i="24"/>
  <c r="B103" i="24"/>
  <c r="B147" i="24"/>
  <c r="B191" i="24"/>
  <c r="B58" i="24"/>
  <c r="B3" i="19"/>
  <c r="B235" i="24"/>
  <c r="Q38" i="5"/>
  <c r="P38" i="5"/>
  <c r="L37" i="30"/>
  <c r="K37" i="30"/>
  <c r="L29" i="30"/>
  <c r="K29" i="30"/>
  <c r="P41" i="30"/>
  <c r="Q41" i="30"/>
  <c r="Q26" i="5"/>
  <c r="P26" i="5"/>
  <c r="L26" i="30"/>
  <c r="K26" i="30"/>
  <c r="L36" i="30"/>
  <c r="K36" i="30"/>
  <c r="L40" i="5"/>
  <c r="K40" i="5"/>
  <c r="Q29" i="30"/>
  <c r="P29" i="30"/>
  <c r="K66" i="28"/>
  <c r="L28" i="5"/>
  <c r="K28" i="5"/>
  <c r="Q35" i="30"/>
  <c r="P35" i="30"/>
  <c r="L31" i="30"/>
  <c r="K31" i="30"/>
  <c r="L35" i="30"/>
  <c r="K35" i="30"/>
  <c r="T54" i="31"/>
  <c r="U29" i="31"/>
  <c r="U54" i="31" s="1"/>
  <c r="L27" i="5"/>
  <c r="K27" i="5"/>
  <c r="L26" i="5"/>
  <c r="K26" i="5"/>
  <c r="Q28" i="30"/>
  <c r="P28" i="30"/>
  <c r="L40" i="30"/>
  <c r="K40" i="30"/>
  <c r="L38" i="30"/>
  <c r="K38" i="30"/>
  <c r="Q31" i="5"/>
  <c r="P31" i="5"/>
  <c r="L36" i="5"/>
  <c r="K36" i="5"/>
  <c r="L28" i="30"/>
  <c r="K28" i="30"/>
  <c r="Q30" i="30"/>
  <c r="P30" i="30"/>
  <c r="L39" i="30"/>
  <c r="K39" i="30"/>
  <c r="L27" i="30"/>
  <c r="K27" i="30"/>
  <c r="O25" i="30"/>
  <c r="J24" i="30"/>
  <c r="U52" i="20"/>
  <c r="U49" i="20"/>
  <c r="U51" i="20"/>
  <c r="U50" i="20"/>
  <c r="L31" i="5"/>
  <c r="K31" i="5"/>
  <c r="L35" i="5"/>
  <c r="K35" i="5"/>
  <c r="L32" i="5"/>
  <c r="K32" i="5"/>
  <c r="G32" i="28"/>
  <c r="B68" i="28"/>
  <c r="P32" i="28"/>
  <c r="P32" i="34"/>
  <c r="B19" i="34"/>
  <c r="B11" i="25"/>
  <c r="J4" i="31"/>
  <c r="B148" i="24"/>
  <c r="B325" i="24"/>
  <c r="B237" i="25"/>
  <c r="B281" i="24"/>
  <c r="B104" i="24"/>
  <c r="B148" i="25"/>
  <c r="B58" i="25"/>
  <c r="B193" i="25"/>
  <c r="B236" i="24"/>
  <c r="B280" i="25"/>
  <c r="J5" i="20"/>
  <c r="B103" i="25"/>
  <c r="B11" i="24"/>
  <c r="B192" i="24"/>
  <c r="J5" i="31"/>
  <c r="J4" i="20"/>
  <c r="B59" i="24"/>
  <c r="P32" i="30" l="1"/>
  <c r="G30" i="34"/>
  <c r="R27" i="5"/>
  <c r="T27" i="5" s="1"/>
  <c r="R36" i="30"/>
  <c r="T36" i="30" s="1"/>
  <c r="R28" i="5"/>
  <c r="V28" i="5" s="1"/>
  <c r="R29" i="30"/>
  <c r="V29" i="30" s="1"/>
  <c r="R35" i="5"/>
  <c r="V35" i="5" s="1"/>
  <c r="R34" i="5"/>
  <c r="V34" i="5" s="1"/>
  <c r="P33" i="34"/>
  <c r="P33" i="28"/>
  <c r="R36" i="5"/>
  <c r="V36" i="5" s="1"/>
  <c r="R39" i="30"/>
  <c r="V39" i="30" s="1"/>
  <c r="R26" i="5"/>
  <c r="T26" i="5" s="1"/>
  <c r="C58" i="28"/>
  <c r="R41" i="30"/>
  <c r="T41" i="30" s="1"/>
  <c r="R38" i="5"/>
  <c r="T38" i="5" s="1"/>
  <c r="R26" i="30"/>
  <c r="T26" i="30" s="1"/>
  <c r="R33" i="5"/>
  <c r="T33" i="5" s="1"/>
  <c r="R37" i="30"/>
  <c r="T37" i="30" s="1"/>
  <c r="G47" i="28"/>
  <c r="R35" i="30"/>
  <c r="V35" i="30" s="1"/>
  <c r="G33" i="28"/>
  <c r="B60" i="24"/>
  <c r="G18" i="34"/>
  <c r="G22" i="34" s="1"/>
  <c r="G27" i="34" s="1"/>
  <c r="B194" i="25"/>
  <c r="B105" i="24"/>
  <c r="B238" i="25"/>
  <c r="B326" i="24"/>
  <c r="B281" i="25"/>
  <c r="B193" i="24"/>
  <c r="B59" i="25"/>
  <c r="B282" i="24"/>
  <c r="F2" i="24" s="1"/>
  <c r="B149" i="24"/>
  <c r="B12" i="25"/>
  <c r="B104" i="25"/>
  <c r="B237" i="24"/>
  <c r="B12" i="24"/>
  <c r="B149" i="25"/>
  <c r="P49" i="28"/>
  <c r="P47" i="28"/>
  <c r="R31" i="5"/>
  <c r="R27" i="30"/>
  <c r="R40" i="5"/>
  <c r="B4" i="19"/>
  <c r="U53" i="31"/>
  <c r="L25" i="5"/>
  <c r="K25" i="5"/>
  <c r="R39" i="5"/>
  <c r="R40" i="30"/>
  <c r="P56" i="28"/>
  <c r="U51" i="31"/>
  <c r="U52" i="31"/>
  <c r="R30" i="30"/>
  <c r="R32" i="5"/>
  <c r="D53" i="31"/>
  <c r="D52" i="31"/>
  <c r="D51" i="31"/>
  <c r="D54" i="31"/>
  <c r="L24" i="30"/>
  <c r="R24" i="30" s="1"/>
  <c r="K24" i="30"/>
  <c r="R37" i="5"/>
  <c r="R32" i="30"/>
  <c r="P25" i="30"/>
  <c r="Q25" i="30"/>
  <c r="R28" i="30"/>
  <c r="R31" i="30"/>
  <c r="R34" i="30"/>
  <c r="R30" i="5"/>
  <c r="R29" i="5"/>
  <c r="B66" i="28"/>
  <c r="L25" i="30"/>
  <c r="K25" i="30"/>
  <c r="T41" i="5"/>
  <c r="V41" i="5"/>
  <c r="R38" i="30"/>
  <c r="V27" i="5"/>
  <c r="P50" i="34"/>
  <c r="P41" i="34"/>
  <c r="P25" i="5"/>
  <c r="Q25" i="5"/>
  <c r="R24" i="5"/>
  <c r="R33" i="30"/>
  <c r="K67" i="28"/>
  <c r="K68" i="28"/>
  <c r="B70" i="28"/>
  <c r="B5" i="19"/>
  <c r="T29" i="30" l="1"/>
  <c r="W29" i="30" s="1"/>
  <c r="X29" i="30" s="1"/>
  <c r="V36" i="30"/>
  <c r="V26" i="30"/>
  <c r="W26" i="30" s="1"/>
  <c r="X26" i="30" s="1"/>
  <c r="W27" i="5"/>
  <c r="X27" i="5" s="1"/>
  <c r="T39" i="30"/>
  <c r="W39" i="30" s="1"/>
  <c r="X39" i="30" s="1"/>
  <c r="T34" i="5"/>
  <c r="W34" i="5" s="1"/>
  <c r="X34" i="5" s="1"/>
  <c r="V41" i="30"/>
  <c r="R25" i="30"/>
  <c r="T25" i="30" s="1"/>
  <c r="T28" i="5"/>
  <c r="W28" i="5" s="1"/>
  <c r="X28" i="5" s="1"/>
  <c r="T35" i="5"/>
  <c r="W35" i="5" s="1"/>
  <c r="X35" i="5" s="1"/>
  <c r="T36" i="5"/>
  <c r="W36" i="5" s="1"/>
  <c r="X36" i="5" s="1"/>
  <c r="T35" i="30"/>
  <c r="W35" i="30" s="1"/>
  <c r="X35" i="30" s="1"/>
  <c r="W41" i="5"/>
  <c r="X41" i="5" s="1"/>
  <c r="V33" i="5"/>
  <c r="W33" i="5" s="1"/>
  <c r="X33" i="5" s="1"/>
  <c r="V38" i="5"/>
  <c r="W38" i="5" s="1"/>
  <c r="X38" i="5" s="1"/>
  <c r="V37" i="30"/>
  <c r="W37" i="30" s="1"/>
  <c r="X37" i="30" s="1"/>
  <c r="W41" i="30"/>
  <c r="X41" i="30" s="1"/>
  <c r="P50" i="28"/>
  <c r="V26" i="5"/>
  <c r="W26" i="5" s="1"/>
  <c r="X26" i="5" s="1"/>
  <c r="B6" i="19"/>
  <c r="T30" i="30"/>
  <c r="V30" i="30"/>
  <c r="T27" i="30"/>
  <c r="V27" i="30"/>
  <c r="P51" i="34"/>
  <c r="P52" i="34" s="1"/>
  <c r="V30" i="5"/>
  <c r="T30" i="5"/>
  <c r="V32" i="30"/>
  <c r="T32" i="30"/>
  <c r="V40" i="5"/>
  <c r="T40" i="5"/>
  <c r="V34" i="30"/>
  <c r="T34" i="30"/>
  <c r="T37" i="5"/>
  <c r="V37" i="5"/>
  <c r="R25" i="5"/>
  <c r="T38" i="30"/>
  <c r="V38" i="30"/>
  <c r="T31" i="30"/>
  <c r="V31" i="30"/>
  <c r="V31" i="5"/>
  <c r="T31" i="5"/>
  <c r="T24" i="30"/>
  <c r="V24" i="30"/>
  <c r="P59" i="28"/>
  <c r="P57" i="28"/>
  <c r="P60" i="28"/>
  <c r="G60" i="28" s="1"/>
  <c r="P44" i="34"/>
  <c r="P45" i="34" s="1"/>
  <c r="P42" i="34"/>
  <c r="W36" i="30"/>
  <c r="X36" i="30" s="1"/>
  <c r="T40" i="30"/>
  <c r="V40" i="30"/>
  <c r="G36" i="34"/>
  <c r="G48" i="34" s="1"/>
  <c r="G31" i="34"/>
  <c r="T33" i="30"/>
  <c r="V33" i="30"/>
  <c r="T24" i="5"/>
  <c r="V24" i="5"/>
  <c r="T28" i="30"/>
  <c r="V28" i="30"/>
  <c r="T32" i="5"/>
  <c r="V32" i="5"/>
  <c r="V29" i="5"/>
  <c r="T29" i="5"/>
  <c r="V39" i="5"/>
  <c r="T39" i="5"/>
  <c r="G32" i="34"/>
  <c r="G55" i="28"/>
  <c r="W24" i="5" l="1"/>
  <c r="W20" i="5" s="1"/>
  <c r="V25" i="30"/>
  <c r="W28" i="30"/>
  <c r="X28" i="30" s="1"/>
  <c r="W40" i="30"/>
  <c r="X40" i="30" s="1"/>
  <c r="W24" i="30"/>
  <c r="W31" i="30"/>
  <c r="X31" i="30" s="1"/>
  <c r="W30" i="30"/>
  <c r="X30" i="30" s="1"/>
  <c r="W37" i="5"/>
  <c r="X37" i="5" s="1"/>
  <c r="W32" i="5"/>
  <c r="X32" i="5" s="1"/>
  <c r="C5" i="28"/>
  <c r="G56" i="28"/>
  <c r="P62" i="28"/>
  <c r="W39" i="5"/>
  <c r="X39" i="5" s="1"/>
  <c r="W33" i="30"/>
  <c r="X33" i="30" s="1"/>
  <c r="G33" i="34"/>
  <c r="W40" i="5"/>
  <c r="X40" i="5" s="1"/>
  <c r="P63" i="28"/>
  <c r="P64" i="28"/>
  <c r="X24" i="5"/>
  <c r="W29" i="5"/>
  <c r="X29" i="5" s="1"/>
  <c r="C51" i="34"/>
  <c r="G49" i="34"/>
  <c r="W34" i="30"/>
  <c r="X34" i="30" s="1"/>
  <c r="P54" i="34"/>
  <c r="W38" i="30"/>
  <c r="X38" i="30" s="1"/>
  <c r="W27" i="30"/>
  <c r="X27" i="30" s="1"/>
  <c r="X24" i="30"/>
  <c r="V25" i="5"/>
  <c r="T25" i="5"/>
  <c r="W32" i="30"/>
  <c r="X32" i="30" s="1"/>
  <c r="P55" i="34"/>
  <c r="G55" i="34" s="1"/>
  <c r="W31" i="5"/>
  <c r="X31" i="5" s="1"/>
  <c r="W30" i="5"/>
  <c r="X30" i="5" s="1"/>
  <c r="W25" i="30"/>
  <c r="X25" i="30" s="1"/>
  <c r="G50" i="34"/>
  <c r="P65" i="28"/>
  <c r="C5" i="34" l="1"/>
  <c r="G51" i="34"/>
  <c r="G54" i="34" s="1"/>
  <c r="G59" i="28"/>
  <c r="G57" i="28"/>
  <c r="W42" i="30"/>
  <c r="B60" i="30" s="1"/>
  <c r="B64" i="30" s="1"/>
  <c r="N33" i="31" s="1"/>
  <c r="P57" i="34"/>
  <c r="W25" i="5"/>
  <c r="G49" i="28" l="1"/>
  <c r="N25" i="31"/>
  <c r="N39" i="31"/>
  <c r="N32" i="31"/>
  <c r="N17" i="31"/>
  <c r="N48" i="31"/>
  <c r="N40" i="31"/>
  <c r="N18" i="31"/>
  <c r="N37" i="31"/>
  <c r="N29" i="31"/>
  <c r="G52" i="34"/>
  <c r="G44" i="34" s="1"/>
  <c r="G45" i="34" s="1"/>
  <c r="G57" i="34" s="1"/>
  <c r="G59" i="34" s="1"/>
  <c r="B6" i="34" s="1"/>
  <c r="N15" i="31"/>
  <c r="N45" i="31"/>
  <c r="N27" i="31"/>
  <c r="N21" i="31"/>
  <c r="X25" i="5"/>
  <c r="W42" i="5"/>
  <c r="B60" i="5" s="1"/>
  <c r="B64" i="5" s="1"/>
  <c r="G50" i="28"/>
  <c r="G62" i="28" s="1"/>
  <c r="N35" i="31"/>
  <c r="N42" i="31"/>
  <c r="N24" i="31"/>
  <c r="N44" i="31"/>
  <c r="N14" i="31"/>
  <c r="N49" i="31"/>
  <c r="N46" i="31"/>
  <c r="N36" i="31"/>
  <c r="N26" i="31"/>
  <c r="N47" i="31"/>
  <c r="N43" i="31"/>
  <c r="N38" i="31"/>
  <c r="N28" i="31"/>
  <c r="N19" i="31"/>
  <c r="N41" i="31"/>
  <c r="N34" i="31"/>
  <c r="N30" i="31"/>
  <c r="N20" i="31"/>
  <c r="N16" i="31"/>
  <c r="N23" i="31"/>
  <c r="N31" i="31"/>
  <c r="N22" i="31"/>
  <c r="P58" i="34"/>
  <c r="P59" i="34"/>
  <c r="B67" i="28"/>
  <c r="B69" i="28"/>
  <c r="G65" i="28"/>
  <c r="P60" i="34"/>
  <c r="G60" i="34"/>
  <c r="J6" i="31"/>
  <c r="N53" i="31" l="1"/>
  <c r="N51" i="31"/>
  <c r="N54" i="31"/>
  <c r="N52" i="31"/>
  <c r="B4" i="34"/>
  <c r="G58" i="34"/>
  <c r="B5" i="34" s="1"/>
  <c r="B7" i="28"/>
  <c r="N12" i="20"/>
  <c r="N31" i="20"/>
  <c r="N29" i="20"/>
  <c r="N14" i="20"/>
  <c r="N25" i="20"/>
  <c r="N22" i="20"/>
  <c r="N39" i="20"/>
  <c r="N37" i="20"/>
  <c r="N36" i="20"/>
  <c r="N27" i="20"/>
  <c r="N30" i="20"/>
  <c r="N16" i="20"/>
  <c r="N45" i="20"/>
  <c r="N15" i="20"/>
  <c r="N33" i="20"/>
  <c r="N38" i="20"/>
  <c r="N26" i="20"/>
  <c r="N17" i="20"/>
  <c r="N40" i="20"/>
  <c r="N43" i="20"/>
  <c r="N46" i="20"/>
  <c r="N34" i="20"/>
  <c r="N35" i="20"/>
  <c r="N18" i="20"/>
  <c r="N20" i="20"/>
  <c r="N42" i="20"/>
  <c r="N19" i="20"/>
  <c r="N41" i="20"/>
  <c r="N13" i="20"/>
  <c r="N47" i="20"/>
  <c r="N28" i="20"/>
  <c r="N32" i="20"/>
  <c r="N23" i="20"/>
  <c r="N21" i="20"/>
  <c r="N44" i="20"/>
  <c r="N24" i="20"/>
  <c r="B4" i="28"/>
  <c r="G64" i="28"/>
  <c r="B6" i="28" s="1"/>
  <c r="G63" i="28"/>
  <c r="B5" i="28" s="1"/>
  <c r="B7" i="34"/>
  <c r="J6" i="20"/>
  <c r="N50" i="20" l="1"/>
  <c r="N49" i="20"/>
  <c r="N52" i="20"/>
  <c r="N51" i="20"/>
  <c r="B5" i="20"/>
  <c r="B5" i="31"/>
  <c r="O16" i="31"/>
  <c r="O45" i="31"/>
  <c r="O27" i="31"/>
  <c r="O31" i="31"/>
  <c r="O42" i="31"/>
  <c r="O47" i="31"/>
  <c r="O17" i="31"/>
  <c r="O29" i="31"/>
  <c r="O15" i="31"/>
  <c r="O33" i="31"/>
  <c r="O46" i="31"/>
  <c r="O26" i="31"/>
  <c r="O43" i="31"/>
  <c r="O49" i="31"/>
  <c r="O24" i="31"/>
  <c r="O37" i="31"/>
  <c r="O20" i="31"/>
  <c r="O18" i="31"/>
  <c r="O14" i="31"/>
  <c r="O22" i="31"/>
  <c r="O25" i="31"/>
  <c r="O41" i="31"/>
  <c r="O39" i="31"/>
  <c r="O38" i="31"/>
  <c r="O21" i="31"/>
  <c r="O35" i="31"/>
  <c r="O23" i="31"/>
  <c r="O34" i="31"/>
  <c r="O19" i="31"/>
  <c r="O28" i="31"/>
  <c r="O44" i="31"/>
  <c r="O48" i="31"/>
  <c r="O36" i="31"/>
  <c r="O32" i="31"/>
  <c r="O40" i="31"/>
  <c r="O30" i="31"/>
  <c r="O28" i="20"/>
  <c r="O22" i="20"/>
  <c r="O27" i="20"/>
  <c r="O47" i="20"/>
  <c r="O31" i="20"/>
  <c r="O46" i="20"/>
  <c r="O38" i="20"/>
  <c r="O30" i="20"/>
  <c r="O18" i="20"/>
  <c r="O45" i="20"/>
  <c r="O37" i="20"/>
  <c r="O29" i="20"/>
  <c r="O17" i="20"/>
  <c r="O44" i="20"/>
  <c r="O16" i="20"/>
  <c r="O43" i="20"/>
  <c r="O15" i="20"/>
  <c r="O21" i="20"/>
  <c r="O42" i="20"/>
  <c r="O34" i="20"/>
  <c r="O26" i="20"/>
  <c r="O14" i="20"/>
  <c r="O20" i="20"/>
  <c r="O41" i="20"/>
  <c r="O33" i="20"/>
  <c r="O25" i="20"/>
  <c r="O13" i="20"/>
  <c r="O19" i="20"/>
  <c r="O40" i="20"/>
  <c r="O32" i="20"/>
  <c r="O24" i="20"/>
  <c r="O12" i="20"/>
  <c r="O36" i="20"/>
  <c r="O35" i="20"/>
  <c r="O39" i="20"/>
  <c r="O23" i="20"/>
  <c r="J7" i="31"/>
  <c r="J7" i="20"/>
  <c r="P23" i="20" l="1"/>
  <c r="W23" i="20" s="1"/>
  <c r="E17" i="23"/>
  <c r="Q17" i="23" s="1"/>
  <c r="P39" i="20"/>
  <c r="W39" i="20" s="1"/>
  <c r="E33" i="23"/>
  <c r="Q33" i="23" s="1"/>
  <c r="E29" i="23"/>
  <c r="Q29" i="23" s="1"/>
  <c r="P35" i="20"/>
  <c r="W35" i="20" s="1"/>
  <c r="E30" i="23"/>
  <c r="Q30" i="23" s="1"/>
  <c r="P36" i="20"/>
  <c r="R36" i="20" s="1"/>
  <c r="O52" i="20"/>
  <c r="O51" i="20"/>
  <c r="O49" i="20"/>
  <c r="E6" i="23"/>
  <c r="Q6" i="23" s="1"/>
  <c r="P12" i="20"/>
  <c r="V12" i="20" s="1"/>
  <c r="O50" i="20"/>
  <c r="E18" i="23"/>
  <c r="Q18" i="23" s="1"/>
  <c r="P24" i="20"/>
  <c r="R24" i="20" s="1"/>
  <c r="P32" i="20"/>
  <c r="V32" i="20" s="1"/>
  <c r="E26" i="23"/>
  <c r="Q26" i="23" s="1"/>
  <c r="P40" i="20"/>
  <c r="Q40" i="20" s="1"/>
  <c r="E34" i="23"/>
  <c r="Q34" i="23" s="1"/>
  <c r="E13" i="23"/>
  <c r="Q13" i="23" s="1"/>
  <c r="P19" i="20"/>
  <c r="V19" i="20" s="1"/>
  <c r="P13" i="20"/>
  <c r="V13" i="20" s="1"/>
  <c r="E7" i="23"/>
  <c r="Q7" i="23" s="1"/>
  <c r="E19" i="23"/>
  <c r="Q19" i="23" s="1"/>
  <c r="P25" i="20"/>
  <c r="V25" i="20" s="1"/>
  <c r="P33" i="20"/>
  <c r="Q33" i="20" s="1"/>
  <c r="E27" i="23"/>
  <c r="Q27" i="23" s="1"/>
  <c r="P41" i="20"/>
  <c r="V41" i="20" s="1"/>
  <c r="E35" i="23"/>
  <c r="Q35" i="23" s="1"/>
  <c r="P20" i="20"/>
  <c r="R20" i="20" s="1"/>
  <c r="E14" i="23"/>
  <c r="Q14" i="23" s="1"/>
  <c r="E8" i="23"/>
  <c r="Q8" i="23" s="1"/>
  <c r="P14" i="20"/>
  <c r="Q14" i="20" s="1"/>
  <c r="E20" i="23"/>
  <c r="Q20" i="23" s="1"/>
  <c r="P26" i="20"/>
  <c r="V26" i="20" s="1"/>
  <c r="P34" i="20"/>
  <c r="V34" i="20" s="1"/>
  <c r="E28" i="23"/>
  <c r="Q28" i="23" s="1"/>
  <c r="P42" i="20"/>
  <c r="D36" i="23" s="1"/>
  <c r="E36" i="23"/>
  <c r="Q36" i="23" s="1"/>
  <c r="E15" i="23"/>
  <c r="Q15" i="23" s="1"/>
  <c r="P21" i="20"/>
  <c r="Q21" i="20" s="1"/>
  <c r="E9" i="23"/>
  <c r="Q9" i="23" s="1"/>
  <c r="P15" i="20"/>
  <c r="D9" i="23" s="1"/>
  <c r="E37" i="23"/>
  <c r="Q37" i="23" s="1"/>
  <c r="P43" i="20"/>
  <c r="V43" i="20" s="1"/>
  <c r="P16" i="20"/>
  <c r="D10" i="23" s="1"/>
  <c r="E10" i="23"/>
  <c r="Q10" i="23" s="1"/>
  <c r="P44" i="20"/>
  <c r="R44" i="20" s="1"/>
  <c r="E38" i="23"/>
  <c r="Q38" i="23" s="1"/>
  <c r="E11" i="23"/>
  <c r="Q11" i="23" s="1"/>
  <c r="P17" i="20"/>
  <c r="V17" i="20" s="1"/>
  <c r="E23" i="23"/>
  <c r="Q23" i="23" s="1"/>
  <c r="P29" i="20"/>
  <c r="D23" i="23" s="1"/>
  <c r="E31" i="23"/>
  <c r="Q31" i="23" s="1"/>
  <c r="P37" i="20"/>
  <c r="V37" i="20" s="1"/>
  <c r="P45" i="20"/>
  <c r="Q45" i="20" s="1"/>
  <c r="E39" i="23"/>
  <c r="Q39" i="23" s="1"/>
  <c r="E12" i="23"/>
  <c r="Q12" i="23" s="1"/>
  <c r="P18" i="20"/>
  <c r="Q18" i="20" s="1"/>
  <c r="E24" i="23"/>
  <c r="Q24" i="23" s="1"/>
  <c r="P30" i="20"/>
  <c r="W30" i="20" s="1"/>
  <c r="P38" i="20"/>
  <c r="W38" i="20" s="1"/>
  <c r="E32" i="23"/>
  <c r="Q32" i="23" s="1"/>
  <c r="P46" i="20"/>
  <c r="D40" i="23" s="1"/>
  <c r="E40" i="23"/>
  <c r="Q40" i="23" s="1"/>
  <c r="E25" i="23"/>
  <c r="Q25" i="23" s="1"/>
  <c r="P31" i="20"/>
  <c r="R31" i="20" s="1"/>
  <c r="E41" i="23"/>
  <c r="Q41" i="23" s="1"/>
  <c r="P47" i="20"/>
  <c r="W47" i="20" s="1"/>
  <c r="E21" i="23"/>
  <c r="Q21" i="23" s="1"/>
  <c r="P27" i="20"/>
  <c r="Q27" i="20" s="1"/>
  <c r="E16" i="23"/>
  <c r="Q16" i="23" s="1"/>
  <c r="P22" i="20"/>
  <c r="V22" i="20" s="1"/>
  <c r="E22" i="23"/>
  <c r="Q22" i="23" s="1"/>
  <c r="P28" i="20"/>
  <c r="V28" i="20" s="1"/>
  <c r="P30" i="31"/>
  <c r="V30" i="31" s="1"/>
  <c r="P40" i="31"/>
  <c r="V40" i="31" s="1"/>
  <c r="P32" i="31"/>
  <c r="V32" i="31" s="1"/>
  <c r="P36" i="31"/>
  <c r="R36" i="31" s="1"/>
  <c r="P48" i="31"/>
  <c r="V48" i="31" s="1"/>
  <c r="P44" i="31"/>
  <c r="Q44" i="31" s="1"/>
  <c r="P28" i="31"/>
  <c r="W28" i="31" s="1"/>
  <c r="P19" i="31"/>
  <c r="W19" i="31" s="1"/>
  <c r="P34" i="31"/>
  <c r="W34" i="31" s="1"/>
  <c r="P23" i="31"/>
  <c r="V23" i="31" s="1"/>
  <c r="P35" i="31"/>
  <c r="R35" i="31" s="1"/>
  <c r="P21" i="31"/>
  <c r="R21" i="31" s="1"/>
  <c r="P38" i="31"/>
  <c r="W38" i="31" s="1"/>
  <c r="P39" i="31"/>
  <c r="Q39" i="31" s="1"/>
  <c r="P41" i="31"/>
  <c r="R41" i="31" s="1"/>
  <c r="P25" i="31"/>
  <c r="V25" i="31" s="1"/>
  <c r="P22" i="31"/>
  <c r="W22" i="31" s="1"/>
  <c r="O53" i="31"/>
  <c r="O51" i="31"/>
  <c r="O52" i="31"/>
  <c r="O54" i="31"/>
  <c r="P14" i="31"/>
  <c r="P18" i="31"/>
  <c r="V18" i="31" s="1"/>
  <c r="P20" i="31"/>
  <c r="V20" i="31" s="1"/>
  <c r="P37" i="31"/>
  <c r="Q37" i="31" s="1"/>
  <c r="P24" i="31"/>
  <c r="V24" i="31" s="1"/>
  <c r="P49" i="31"/>
  <c r="Q49" i="31" s="1"/>
  <c r="P43" i="31"/>
  <c r="Q43" i="31" s="1"/>
  <c r="P26" i="31"/>
  <c r="W26" i="31" s="1"/>
  <c r="P46" i="31"/>
  <c r="Q46" i="31" s="1"/>
  <c r="P33" i="31"/>
  <c r="Q33" i="31" s="1"/>
  <c r="P15" i="31"/>
  <c r="V15" i="31" s="1"/>
  <c r="P29" i="31"/>
  <c r="W29" i="31" s="1"/>
  <c r="P17" i="31"/>
  <c r="Q17" i="31" s="1"/>
  <c r="P47" i="31"/>
  <c r="R47" i="31" s="1"/>
  <c r="P42" i="31"/>
  <c r="W42" i="31" s="1"/>
  <c r="P31" i="31"/>
  <c r="W31" i="31" s="1"/>
  <c r="P27" i="31"/>
  <c r="R27" i="31" s="1"/>
  <c r="P45" i="31"/>
  <c r="Q45" i="31" s="1"/>
  <c r="P16" i="31"/>
  <c r="W16" i="31" s="1"/>
  <c r="Q34" i="31"/>
  <c r="R34" i="31"/>
  <c r="W49" i="31"/>
  <c r="Q46" i="20"/>
  <c r="R46" i="20"/>
  <c r="Q25" i="20"/>
  <c r="R25" i="20"/>
  <c r="V39" i="31"/>
  <c r="Q22" i="20"/>
  <c r="D27" i="23"/>
  <c r="R42" i="20"/>
  <c r="V14" i="31"/>
  <c r="Q44" i="20"/>
  <c r="W44" i="20"/>
  <c r="W27" i="31"/>
  <c r="V21" i="20"/>
  <c r="W21" i="20"/>
  <c r="V33" i="31"/>
  <c r="D26" i="23"/>
  <c r="R32" i="20"/>
  <c r="R48" i="31"/>
  <c r="R31" i="31"/>
  <c r="V35" i="31"/>
  <c r="W35" i="31"/>
  <c r="D39" i="23"/>
  <c r="R45" i="20"/>
  <c r="V23" i="20"/>
  <c r="D17" i="23"/>
  <c r="Q23" i="20"/>
  <c r="R23" i="20"/>
  <c r="R44" i="31"/>
  <c r="W44" i="31"/>
  <c r="V44" i="31"/>
  <c r="V20" i="20"/>
  <c r="D14" i="23"/>
  <c r="R38" i="20"/>
  <c r="L70" i="31"/>
  <c r="J3" i="20"/>
  <c r="J3" i="31"/>
  <c r="V46" i="31" l="1"/>
  <c r="W22" i="20"/>
  <c r="V46" i="20"/>
  <c r="W45" i="20"/>
  <c r="W32" i="20"/>
  <c r="D38" i="23"/>
  <c r="F38" i="23" s="1"/>
  <c r="R38" i="23" s="1"/>
  <c r="V43" i="31"/>
  <c r="R21" i="20"/>
  <c r="W46" i="20"/>
  <c r="R38" i="31"/>
  <c r="V31" i="31"/>
  <c r="Q41" i="20"/>
  <c r="W30" i="31"/>
  <c r="Q15" i="20"/>
  <c r="W45" i="31"/>
  <c r="Q41" i="31"/>
  <c r="R37" i="31"/>
  <c r="D28" i="23"/>
  <c r="F28" i="23" s="1"/>
  <c r="R28" i="23" s="1"/>
  <c r="Q42" i="31"/>
  <c r="R34" i="20"/>
  <c r="R27" i="20"/>
  <c r="V39" i="20"/>
  <c r="R41" i="20"/>
  <c r="W33" i="20"/>
  <c r="W19" i="20"/>
  <c r="V36" i="20"/>
  <c r="Q24" i="20"/>
  <c r="Q38" i="20"/>
  <c r="D30" i="23"/>
  <c r="F30" i="23" s="1"/>
  <c r="R30" i="23" s="1"/>
  <c r="V49" i="31"/>
  <c r="D32" i="23"/>
  <c r="F32" i="23" s="1"/>
  <c r="R32" i="23" s="1"/>
  <c r="W20" i="20"/>
  <c r="Q21" i="31"/>
  <c r="V47" i="31"/>
  <c r="Q35" i="31"/>
  <c r="Q31" i="31"/>
  <c r="V26" i="31"/>
  <c r="W43" i="20"/>
  <c r="R40" i="31"/>
  <c r="Q16" i="20"/>
  <c r="Q38" i="31"/>
  <c r="R32" i="31"/>
  <c r="V38" i="20"/>
  <c r="Q13" i="20"/>
  <c r="W21" i="31"/>
  <c r="W47" i="31"/>
  <c r="Q23" i="31"/>
  <c r="W37" i="31"/>
  <c r="Q32" i="20"/>
  <c r="D8" i="23"/>
  <c r="F8" i="23" s="1"/>
  <c r="R8" i="23" s="1"/>
  <c r="V42" i="20"/>
  <c r="R26" i="31"/>
  <c r="W39" i="31"/>
  <c r="W16" i="20"/>
  <c r="V38" i="31"/>
  <c r="Q47" i="31"/>
  <c r="Q29" i="20"/>
  <c r="W13" i="20"/>
  <c r="V21" i="31"/>
  <c r="V36" i="31"/>
  <c r="P50" i="20"/>
  <c r="Q42" i="20"/>
  <c r="V16" i="20"/>
  <c r="R42" i="31"/>
  <c r="D31" i="23"/>
  <c r="F31" i="23" s="1"/>
  <c r="R31" i="23" s="1"/>
  <c r="W32" i="31"/>
  <c r="D21" i="23"/>
  <c r="D7" i="23"/>
  <c r="Q36" i="31"/>
  <c r="W42" i="20"/>
  <c r="R16" i="20"/>
  <c r="Q20" i="20"/>
  <c r="W37" i="20"/>
  <c r="V27" i="20"/>
  <c r="W36" i="31"/>
  <c r="V42" i="31"/>
  <c r="W43" i="31"/>
  <c r="Q24" i="31"/>
  <c r="W17" i="31"/>
  <c r="W24" i="31"/>
  <c r="Q30" i="20"/>
  <c r="Q35" i="20"/>
  <c r="Q47" i="20"/>
  <c r="V34" i="31"/>
  <c r="W29" i="20"/>
  <c r="D11" i="23"/>
  <c r="F11" i="23" s="1"/>
  <c r="R11" i="23" s="1"/>
  <c r="R23" i="31"/>
  <c r="V37" i="31"/>
  <c r="W41" i="20"/>
  <c r="Q12" i="20"/>
  <c r="D12" i="23"/>
  <c r="F12" i="23" s="1"/>
  <c r="R12" i="23" s="1"/>
  <c r="Q43" i="20"/>
  <c r="Q19" i="20"/>
  <c r="Q40" i="31"/>
  <c r="W34" i="20"/>
  <c r="R30" i="31"/>
  <c r="V29" i="20"/>
  <c r="V45" i="20"/>
  <c r="W23" i="31"/>
  <c r="W48" i="31"/>
  <c r="D35" i="23"/>
  <c r="F35" i="23" s="1"/>
  <c r="R35" i="23" s="1"/>
  <c r="R33" i="31"/>
  <c r="D6" i="23"/>
  <c r="P6" i="23" s="1"/>
  <c r="Q27" i="31"/>
  <c r="V28" i="31"/>
  <c r="R43" i="31"/>
  <c r="R43" i="20"/>
  <c r="R19" i="20"/>
  <c r="W40" i="31"/>
  <c r="Q34" i="20"/>
  <c r="Q30" i="31"/>
  <c r="W41" i="31"/>
  <c r="D18" i="23"/>
  <c r="F18" i="23" s="1"/>
  <c r="R18" i="23" s="1"/>
  <c r="D29" i="23"/>
  <c r="F29" i="23" s="1"/>
  <c r="R29" i="23" s="1"/>
  <c r="D13" i="23"/>
  <c r="P13" i="23" s="1"/>
  <c r="R22" i="31"/>
  <c r="R30" i="20"/>
  <c r="R29" i="31"/>
  <c r="Q22" i="31"/>
  <c r="R35" i="20"/>
  <c r="R47" i="20"/>
  <c r="R37" i="20"/>
  <c r="R17" i="31"/>
  <c r="V29" i="31"/>
  <c r="V17" i="31"/>
  <c r="W27" i="20"/>
  <c r="R29" i="20"/>
  <c r="D24" i="23"/>
  <c r="F24" i="23" s="1"/>
  <c r="R24" i="23" s="1"/>
  <c r="Q29" i="31"/>
  <c r="V22" i="31"/>
  <c r="W15" i="31"/>
  <c r="W12" i="20"/>
  <c r="V35" i="20"/>
  <c r="D41" i="23"/>
  <c r="P41" i="23" s="1"/>
  <c r="Q37" i="20"/>
  <c r="W36" i="20"/>
  <c r="V24" i="20"/>
  <c r="P51" i="31"/>
  <c r="R24" i="31"/>
  <c r="V30" i="20"/>
  <c r="V47" i="20"/>
  <c r="D37" i="23"/>
  <c r="P37" i="23" s="1"/>
  <c r="Q36" i="20"/>
  <c r="Q25" i="31"/>
  <c r="W24" i="20"/>
  <c r="K3" i="31"/>
  <c r="K5" i="31"/>
  <c r="K4" i="31"/>
  <c r="K6" i="31"/>
  <c r="K7" i="31"/>
  <c r="K3" i="20"/>
  <c r="K5" i="20"/>
  <c r="K4" i="20"/>
  <c r="K6" i="20"/>
  <c r="K7" i="20"/>
  <c r="V15" i="20"/>
  <c r="P49" i="20"/>
  <c r="P52" i="31"/>
  <c r="V18" i="20"/>
  <c r="W25" i="31"/>
  <c r="Q16" i="31"/>
  <c r="R20" i="31"/>
  <c r="W33" i="31"/>
  <c r="R33" i="20"/>
  <c r="R25" i="31"/>
  <c r="Q31" i="20"/>
  <c r="W40" i="20"/>
  <c r="W20" i="31"/>
  <c r="D20" i="23"/>
  <c r="F20" i="23" s="1"/>
  <c r="R20" i="23" s="1"/>
  <c r="W31" i="20"/>
  <c r="V40" i="20"/>
  <c r="D33" i="23"/>
  <c r="P33" i="23" s="1"/>
  <c r="V45" i="31"/>
  <c r="R26" i="20"/>
  <c r="D22" i="23"/>
  <c r="F22" i="23" s="1"/>
  <c r="R22" i="23" s="1"/>
  <c r="Q18" i="31"/>
  <c r="P53" i="31"/>
  <c r="V31" i="20"/>
  <c r="W15" i="20"/>
  <c r="R40" i="20"/>
  <c r="R39" i="20"/>
  <c r="Q17" i="20"/>
  <c r="R45" i="31"/>
  <c r="Q48" i="31"/>
  <c r="Q15" i="31"/>
  <c r="W28" i="20"/>
  <c r="W18" i="31"/>
  <c r="W14" i="20"/>
  <c r="P51" i="20"/>
  <c r="V27" i="31"/>
  <c r="V44" i="20"/>
  <c r="Q14" i="31"/>
  <c r="Q26" i="31"/>
  <c r="R28" i="31"/>
  <c r="D19" i="23"/>
  <c r="P19" i="23" s="1"/>
  <c r="R49" i="31"/>
  <c r="R19" i="31"/>
  <c r="Q32" i="31"/>
  <c r="R15" i="20"/>
  <c r="D34" i="23"/>
  <c r="F34" i="23" s="1"/>
  <c r="R34" i="23" s="1"/>
  <c r="Q39" i="20"/>
  <c r="W17" i="20"/>
  <c r="Q28" i="20"/>
  <c r="R18" i="31"/>
  <c r="V14" i="20"/>
  <c r="W14" i="31"/>
  <c r="V33" i="20"/>
  <c r="Q28" i="31"/>
  <c r="W25" i="20"/>
  <c r="V41" i="31"/>
  <c r="W26" i="20"/>
  <c r="W18" i="20"/>
  <c r="V16" i="31"/>
  <c r="D25" i="23"/>
  <c r="P25" i="23" s="1"/>
  <c r="Q20" i="31"/>
  <c r="Q26" i="20"/>
  <c r="R28" i="20"/>
  <c r="D15" i="23"/>
  <c r="P15" i="23" s="1"/>
  <c r="R46" i="31"/>
  <c r="P54" i="31"/>
  <c r="R18" i="20"/>
  <c r="D16" i="23"/>
  <c r="F16" i="23" s="1"/>
  <c r="R16" i="23" s="1"/>
  <c r="R39" i="31"/>
  <c r="V19" i="31"/>
  <c r="P52" i="20"/>
  <c r="R22" i="20"/>
  <c r="Q19" i="31"/>
  <c r="R17" i="20"/>
  <c r="W46" i="31"/>
  <c r="P11" i="23"/>
  <c r="F39" i="23"/>
  <c r="R39" i="23" s="1"/>
  <c r="P39" i="23"/>
  <c r="F40" i="23"/>
  <c r="R40" i="23" s="1"/>
  <c r="P40" i="23"/>
  <c r="F23" i="23"/>
  <c r="R23" i="23" s="1"/>
  <c r="P23" i="23"/>
  <c r="F17" i="23"/>
  <c r="R17" i="23" s="1"/>
  <c r="P17" i="23"/>
  <c r="F27" i="23"/>
  <c r="R27" i="23" s="1"/>
  <c r="P27" i="23"/>
  <c r="P35" i="23"/>
  <c r="F37" i="23"/>
  <c r="R37" i="23" s="1"/>
  <c r="F9" i="23"/>
  <c r="R9" i="23" s="1"/>
  <c r="P9" i="23"/>
  <c r="F10" i="23"/>
  <c r="R10" i="23" s="1"/>
  <c r="P10" i="23"/>
  <c r="F19" i="23"/>
  <c r="R19" i="23" s="1"/>
  <c r="F7" i="23"/>
  <c r="R7" i="23" s="1"/>
  <c r="P7" i="23"/>
  <c r="F26" i="23"/>
  <c r="R26" i="23" s="1"/>
  <c r="P26" i="23"/>
  <c r="F14" i="23"/>
  <c r="R14" i="23" s="1"/>
  <c r="P14" i="23"/>
  <c r="F21" i="23"/>
  <c r="R21" i="23" s="1"/>
  <c r="P21" i="23"/>
  <c r="F36" i="23"/>
  <c r="R36" i="23" s="1"/>
  <c r="P36" i="23"/>
  <c r="F7" i="20"/>
  <c r="P30" i="23" l="1"/>
  <c r="P38" i="23"/>
  <c r="P24" i="23"/>
  <c r="F41" i="23"/>
  <c r="R41" i="23" s="1"/>
  <c r="P29" i="23"/>
  <c r="P28" i="23"/>
  <c r="F15" i="23"/>
  <c r="R15" i="23" s="1"/>
  <c r="V51" i="31"/>
  <c r="P8" i="23"/>
  <c r="P32" i="23"/>
  <c r="R52" i="31"/>
  <c r="P20" i="23"/>
  <c r="Q53" i="31"/>
  <c r="F6" i="23"/>
  <c r="R6" i="23" s="1"/>
  <c r="P18" i="23"/>
  <c r="V53" i="31"/>
  <c r="V49" i="20"/>
  <c r="P31" i="23"/>
  <c r="P34" i="23"/>
  <c r="R49" i="20"/>
  <c r="Q51" i="31"/>
  <c r="F33" i="23"/>
  <c r="R33" i="23" s="1"/>
  <c r="F13" i="23"/>
  <c r="R13" i="23" s="1"/>
  <c r="R54" i="31"/>
  <c r="F25" i="23"/>
  <c r="R25" i="23" s="1"/>
  <c r="V51" i="20"/>
  <c r="P12" i="23"/>
  <c r="W50" i="20"/>
  <c r="R52" i="20"/>
  <c r="R53" i="31"/>
  <c r="W52" i="31"/>
  <c r="Q52" i="20"/>
  <c r="Q52" i="31"/>
  <c r="Q51" i="20"/>
  <c r="R51" i="20"/>
  <c r="Q49" i="20"/>
  <c r="Q54" i="31"/>
  <c r="P22" i="23"/>
  <c r="V54" i="31"/>
  <c r="R50" i="20"/>
  <c r="Q50" i="20"/>
  <c r="N2" i="20" s="1"/>
  <c r="V50" i="20"/>
  <c r="V52" i="31"/>
  <c r="V52" i="20"/>
  <c r="R51" i="31"/>
  <c r="P16" i="23"/>
  <c r="N3" i="20"/>
  <c r="N4" i="20" l="1"/>
  <c r="N5" i="20" l="1"/>
</calcChain>
</file>

<file path=xl/sharedStrings.xml><?xml version="1.0" encoding="utf-8"?>
<sst xmlns="http://schemas.openxmlformats.org/spreadsheetml/2006/main" count="2309" uniqueCount="1015">
  <si>
    <t>S</t>
  </si>
  <si>
    <t>AR</t>
  </si>
  <si>
    <t>e</t>
  </si>
  <si>
    <t>Density</t>
  </si>
  <si>
    <t>Component</t>
  </si>
  <si>
    <t>Wetted Area</t>
  </si>
  <si>
    <t>Avg Re#</t>
  </si>
  <si>
    <t>Velocity</t>
  </si>
  <si>
    <t>Mach</t>
  </si>
  <si>
    <t>Ref Area</t>
  </si>
  <si>
    <t>ft^2</t>
  </si>
  <si>
    <t>Wing</t>
  </si>
  <si>
    <t>Wing FF</t>
  </si>
  <si>
    <t>Body FF</t>
  </si>
  <si>
    <t>Length/Diam</t>
  </si>
  <si>
    <t>Wings</t>
  </si>
  <si>
    <t>Base Area</t>
  </si>
  <si>
    <t>Cp in Seperated Flow</t>
  </si>
  <si>
    <t>Cooling</t>
  </si>
  <si>
    <t>Parasite</t>
  </si>
  <si>
    <t>Weight</t>
  </si>
  <si>
    <t>CL offset</t>
  </si>
  <si>
    <t>Cbar</t>
  </si>
  <si>
    <t>Name</t>
  </si>
  <si>
    <t>Theo_Area</t>
  </si>
  <si>
    <t>Wet_Area</t>
  </si>
  <si>
    <t>Theo_Vol</t>
  </si>
  <si>
    <t>Wet_Vol</t>
  </si>
  <si>
    <t>Min_Chord</t>
  </si>
  <si>
    <t>Ave_Chord</t>
  </si>
  <si>
    <t>Max_Chord</t>
  </si>
  <si>
    <t>Min_TC_Ratio</t>
  </si>
  <si>
    <t>Avg_TC_Ratio</t>
  </si>
  <si>
    <t>Max_TC_Ratio</t>
  </si>
  <si>
    <t>Ave_Sweep</t>
  </si>
  <si>
    <t>Length</t>
  </si>
  <si>
    <t>Max_Xsec_Area</t>
  </si>
  <si>
    <t>Len_Dia_Ratio</t>
  </si>
  <si>
    <t>Fuselage</t>
  </si>
  <si>
    <t>Horizontal</t>
  </si>
  <si>
    <t>Vertical</t>
  </si>
  <si>
    <t>Prop</t>
  </si>
  <si>
    <t>Tire_MainGear</t>
  </si>
  <si>
    <t>Pant_MainGear</t>
  </si>
  <si>
    <t>Strut_MainGear</t>
  </si>
  <si>
    <t>Tire_NoseGear</t>
  </si>
  <si>
    <t>Pant_NoseGear</t>
  </si>
  <si>
    <t>Strut_NoseGear</t>
  </si>
  <si>
    <t>Horiz Tail</t>
  </si>
  <si>
    <t>Vert Tail</t>
  </si>
  <si>
    <t>Cf - fully laminar</t>
  </si>
  <si>
    <t>Re#, Lam %</t>
  </si>
  <si>
    <t>Lam % of Ref Length</t>
  </si>
  <si>
    <t>% Turbulent</t>
  </si>
  <si>
    <t>Cf - fully turbulent</t>
  </si>
  <si>
    <t>Cf - part laminar</t>
  </si>
  <si>
    <t>Cf - part turbulent</t>
  </si>
  <si>
    <t>Interference Factor</t>
  </si>
  <si>
    <t>wing</t>
  </si>
  <si>
    <t>body</t>
  </si>
  <si>
    <t>Bodies</t>
  </si>
  <si>
    <t>Altitude</t>
  </si>
  <si>
    <t>ft</t>
  </si>
  <si>
    <t>Cf Component</t>
  </si>
  <si>
    <t>D/q</t>
  </si>
  <si>
    <t>Total CD0</t>
  </si>
  <si>
    <t>Parasite CD0</t>
  </si>
  <si>
    <t>CD0 Component</t>
  </si>
  <si>
    <t>slugs / (ft s)</t>
  </si>
  <si>
    <t>slugs / ft^3</t>
  </si>
  <si>
    <t>Desired Mach</t>
  </si>
  <si>
    <t>knots</t>
  </si>
  <si>
    <t>Aid to determine velocity from Mach number:</t>
  </si>
  <si>
    <t>Totals:</t>
  </si>
  <si>
    <t xml:space="preserve"> </t>
  </si>
  <si>
    <t>(for the input part laminar, part turbulent flow, assuming laminar % is % of chord)</t>
  </si>
  <si>
    <t>Wing Flat Plate CD0 Eq</t>
  </si>
  <si>
    <t>Body Flat Plate CD0 Eq</t>
  </si>
  <si>
    <t>Main Gear Tire</t>
  </si>
  <si>
    <t>Main Gear Pant</t>
  </si>
  <si>
    <t>Main Gear Strut</t>
  </si>
  <si>
    <t>Nose Gear Tire</t>
  </si>
  <si>
    <t>Nose Gear Pant</t>
  </si>
  <si>
    <t>Nose Gear Strut</t>
  </si>
  <si>
    <t>Component*</t>
  </si>
  <si>
    <t>FF Type**</t>
  </si>
  <si>
    <t>lb/ft^2</t>
  </si>
  <si>
    <t>lb</t>
  </si>
  <si>
    <t>CD0</t>
  </si>
  <si>
    <t>Minimum</t>
  </si>
  <si>
    <t>Maximum</t>
  </si>
  <si>
    <t>L/D (numerical)</t>
  </si>
  <si>
    <t>Average</t>
  </si>
  <si>
    <t>Total CD</t>
  </si>
  <si>
    <t xml:space="preserve">% Difference Between </t>
  </si>
  <si>
    <t>CD</t>
  </si>
  <si>
    <t>Raymer e Estimation eqns (pg 347 4th edition)</t>
  </si>
  <si>
    <t>Straight wing e</t>
  </si>
  <si>
    <t>Swept wing e</t>
  </si>
  <si>
    <t>LE Wing Sweep</t>
  </si>
  <si>
    <t>°</t>
  </si>
  <si>
    <t>Notes:</t>
  </si>
  <si>
    <t>**FF Type must be either "wing", "Wing", "WING", "body", "Body", or "BODY"</t>
  </si>
  <si>
    <t>Squared Error Between</t>
  </si>
  <si>
    <t>Sum of Squared Error:</t>
  </si>
  <si>
    <t>Ref Length***</t>
  </si>
  <si>
    <t>% Laminar Flow****</t>
  </si>
  <si>
    <t>CD = CD0 + CL^2/(PI*e*AR) - CL_offset*CL</t>
  </si>
  <si>
    <t>t/c (average)</t>
  </si>
  <si>
    <t>***Ref Length should be mean chord for wing or length for body</t>
  </si>
  <si>
    <t>COMPONENT PARASITE DRAG BUILDUP</t>
  </si>
  <si>
    <t>(sum of component parasite drag buildup and additional separated flow drag incements)</t>
  </si>
  <si>
    <t>ADDITIONAL SEPARATED FLOW DRAG INCREMENTS</t>
  </si>
  <si>
    <t>VSP Drag Buildup File</t>
  </si>
  <si>
    <t>FLIGHT CONDITIONS</t>
  </si>
  <si>
    <t>AIRCRAFT INFORMATION</t>
  </si>
  <si>
    <t>q (dynamic pressure)</t>
  </si>
  <si>
    <t>(Paste VSP geometry information below)</t>
  </si>
  <si>
    <t>CL</t>
  </si>
  <si>
    <t>Row Before desired CL</t>
  </si>
  <si>
    <t>Lift-Dependent CD</t>
  </si>
  <si>
    <t>Parasite+Cooling CD</t>
  </si>
  <si>
    <t>FROM SPREADSHEET CALCULATIONS</t>
  </si>
  <si>
    <t>FROM FLOPS</t>
  </si>
  <si>
    <t>ALPHA</t>
  </si>
  <si>
    <t>TOTAL CD</t>
  </si>
  <si>
    <t>CDI</t>
  </si>
  <si>
    <t>PERCENT DIFFERENCES</t>
  </si>
  <si>
    <t>Alpha</t>
  </si>
  <si>
    <t>Reynolds Number</t>
  </si>
  <si>
    <t>Mean chord length</t>
  </si>
  <si>
    <t>Viscosity (mu)</t>
  </si>
  <si>
    <t>Kinematic Viscosity (nu)</t>
  </si>
  <si>
    <t>ft^2 / s</t>
  </si>
  <si>
    <t>*Either enter wing as 1st component or ensure mean chord length is correct</t>
  </si>
  <si>
    <t>Mass = 3400.000 lb</t>
  </si>
  <si>
    <t>Type 1 (Fixed speed)</t>
  </si>
  <si>
    <t>VInf = 93 ft/s</t>
  </si>
  <si>
    <t>3D-Panels/VLM2</t>
  </si>
  <si>
    <t>CoG.x = 1.033 ft</t>
  </si>
  <si>
    <t>CoG.z = 0 ft</t>
  </si>
  <si>
    <t>B.C. = Dirichlet</t>
  </si>
  <si>
    <t>Analysis type = Viscous</t>
  </si>
  <si>
    <t>Ref. Area = Planform area</t>
  </si>
  <si>
    <t>Density = 0.9788 kg/m3</t>
  </si>
  <si>
    <t>Viscosity = 1.785e-05m²/s</t>
  </si>
  <si>
    <t>alpha CL ICd PCd TCd CY Cm Rm Ym IYm QInf XCP</t>
  </si>
  <si>
    <t>_________ ________ ________ _________ _________ _________ _________ _________ _________ _________ _________ _________</t>
  </si>
  <si>
    <t>**Go to Polar Properties (either "Alt+return" or "Polars / Current Polar / Properties")</t>
  </si>
  <si>
    <t>ICd</t>
  </si>
  <si>
    <t>PCd</t>
  </si>
  <si>
    <t>TCd</t>
  </si>
  <si>
    <t>CY</t>
  </si>
  <si>
    <t>Cm</t>
  </si>
  <si>
    <t>Rm</t>
  </si>
  <si>
    <t>Ym</t>
  </si>
  <si>
    <t>IYm</t>
  </si>
  <si>
    <t>QInf</t>
  </si>
  <si>
    <t>XCP</t>
  </si>
  <si>
    <t>RAW DATA</t>
  </si>
  <si>
    <t>FORMATTED</t>
  </si>
  <si>
    <t>From XFLR5</t>
  </si>
  <si>
    <t>Tilted geometry</t>
  </si>
  <si>
    <t>(note, speed is incorrect, it is 93 m/s but 303 ft/s)</t>
  </si>
  <si>
    <t>****% Laminar Flow as a % of chord, should be input as a decimal.  For instance if 15% is desired, enter 0.15</t>
  </si>
  <si>
    <t>-3.000 -0.063548 0.000531 0.007443 0.007974 0.000000 0.087365 0.000000 0.000000 0.000000 92.6013 1.9992</t>
  </si>
  <si>
    <t>-2.000 0.033901 0.000309 0.007020 0.007329 0.000000 0.049752 0.000000 0.000000 0.000000 92.6013 -1.5143</t>
  </si>
  <si>
    <t>-1.000 0.131317 0.000727 0.006540 0.007266 0.000000 0.013368 0.000000 0.000000 0.000000 92.6013 0.1776</t>
  </si>
  <si>
    <t>0.000 0.228687 0.001787 0.005780 0.007567 0.000000 -0.021526 0.000000 0.000000 0.000000 92.6013 0.4235</t>
  </si>
  <si>
    <t>1.000 0.325995 0.003489 0.004406 0.007895 0.000000 -0.054658 0.000000 0.000000 0.000000 92.6013 0.5189</t>
  </si>
  <si>
    <t>2.000 0.423229 0.005835 0.004159 0.009994 0.000000 -0.086268 0.000000 0.000000 0.000000 92.6013 0.5676</t>
  </si>
  <si>
    <t>3.000 0.520375 0.008826 0.004894 0.013720 0.000000 -0.116096 0.000000 0.000000 0.000000 92.6013 0.5956</t>
  </si>
  <si>
    <t>4.000 0.617419 0.012460 0.006704 0.019165 0.000000 -0.143961 0.000000 -0.000000 0.000000 92.6013 0.6126</t>
  </si>
  <si>
    <t>5.000 0.714349 0.016743 0.008141 0.024884 0.000000 -0.169331 0.000000 -0.000000 -0.000000 92.6013 0.6230</t>
  </si>
  <si>
    <t>6.000 0.811156 0.021710 0.009271 0.030982 0.000000 -0.192066 0.000000 -0.000000 -0.000000 92.6013 0.6291</t>
  </si>
  <si>
    <t>8.000 1.003438 0.030823 0.011648 0.042471 0.000000 -0.234263 0.000000 0.000000 -0.000000 92.6013 0.6403</t>
  </si>
  <si>
    <t>10.000 1.193372 0.041746 0.014200 0.055946 0.000000 -0.254101 0.000000 -0.000000 -0.000000 92.6013 0.6317</t>
  </si>
  <si>
    <t>12.000 1.390576 0.064417 0.017468 0.081885 0.000000 -0.287649 0.000000 -0.000000 -0.000000 92.6013 0.6430</t>
  </si>
  <si>
    <t>13.000 1.490112 0.074062 0.019505 0.093567 0.000000 -0.302152 0.000000 -0.000000 -0.000000 92.6013 0.6483</t>
  </si>
  <si>
    <t>14.000 1.588766 0.084241 0.021699 0.105941 0.000000 -0.310703 0.000000 -0.000000 -0.000000 92.6013 0.6502</t>
  </si>
  <si>
    <t>Excrescences Multiplier</t>
  </si>
  <si>
    <t>(default in EDET is 1.28)</t>
  </si>
  <si>
    <t>FORMATTED OUTPUTS</t>
  </si>
  <si>
    <t>Percent Differences in:</t>
  </si>
  <si>
    <t>Numerical Total CD</t>
  </si>
  <si>
    <t>Desired CL</t>
  </si>
  <si>
    <t>Interpolated CDi</t>
  </si>
  <si>
    <t>Aspect Ratio</t>
  </si>
  <si>
    <t>TWIST 1</t>
  </si>
  <si>
    <t>(no twist)</t>
  </si>
  <si>
    <t>Data points = 37</t>
  </si>
  <si>
    <t>-3.000 -0.085834 0.000640 0.007516 0.008156 0.000000 0.072891 -0.000000 0.000000 0.000000 92.6013 1.3526</t>
  </si>
  <si>
    <t>-2.500 -0.036765 0.000374 0.007306 0.007680 0.000000 0.053716 0.000000 0.000000 -0.000000 92.6013 2.1176</t>
  </si>
  <si>
    <t>-2.000 0.012297 0.000264 0.007088 0.007352 0.000000 0.034828 0.000000 0.000000 0.000000 92.6013 -3.2425</t>
  </si>
  <si>
    <t>-1.500 0.061350 0.000313 0.006895 0.007208 0.000000 0.016256 0.000000 0.000000 0.000000 92.6013 -0.0354</t>
  </si>
  <si>
    <t>-1.000 0.110392 0.000520 0.006670 0.007190 0.000000 -0.001967 -0.000000 -0.000000 0.000000 92.6013 0.3193</t>
  </si>
  <si>
    <t>-0.500 0.159420 0.000885 0.006402 0.007287 0.000000 -0.019811 -0.000000 -0.000000 0.000000 92.6013 0.4540</t>
  </si>
  <si>
    <t>0.000 0.208433 0.001408 0.006080 0.007488 0.000000 -0.037247 0.000000 0.000000 0.000000 92.6013 0.5239</t>
  </si>
  <si>
    <t>0.500 0.257430 0.002090 0.005559 0.007649 0.000000 -0.054218 -0.000000 0.000000 -0.000000 92.6013 0.5660</t>
  </si>
  <si>
    <t>1.000 0.306408 0.002931 0.004710 0.007641 0.000000 -0.070670 -0.000000 0.000000 0.000000 92.6013 0.5936</t>
  </si>
  <si>
    <t>1.500 0.355365 0.003930 0.004149 0.008079 0.000000 -0.086714 0.000000 0.000000 0.000000 92.6013 0.6127</t>
  </si>
  <si>
    <t>2.000 0.404299 0.005089 0.004119 0.009207 0.000000 -0.102388 -0.000000 -0.000000 0.000000 92.6013 0.6264</t>
  </si>
  <si>
    <t>2.500 0.453209 0.006406 0.004143 0.010549 0.000000 -0.117553 -0.000000 -0.000000 -0.000000 92.6013 0.6364</t>
  </si>
  <si>
    <t>3.000 0.502093 0.007883 0.004398 0.012280 0.000000 -0.132233 0.000000 -0.000000 -0.000000 92.6013 0.6437</t>
  </si>
  <si>
    <t>3.500 0.550949 0.009518 0.005156 0.014674 0.000000 -0.146465 0.000000 0.000000 -0.000000 92.6013 0.6491</t>
  </si>
  <si>
    <t>4.000 0.599775 0.011313 0.006197 0.017510 0.000000 -0.160164 -0.000000 0.000000 0.000000 92.6013 0.6531</t>
  </si>
  <si>
    <t>4.500 0.648568 0.013268 0.007099 0.020367 0.000000 -0.173220 0.000000 0.000000 -0.000000 92.6013 0.6559</t>
  </si>
  <si>
    <t>5.000 0.697328 0.015385 0.007837 0.023222 0.000000 -0.185598 -0.000000 0.000000 -0.000000 92.6013 0.6577</t>
  </si>
  <si>
    <t>5.500 0.746054 0.017671 0.008496 0.026167 0.000000 -0.197299 -0.000000 0.000000 -0.000000 92.6013 0.6588</t>
  </si>
  <si>
    <t>6.000 0.794748 0.020149 0.009066 0.029215 0.000000 -0.208291 0.000000 0.000000 0.000000 92.6013 0.6593</t>
  </si>
  <si>
    <t>6.500 0.843426 0.022908 0.009582 0.032490 0.000000 -0.218547 0.000000 0.000000 -0.000000 92.6013 0.6591</t>
  </si>
  <si>
    <t>7.000 0.892183 0.026290 0.010134 0.036425 0.000000 -0.228124 -0.000000 -0.000000 -0.000000 92.6013 0.6585</t>
  </si>
  <si>
    <t>7.500 0.940401 0.028074 0.010733 0.038807 0.000000 -0.238019 0.000000 -0.000000 -0.000000 92.6013 0.6593</t>
  </si>
  <si>
    <t>8.000 0.988846 0.029465 0.011361 0.040826 0.000000 -0.251562 -0.000000 -0.000000 0.000000 92.6013 0.6654</t>
  </si>
  <si>
    <t>8.500 1.035287 0.036829 0.011981 0.048810 0.000000 -0.250710 -0.000000 -0.000000 0.000000 92.6013 0.6542</t>
  </si>
  <si>
    <t>9.000 1.084805 0.036914 0.012604 0.049519 0.000000 -0.264302 -0.000000 -0.000000 -0.000000 92.6013 0.6605</t>
  </si>
  <si>
    <t>9.500 1.131452 0.043068 0.013241 0.056309 0.000000 -0.264194 0.000000 -0.000000 -0.000000 92.6013 0.6522</t>
  </si>
  <si>
    <t>10.000 1.182395 0.045344 0.013927 0.059271 0.000000 -0.278582 -0.000000 -0.000000 -0.000000 92.6013 0.6593</t>
  </si>
  <si>
    <t>10.500 1.231889 0.049035 0.014641 0.063676 0.000000 -0.287200 -0.000000 -0.000000 -0.000000 92.6013 0.6608</t>
  </si>
  <si>
    <t>11.000 1.280511 0.052988 0.015393 0.068381 0.000000 -0.292902 0.000000 -0.000000 0.000000 92.6013 0.6601</t>
  </si>
  <si>
    <t>11.500 1.330486 0.057273 0.016222 0.073495 0.000000 -0.301407 0.000000 -0.000000 0.000000 92.6013 0.6623</t>
  </si>
  <si>
    <t>12.000 1.379813 0.061640 0.017108 0.078748 0.000000 -0.307409 -0.000000 -0.000000 -0.000000 92.6013 0.6627</t>
  </si>
  <si>
    <t>12.500 1.429012 0.066146 0.018073 0.084219 0.000000 -0.312337 0.000000 -0.000000 -0.000000 92.6013 0.6626</t>
  </si>
  <si>
    <t>13.000 1.478157 0.070801 0.019105 0.089907 0.000000 -0.316380 0.000000 -0.000000 0.000000 92.6013 0.6622</t>
  </si>
  <si>
    <t>13.500 1.527273 0.075608 0.020161 0.095769 0.000000 -0.319583 -0.000000 -0.000000 0.000000 92.6013 0.6617</t>
  </si>
  <si>
    <t>14.000 1.576374 0.080567 0.021274 0.101841 0.000000 -0.321966 0.000000 -0.000000 -0.000000 92.6013 0.6610</t>
  </si>
  <si>
    <t>14.500 1.625460 0.085679 0.022485 0.108164 0.000000 -0.323526 0.000000 -0.000000 0.000000 92.6013 0.6601</t>
  </si>
  <si>
    <t>15.000 1.674531 0.090942 0.023905 0.114847 0.000000 -0.324272 -0.000000 -0.000000 0.000000 92.6013 0.6592</t>
  </si>
  <si>
    <t>TWIST 2</t>
  </si>
  <si>
    <t>-3.000 -0.098238 0.000684 0.007594 0.008278 0.000000 0.074578 0.000000 0.000000 0.000000 92.6013 1.2417</t>
  </si>
  <si>
    <t>-2.500 -0.049205 0.000381 0.007389 0.007769 0.000000 0.055414 0.000000 0.000000 0.000000 92.6013 1.7024</t>
  </si>
  <si>
    <t>-2.000 -0.000179 0.000235 0.007179 0.007414 0.000000 0.036538 0.000000 0.000000 0.000000 92.6013 256.5960</t>
  </si>
  <si>
    <t>-1.500 0.048839 0.000247 0.006973 0.007220 0.000000 0.017976 0.000000 0.000000 0.000000 92.6013 -0.1668</t>
  </si>
  <si>
    <t>-1.000 0.097847 0.000416 0.006739 0.007156 0.000000 -0.000239 0.000000 0.000000 0.000000 92.6013 0.2989</t>
  </si>
  <si>
    <t>-0.500 0.146842 0.000745 0.006493 0.007237 0.000000 -0.018080 0.000000 0.000000 0.000000 92.6013 0.4518</t>
  </si>
  <si>
    <t>0.000 0.195824 0.001231 0.006172 0.007403 0.000000 -0.035514 0.000000 0.000000 0.000000 92.6013 0.5267</t>
  </si>
  <si>
    <t>0.500 0.244789 0.001876 0.005694 0.007570 0.000000 -0.052487 0.000000 0.000000 0.000000 92.6013 0.5703</t>
  </si>
  <si>
    <t>1.000 0.293737 0.002680 0.004939 0.007619 0.000000 -0.068951 0.000000 0.000000 0.000000 92.6013 0.5984</t>
  </si>
  <si>
    <t>1.500 0.342665 0.003643 0.004270 0.007912 0.000000 -0.084974 0.000000 0.000000 0.000000 92.6013 0.6175</t>
  </si>
  <si>
    <t>2.000 0.391572 0.004764 0.004167 0.008931 0.000000 -0.100645 0.000000 0.000000 0.000000 92.6013 0.6310</t>
  </si>
  <si>
    <t>2.500 0.440455 0.006045 0.004161 0.010206 0.000000 -0.115812 0.000000 0.000000 0.000000 92.6013 0.6408</t>
  </si>
  <si>
    <t>3.000 0.489313 0.007484 0.004372 0.011856 0.000000 -0.130492 0.000000 0.000000 0.000000 92.6013 0.6479</t>
  </si>
  <si>
    <t>3.500 0.538144 0.009083 0.005013 0.014096 0.000000 -0.144714 0.000000 -0.000000 0.000000 92.6013 0.6530</t>
  </si>
  <si>
    <t>4.000 0.586946 0.010841 0.005994 0.016835 0.000000 -0.158423 0.000000 -0.000000 -0.000000 92.6013 0.6568</t>
  </si>
  <si>
    <t>4.500 0.635718 0.012758 0.006898 0.019656 0.000000 -0.171495 0.000000 -0.000000 -0.000000 92.6013 0.6593</t>
  </si>
  <si>
    <t>5.000 0.684457 0.014839 0.007644 0.022483 0.000000 -0.183893 0.000000 -0.000000 -0.000000 92.6013 0.6610</t>
  </si>
  <si>
    <t>5.500 0.733163 0.017088 0.008308 0.025397 0.000000 -0.195612 0.000000 -0.000000 -0.000000 92.6013 0.6619</t>
  </si>
  <si>
    <t>6.000 0.781837 0.019528 0.008896 0.028424 0.000000 -0.206628 0.000000 -0.000000 -0.000000 92.6013 0.6621</t>
  </si>
  <si>
    <t>6.500 0.830497 0.022247 0.009421 0.031668 0.000000 -0.216905 0.000000 0.000000 -0.000000 92.6013 0.6618</t>
  </si>
  <si>
    <t>7.000 0.879236 0.025584 0.009974 0.035559 0.000000 -0.226505 0.000000 0.000000 -0.000000 92.6013 0.6611</t>
  </si>
  <si>
    <t>7.500 0.927460 0.027338 0.010571 0.037909 0.000000 -0.236438 0.000000 0.000000 -0.000000 92.6013 0.6618</t>
  </si>
  <si>
    <t>8.000 0.975915 0.028696 0.011204 0.039900 0.000000 -0.250072 0.000000 0.000000 -0.000000 92.6013 0.6679</t>
  </si>
  <si>
    <t>8.500 1.022330 0.036034 0.011830 0.047864 0.000000 -0.249193 0.000000 0.000000 -0.000000 92.6013 0.6564</t>
  </si>
  <si>
    <t>9.000 1.071852 0.036076 0.012450 0.048525 0.000000 -0.262867 0.000000 0.000000 -0.000000 92.6013 0.6627</t>
  </si>
  <si>
    <t>9.500 1.118495 0.042193 0.013080 0.055273 0.000000 -0.262806 0.000000 0.000000 -0.000000 92.6013 0.6542</t>
  </si>
  <si>
    <t>10.000 1.169448 0.044435 0.013760 0.058195 0.000000 -0.277278 0.000000 -0.000000 -0.000000 92.6013 0.6614</t>
  </si>
  <si>
    <t>10.500 1.218947 0.048091 0.014467 0.062558 0.000000 -0.285967 0.000000 -0.000000 -0.000000 92.6013 0.6629</t>
  </si>
  <si>
    <t>11.000 1.267573 0.052009 0.015210 0.067219 0.000000 -0.291734 0.000000 -0.000000 -0.000000 92.6013 0.6622</t>
  </si>
  <si>
    <t>11.500 1.317556 0.056259 0.016026 0.072286 0.000000 -0.300311 0.000000 -0.000000 -0.000000 92.6013 0.6643</t>
  </si>
  <si>
    <t>12.000 1.366891 0.060591 0.016897 0.077488 0.000000 -0.306384 0.000000 -0.000000 -0.000000 92.6013 0.6646</t>
  </si>
  <si>
    <t>12.500 1.416099 0.065063 0.017846 0.082908 0.000000 -0.311381 0.000000 -0.000000 -0.000000 92.6013 0.6645</t>
  </si>
  <si>
    <t>13.000 1.465253 0.069683 0.018866 0.088549 0.000000 -0.315496 0.000000 -0.000000 -0.000000 92.6013 0.6641</t>
  </si>
  <si>
    <t>13.500 1.514381 0.074455 0.019914 0.094369 0.000000 -0.318772 0.000000 -0.000000 -0.000000 92.6013 0.6635</t>
  </si>
  <si>
    <t>14.000 1.563494 0.079380 0.021009 0.100389 0.000000 -0.321228 0.000000 -0.000000 -0.000000 92.6013 0.6628</t>
  </si>
  <si>
    <t>14.500 1.612594 0.084457 0.022189 0.106647 0.000000 -0.322859 0.000000 -0.000000 -0.000000 92.6013 0.6619</t>
  </si>
  <si>
    <t>15.000 1.661680 0.089687 0.023564 0.113251 0.000000 -0.323673 0.000000 -0.000000 -0.000000 92.6013 0.6609</t>
  </si>
  <si>
    <t>TWIST 3</t>
  </si>
  <si>
    <t>-2.500 -0.014820 0.000340 0.007228 0.007568 0.000000 0.068421 0.000000 0.000000 0.000000 92.6013 6.0097</t>
  </si>
  <si>
    <t>-1.500 0.082614 0.000438 0.006781 0.007219 0.000000 0.031393 0.000000 0.000000 0.000000 92.6013 -0.1679</t>
  </si>
  <si>
    <t>-0.500 0.180009 0.001176 0.006224 0.007400 0.000000 -0.004288 0.000000 0.000000 0.000000 92.6013 0.3346</t>
  </si>
  <si>
    <t>0.500 0.277349 0.002558 0.005066 0.007623 0.000000 -0.038290 0.000000 0.000000 0.000000 92.6013 0.4801</t>
  </si>
  <si>
    <t>1.500 0.374622 0.004582 0.004189 0.008771 0.000000 -0.070689 0.000000 0.000000 0.000000 92.6013 0.5468</t>
  </si>
  <si>
    <t>2.500 0.471814 0.007250 0.004357 0.011607 0.000000 -0.101402 0.000000 0.000000 0.000000 92.6013 0.5834</t>
  </si>
  <si>
    <t>3.500 0.568911 0.010562 0.005772 0.016335 0.000000 -0.130317 0.000000 -0.000000 0.000000 92.6013 0.6051</t>
  </si>
  <si>
    <t>4.500 0.665899 0.014520 0.007462 0.021982 0.000000 -0.156964 0.000000 -0.000000 0.000000 92.6013 0.6185</t>
  </si>
  <si>
    <t>5.500 0.762767 0.019135 0.008739 0.027873 0.000000 -0.181040 0.000000 -0.000000 -0.000000 92.6013 0.6265</t>
  </si>
  <si>
    <t>6.500 0.859526 0.024530 0.009818 0.034348 0.000000 -0.202393 0.000000 0.000000 -0.000000 92.6013 0.6309</t>
  </si>
  <si>
    <t>7.000 0.907937 0.027847 0.010409 0.038256 0.000000 -0.212023 0.000000 0.000000 -0.000000 92.6013 0.6320</t>
  </si>
  <si>
    <t>7.500 0.953940 0.029484 0.011009 0.040493 0.000000 -0.221636 0.000000 0.000000 -0.000000 92.6013 0.6351</t>
  </si>
  <si>
    <t>8.500 1.051674 0.037828 0.012267 0.050095 0.000000 -0.239857 0.000000 0.000000 -0.000000 92.6013 0.6374</t>
  </si>
  <si>
    <t>9.000 1.098507 0.042576 0.012871 0.055446 0.000000 -0.245874 0.000000 -0.000000 -0.000000 92.6013 0.6366</t>
  </si>
  <si>
    <t>9.500 1.148017 0.043055 0.013527 0.056582 0.000000 -0.256295 0.000000 -0.000000 -0.000000 92.6013 0.6400</t>
  </si>
  <si>
    <t>10.500 1.239977 0.050398 0.014922 0.065320 0.000000 -0.252467 0.000000 -0.000000 -0.000000 92.6013 0.6244</t>
  </si>
  <si>
    <t>11.000 1.289714 0.055367 0.015702 0.071069 0.000000 -0.264446 0.000000 -0.000000 -0.000000 92.6013 0.6309</t>
  </si>
  <si>
    <t>11.500 1.340433 0.059823 0.016548 0.076371 0.000000 -0.277634 0.000000 -0.000000 -0.000000 92.6013 0.6384</t>
  </si>
  <si>
    <t>12.500 1.440453 0.069169 0.018464 0.087633 0.000000 -0.295701 0.000000 -0.000000 -0.000000 92.6013 0.6462</t>
  </si>
  <si>
    <t>13.500 1.539580 0.079092 0.020574 0.099666 0.000000 -0.307188 0.000000 -0.000000 -0.000000 92.6013 0.6496</t>
  </si>
  <si>
    <t>14.500 1.637739 0.089517 0.022981 0.112498 0.000000 -0.312928 0.000000 -0.000000 -0.000000 92.6013 0.6502</t>
  </si>
  <si>
    <t>TWIST 4</t>
  </si>
  <si>
    <t>-3.000 -0.069733 0.000566 0.007483 0.008048 0.000000 0.088210 0.000000 0.000000 0.000000 92.6013 1.8640</t>
  </si>
  <si>
    <t>-2.500 -0.021024 0.000356 0.007269 0.007625 0.000000 0.069272 0.000000 0.000000 0.000000 92.6013 4.3769</t>
  </si>
  <si>
    <t>-2.000 0.027679 0.000307 0.007059 0.007366 0.000000 0.050609 0.000000 0.000000 0.000000 92.6013 -1.9620</t>
  </si>
  <si>
    <t>-1.500 0.076375 0.000417 0.006830 0.007247 0.000000 0.032254 0.000000 0.000000 0.000000 92.6013 -0.2207</t>
  </si>
  <si>
    <t>-1.000 0.125061 0.000688 0.006572 0.007260 0.000000 0.014232 0.000000 0.000000 0.000000 92.6013 0.1625</t>
  </si>
  <si>
    <t>-0.500 0.173737 0.001119 0.006281 0.007400 0.000000 -0.003422 0.000000 0.000000 0.000000 92.6013 0.3293</t>
  </si>
  <si>
    <t>0.000 0.222399 0.001710 0.005828 0.007538 0.000000 -0.020659 0.000000 0.000000 0.000000 92.6013 0.4218</t>
  </si>
  <si>
    <t>0.500 0.271046 0.002462 0.005142 0.007605 0.000000 -0.037426 0.000000 0.000000 0.000000 92.6013 0.4801</t>
  </si>
  <si>
    <t>1.000 0.319677 0.003376 0.004493 0.007869 0.000000 -0.053791 0.000000 0.000000 0.000000 92.6013 0.5196</t>
  </si>
  <si>
    <t>1.500 0.368290 0.004450 0.004249 0.008699 0.000000 -0.069818 0.000000 0.000000 0.000000 92.6013 0.5479</t>
  </si>
  <si>
    <t>2.000 0.416883 0.005684 0.004186 0.009870 0.000000 -0.085395 0.000000 0.000000 0.000000 92.6013 0.5689</t>
  </si>
  <si>
    <t>2.500 0.465454 0.007080 0.004359 0.011440 0.000000 -0.100527 0.000000 0.000000 0.000000 92.6013 0.5847</t>
  </si>
  <si>
    <t>3.000 0.514003 0.008637 0.004862 0.013499 0.000000 -0.115219 0.000000 0.000000 0.000000 92.6013 0.5970</t>
  </si>
  <si>
    <t>3.500 0.562526 0.010356 0.005705 0.016060 0.000000 -0.129441 0.000000 -0.000000 0.000000 92.6013 0.6065</t>
  </si>
  <si>
    <t>4.000 0.611023 0.012235 0.006616 0.018851 0.000000 -0.143091 0.000000 -0.000000 -0.000000 92.6013 0.6139</t>
  </si>
  <si>
    <t>4.500 0.659492 0.014276 0.007368 0.021644 0.000000 -0.156101 0.000000 -0.000000 -0.000000 92.6013 0.6197</t>
  </si>
  <si>
    <t>5.000 0.707931 0.016481 0.008047 0.024528 0.000000 -0.168476 0.000000 -0.000000 -0.000000 92.6013 0.6243</t>
  </si>
  <si>
    <t>5.500 0.756340 0.018854 0.008649 0.027503 0.000000 -0.180195 0.000000 -0.000000 -0.000000 92.6013 0.6277</t>
  </si>
  <si>
    <t>6.000 0.804719 0.021411 0.009187 0.030598 0.000000 -0.191232 0.000000 -0.000000 -0.000000 92.6013 0.6303</t>
  </si>
  <si>
    <t>6.500 0.853080 0.024210 0.009737 0.033947 0.000000 -0.201570 0.000000 0.000000 -0.000000 92.6013 0.6320</t>
  </si>
  <si>
    <t>7.000 0.901483 0.027506 0.010327 0.037832 0.000000 -0.211211 0.000000 0.000000 -0.000000 92.6013 0.6331</t>
  </si>
  <si>
    <t>7.500 0.947496 0.029131 0.010928 0.040059 0.000000 -0.220840 0.000000 0.000000 -0.000000 92.6013 0.6362</t>
  </si>
  <si>
    <t>8.000 0.996987 0.030450 0.011571 0.042021 0.000000 -0.233503 0.000000 0.000000 -0.000000 92.6013 0.6413</t>
  </si>
  <si>
    <t>8.500 1.045218 0.037440 0.012190 0.049630 0.000000 -0.239112 0.000000 0.000000 -0.000000 92.6013 0.6384</t>
  </si>
  <si>
    <t>9.000 1.092047 0.042169 0.012793 0.054962 0.000000 -0.245146 0.000000 0.000000 -0.000000 92.6013 0.6375</t>
  </si>
  <si>
    <t>9.500 1.141560 0.042628 0.013445 0.056073 0.000000 -0.255609 0.000000 0.000000 -0.000000 92.6013 0.6410</t>
  </si>
  <si>
    <t>10.000 1.186917 0.041312 0.014117 0.055429 0.000000 -0.253444 0.000000 -0.000000 -0.000000 92.6013 0.6326</t>
  </si>
  <si>
    <t>10.500 1.233526 0.049936 0.014834 0.064770 0.000000 -0.251854 0.000000 -0.000000 -0.000000 92.6013 0.6252</t>
  </si>
  <si>
    <t>11.000 1.283268 0.054886 0.015610 0.070496 0.000000 -0.263869 0.000000 -0.000000 -0.000000 92.6013 0.6318</t>
  </si>
  <si>
    <t>11.500 1.333989 0.059325 0.016449 0.075775 0.000000 -0.277087 0.000000 -0.000000 -0.000000 92.6013 0.6393</t>
  </si>
  <si>
    <t>12.000 1.384135 0.063902 0.017361 0.081263 0.000000 -0.287133 0.000000 -0.000000 -0.000000 92.6013 0.6439</t>
  </si>
  <si>
    <t>12.500 1.434016 0.068636 0.018350 0.086987 0.000000 -0.295219 0.000000 -0.000000 -0.000000 92.6013 0.6471</t>
  </si>
  <si>
    <t>13.000 1.483680 0.073513 0.019386 0.092898 0.000000 -0.301705 0.000000 -0.000000 -0.000000 92.6013 0.6492</t>
  </si>
  <si>
    <t>13.500 1.533153 0.078525 0.020451 0.098976 0.000000 -0.306777 0.000000 -0.000000 -0.000000 92.6013 0.6505</t>
  </si>
  <si>
    <t>14.000 1.582345 0.083657 0.021566 0.105224 0.000000 -0.310327 0.000000 -0.000000 -0.000000 92.6013 0.6510</t>
  </si>
  <si>
    <t>14.500 1.631325 0.088916 0.022830 0.111746 0.000000 -0.312587 0.000000 -0.000000 -0.000000 92.6013 0.6510</t>
  </si>
  <si>
    <t>TWIST 5</t>
  </si>
  <si>
    <t>-2.500 -0.055392 0.000408 0.007430 0.007838 0.000000 0.056258 0.000000 0.000000 0.000000 92.6013 1.5654</t>
  </si>
  <si>
    <t>-2.000 -0.006384 0.000243 0.007217 0.007460 0.000000 0.037387 0.000000 0.000000 0.000000 92.6013 7.6411</t>
  </si>
  <si>
    <t>-1.500 0.042617 0.000237 0.007010 0.007247 0.000000 0.018830 0.000000 0.000000 0.000000 92.6013 -0.2609</t>
  </si>
  <si>
    <t>-1.000 0.091607 0.000388 0.006784 0.007172 0.000000 0.000618 0.000000 0.000000 0.000000 92.6013 0.2866</t>
  </si>
  <si>
    <t>-0.500 0.140586 0.000698 0.006527 0.007225 0.000000 -0.017220 0.000000 0.000000 0.000000 92.6013 0.4505</t>
  </si>
  <si>
    <t>0.000 0.189551 0.001166 0.006229 0.007395 0.000000 -0.034654 0.000000 0.000000 0.000000 92.6013 0.5282</t>
  </si>
  <si>
    <t>0.500 0.238501 0.001793 0.005750 0.007543 0.000000 -0.051628 0.000000 0.000000 0.000000 92.6013 0.5727</t>
  </si>
  <si>
    <t>1.000 0.287434 0.002578 0.005036 0.007615 0.000000 -0.068097 0.000000 0.000000 0.000000 92.6013 0.6010</t>
  </si>
  <si>
    <t>1.500 0.336348 0.003522 0.004349 0.007872 0.000000 -0.084115 0.000000 0.000000 0.000000 92.6013 0.6201</t>
  </si>
  <si>
    <t>2.000 0.385240 0.004625 0.004209 0.008834 0.000000 -0.099782 0.000000 0.000000 0.000000 92.6013 0.6335</t>
  </si>
  <si>
    <t>2.500 0.434110 0.005887 0.004180 0.010067 0.000000 -0.114950 0.000000 0.000000 0.000000 92.6013 0.6431</t>
  </si>
  <si>
    <t>3.000 0.482956 0.007308 0.004365 0.011673 0.000000 -0.129629 0.000000 0.000000 0.000000 92.6013 0.6500</t>
  </si>
  <si>
    <t>3.500 0.531774 0.008888 0.004967 0.013856 0.000000 -0.143849 0.000000 0.000000 -0.000000 92.6013 0.6551</t>
  </si>
  <si>
    <t>4.000 0.580565 0.010628 0.005910 0.016538 0.000000 -0.157560 0.000000 -0.000000 -0.000000 92.6013 0.6586</t>
  </si>
  <si>
    <t>4.500 0.629325 0.012527 0.006806 0.019333 0.000000 -0.170641 0.000000 -0.000000 -0.000000 92.6013 0.6611</t>
  </si>
  <si>
    <t>5.000 0.678053 0.014589 0.007550 0.022139 0.000000 -0.183047 0.000000 -0.000000 -0.000000 92.6013 0.6626</t>
  </si>
  <si>
    <t>5.500 0.726749 0.016820 0.008216 0.025036 0.000000 -0.194777 0.000000 -0.000000 -0.000000 92.6013 0.6634</t>
  </si>
  <si>
    <t>6.000 0.775414 0.019242 0.008811 0.028053 0.000000 -0.205804 0.000000 -0.000000 -0.000000 92.6013 0.6636</t>
  </si>
  <si>
    <t>6.500 0.824065 0.021941 0.009339 0.031280 0.000000 -0.216092 0.000000 -0.000000 -0.000000 92.6013 0.6632</t>
  </si>
  <si>
    <t>7.000 0.872795 0.025255 0.009893 0.035148 0.000000 -0.225704 0.000000 0.000000 -0.000000 92.6013 0.6624</t>
  </si>
  <si>
    <t>7.500 0.921022 0.026993 0.010489 0.037482 0.000000 -0.235655 0.000000 0.000000 -0.000000 92.6013 0.6630</t>
  </si>
  <si>
    <t>8.000 0.969482 0.028335 0.011123 0.039458 0.000000 -0.249335 0.000000 0.000000 -0.000000 92.6013 0.6691</t>
  </si>
  <si>
    <t>8.500 1.015882 0.035660 0.011754 0.047414 0.000000 -0.248443 0.000000 0.000000 -0.000000 92.6013 0.6575</t>
  </si>
  <si>
    <t>9.000 1.065407 0.035680 0.012371 0.048051 0.000000 -0.262158 0.000000 0.000000 -0.000000 92.6013 0.6638</t>
  </si>
  <si>
    <t>9.500 1.112048 0.041779 0.013000 0.054780 0.000000 -0.262120 0.000000 0.000000 -0.000000 92.6013 0.6553</t>
  </si>
  <si>
    <t>10.000 1.163005 0.044004 0.013677 0.057680 0.000000 -0.276634 0.000000 0.000000 -0.000000 92.6013 0.6624</t>
  </si>
  <si>
    <t>10.500 1.212506 0.047643 0.014382 0.062024 0.000000 -0.285359 0.000000 -0.000000 -0.000000 92.6013 0.6640</t>
  </si>
  <si>
    <t>11.000 1.261134 0.051542 0.015119 0.066662 0.000000 -0.291157 0.000000 -0.000000 -0.000000 92.6013 0.6632</t>
  </si>
  <si>
    <t>11.500 1.311121 0.055776 0.015931 0.071707 0.000000 -0.299771 0.000000 -0.000000 -0.000000 92.6013 0.6653</t>
  </si>
  <si>
    <t>12.000 1.360460 0.060090 0.016795 0.076885 0.000000 -0.305879 0.000000 -0.000000 -0.000000 92.6013 0.6656</t>
  </si>
  <si>
    <t>12.500 1.409672 0.064544 0.017736 0.082280 0.000000 -0.310911 0.000000 -0.000000 -0.000000 92.6013 0.6655</t>
  </si>
  <si>
    <t>13.000 1.458831 0.069147 0.018750 0.087898 0.000000 -0.315062 0.000000 -0.000000 -0.000000 92.6013 0.6651</t>
  </si>
  <si>
    <t>13.500 1.507964 0.073902 0.019792 0.093695 0.000000 -0.318374 0.000000 -0.000000 -0.000000 92.6013 0.6645</t>
  </si>
  <si>
    <t>14.000 1.557083 0.078810 0.020882 0.099692 0.000000 -0.320866 0.000000 -0.000000 -0.000000 92.6013 0.6637</t>
  </si>
  <si>
    <t>14.500 1.606189 0.083870 0.022048 0.105918 0.000000 -0.322533 0.000000 -0.000000 -0.000000 92.6013 0.6628</t>
  </si>
  <si>
    <t>15.000 1.655283 0.089082 0.023401 0.112484 0.000000 -0.323381 0.000000 -0.000000 -0.000000 92.6013 0.6618</t>
  </si>
  <si>
    <t>TWIST 6</t>
  </si>
  <si>
    <t>-3.000 -0.092047 0.000655 0.007554 0.008209 0.000000 0.073737 0.000000 0.000000 0.000000 92.6013 1.2933</t>
  </si>
  <si>
    <t>-2.500 -0.042996 0.000369 0.007344 0.007713 0.000000 0.054567 0.000000 0.000000 0.000000 92.6013 1.8796</t>
  </si>
  <si>
    <t>-2.000 0.006049 0.000242 0.007142 0.007384 0.000000 0.035685 0.000000 0.000000 0.000000 92.6013 -7.0848</t>
  </si>
  <si>
    <t>-1.500 0.055084 0.000272 0.006924 0.007196 0.000000 0.017118 0.000000 0.000000 0.000000 92.6013 -0.0938</t>
  </si>
  <si>
    <t>-1.000 0.104108 0.000460 0.006708 0.007168 0.000000 -0.001101 0.000000 0.000000 0.000000 92.6013 0.3097</t>
  </si>
  <si>
    <t>-0.500 0.153120 0.000807 0.006438 0.007245 0.000000 -0.018943 0.000000 0.000000 0.000000 92.6013 0.4529</t>
  </si>
  <si>
    <t>0.000 0.202118 0.001312 0.006130 0.007441 0.000000 -0.036379 0.000000 0.000000 0.000000 92.6013 0.5252</t>
  </si>
  <si>
    <t>0.500 0.251099 0.001975 0.005629 0.007604 0.000000 -0.053350 0.000000 0.000000 0.000000 92.6013 0.5681</t>
  </si>
  <si>
    <t>1.000 0.300061 0.002798 0.004831 0.007629 0.000000 -0.069808 0.000000 0.000000 0.000000 92.6013 0.5960</t>
  </si>
  <si>
    <t>1.500 0.349004 0.003779 0.004200 0.007978 0.000000 -0.085841 0.000000 0.000000 0.000000 92.6013 0.6151</t>
  </si>
  <si>
    <t>2.000 0.397925 0.004919 0.004137 0.009056 0.000000 -0.101514 0.000000 0.000000 0.000000 92.6013 0.6287</t>
  </si>
  <si>
    <t>2.500 0.446821 0.006218 0.004150 0.010368 0.000000 -0.116680 0.000000 0.000000 0.000000 92.6013 0.6385</t>
  </si>
  <si>
    <t>3.000 0.495692 0.007675 0.004383 0.012059 0.000000 -0.131360 0.000000 -0.000000 0.000000 92.6013 0.6458</t>
  </si>
  <si>
    <t>3.500 0.544536 0.009292 0.005074 0.014366 0.000000 -0.145586 0.000000 -0.000000 0.000000 92.6013 0.6511</t>
  </si>
  <si>
    <t>4.000 0.593350 0.011069 0.006091 0.017160 0.000000 -0.159291 0.000000 -0.000000 0.000000 92.6013 0.6549</t>
  </si>
  <si>
    <t>4.500 0.642132 0.013005 0.006998 0.020003 0.000000 -0.172355 0.000000 -0.000000 -0.000000 92.6013 0.6576</t>
  </si>
  <si>
    <t>5.000 0.690882 0.015104 0.007740 0.022844 0.000000 -0.184743 0.000000 -0.000000 -0.000000 92.6013 0.6593</t>
  </si>
  <si>
    <t>5.500 0.739598 0.017372 0.008399 0.025771 0.000000 -0.196453 0.000000 -0.000000 -0.000000 92.6013 0.6603</t>
  </si>
  <si>
    <t>6.000 0.788282 0.019831 0.008981 0.028812 0.000000 -0.207457 0.000000 -0.000000 -0.000000 92.6013 0.6607</t>
  </si>
  <si>
    <t>6.500 0.836951 0.022570 0.009502 0.032072 0.000000 -0.217723 0.000000 0.000000 -0.000000 92.6013 0.6605</t>
  </si>
  <si>
    <t>7.000 0.885699 0.025929 0.010055 0.035984 0.000000 -0.227312 0.000000 0.000000 -0.000000 92.6013 0.6598</t>
  </si>
  <si>
    <t>7.500 0.933920 0.027698 0.010652 0.038350 0.000000 -0.237225 0.000000 0.000000 -0.000000 92.6013 0.6605</t>
  </si>
  <si>
    <t>8.000 0.982371 0.029073 0.011283 0.040356 0.000000 -0.250814 0.000000 0.000000 -0.000000 92.6013 0.6666</t>
  </si>
  <si>
    <t>8.500 1.028798 0.036424 0.011906 0.048330 0.000000 -0.249949 0.000000 0.000000 -0.000000 92.6013 0.6553</t>
  </si>
  <si>
    <t>9.000 1.078318 0.036487 0.012527 0.049014 0.000000 -0.263582 0.000000 -0.000000 -0.000000 92.6013 0.6616</t>
  </si>
  <si>
    <t>9.500 1.124964 0.042623 0.013160 0.055783 0.000000 -0.263497 0.000000 -0.000000 -0.000000 92.6013 0.6532</t>
  </si>
  <si>
    <t>10.000 1.175911 0.044882 0.013843 0.058725 0.000000 -0.277927 0.000000 -0.000000 -0.000000 92.6013 0.6603</t>
  </si>
  <si>
    <t>10.500 1.225408 0.048555 0.014553 0.063108 0.000000 -0.286581 0.000000 -0.000000 -0.000000 92.6013 0.6619</t>
  </si>
  <si>
    <t>11.000 1.274032 0.052490 0.015301 0.067792 0.000000 -0.292315 0.000000 -0.000000 -0.000000 92.6013 0.6611</t>
  </si>
  <si>
    <t>11.500 1.324011 0.056758 0.016124 0.072882 0.000000 -0.300856 0.000000 -0.000000 -0.000000 92.6013 0.6633</t>
  </si>
  <si>
    <t>12.000 1.373342 0.061107 0.017001 0.078109 0.000000 -0.306894 0.000000 -0.000000 -0.000000 92.6013 0.6637</t>
  </si>
  <si>
    <t>12.500 1.422546 0.065596 0.017958 0.083554 0.000000 -0.311857 0.000000 -0.000000 -0.000000 92.6013 0.6635</t>
  </si>
  <si>
    <t>13.000 1.471695 0.070234 0.018985 0.089219 0.000000 -0.315935 0.000000 -0.000000 -0.000000 92.6013 0.6632</t>
  </si>
  <si>
    <t>13.500 1.520818 0.075023 0.020036 0.095060 0.000000 -0.319175 0.000000 -0.000000 -0.000000 92.6013 0.6626</t>
  </si>
  <si>
    <t>14.000 1.569925 0.079965 0.021139 0.101105 0.000000 -0.321594 0.000000 -0.000000 -0.000000 92.6013 0.6619</t>
  </si>
  <si>
    <t>14.500 1.619018 0.085060 0.022336 0.107396 0.000000 -0.323190 0.000000 -0.000000 -0.000000 92.6013 0.6610</t>
  </si>
  <si>
    <t>15.000 1.668097 0.090307 0.023732 0.114039 0.000000 -0.323970 0.000000 -0.000000 -0.000000 92.6013 0.6600</t>
  </si>
  <si>
    <t>TWIST 7</t>
  </si>
  <si>
    <t>-2.500 -0.069943 0.000415 0.007478 0.007893 0.000000 0.055839 0.000000 0.000000 0.000000 92.6013 1.2957</t>
  </si>
  <si>
    <t>-2.000 -0.020950 0.000214 0.007265 0.007479 0.000000 0.036961 0.000000 0.000000 0.000000 92.6013 2.5165</t>
  </si>
  <si>
    <t>-1.500 0.028034 0.000171 0.007062 0.007233 0.000000 0.018396 0.000000 0.000000 0.000000 92.6013 -0.5386</t>
  </si>
  <si>
    <t>-1.000 0.077008 0.000286 0.006840 0.007126 0.000000 0.000177 0.000000 0.000000 0.000000 92.6013 0.2888</t>
  </si>
  <si>
    <t>-0.500 0.125970 0.000559 0.006614 0.007173 0.000000 -0.017668 0.000000 0.000000 0.000000 92.6013 0.4706</t>
  </si>
  <si>
    <t>0.000 0.174918 0.000991 0.006321 0.007312 0.000000 -0.035106 0.000000 0.000000 0.000000 92.6013 0.5490</t>
  </si>
  <si>
    <t>0.500 0.223851 0.001581 0.005934 0.007515 0.000000 -0.052095 0.000000 0.000000 0.000000 92.6013 0.5917</t>
  </si>
  <si>
    <t>1.000 0.272765 0.002330 0.005349 0.007678 0.000000 -0.068593 0.000000 0.000000 0.000000 92.6013 0.6179</t>
  </si>
  <si>
    <t>1.500 0.321660 0.003238 0.004464 0.007702 0.000000 -0.084552 0.000000 0.000000 0.000000 92.6013 0.6352</t>
  </si>
  <si>
    <t>2.000 0.370533 0.004304 0.004192 0.008496 0.000000 -0.100187 0.000000 0.000000 0.000000 92.6013 0.6470</t>
  </si>
  <si>
    <t>2.500 0.419383 0.005530 0.004151 0.009680 0.000000 -0.115342 0.000000 0.000000 0.000000 92.6013 0.6553</t>
  </si>
  <si>
    <t>3.000 0.468208 0.006915 0.004238 0.011153 0.000000 -0.129982 0.000000 -0.000000 0.000000 92.6013 0.6611</t>
  </si>
  <si>
    <t>3.500 0.517005 0.008458 0.004624 0.013082 0.000000 -0.144137 0.000000 -0.000000 0.000000 92.6013 0.6651</t>
  </si>
  <si>
    <t>4.000 0.565774 0.010162 0.005507 0.015669 0.000000 -0.157824 0.000000 -0.000000 0.000000 92.6013 0.6678</t>
  </si>
  <si>
    <t>4.500 0.614511 0.012025 0.006489 0.018514 0.000000 -0.170904 0.000000 0.000000 0.000000 92.6013 0.6695</t>
  </si>
  <si>
    <t>5.000 0.663217 0.014052 0.007301 0.021353 0.000000 -0.183305 0.000000 0.000000 0.000000 92.6013 0.6704</t>
  </si>
  <si>
    <t>5.500 0.711888 0.016249 0.008002 0.024250 0.000000 -0.195017 0.000000 0.000000 0.000000 92.6013 0.6706</t>
  </si>
  <si>
    <t>6.000 0.760529 0.018642 0.008629 0.027271 0.000000 -0.206022 0.000000 0.000000 0.000000 92.6013 0.6702</t>
  </si>
  <si>
    <t>6.500 0.809157 0.021337 0.009180 0.030518 0.000000 -0.216277 0.000000 0.000000 0.000000 92.6013 0.6693</t>
  </si>
  <si>
    <t>7.000 0.857907 0.024724 0.009717 0.034442 0.000000 -0.225874 0.000000 0.000000 0.000000 92.6013 0.6680</t>
  </si>
  <si>
    <t>7.500 0.907042 0.025127 0.010305 0.035431 0.000000 -0.236164 0.000000 0.000000 0.000000 92.6013 0.6681</t>
  </si>
  <si>
    <t>8.000 0.954890 0.027685 0.010909 0.038593 0.000000 -0.250479 0.000000 0.000000 -0.000000 92.6013 0.6753</t>
  </si>
  <si>
    <t>8.500 1.000993 0.035250 0.011552 0.046802 0.000000 -0.248592 0.000000 -0.000000 -0.000000 92.6013 0.6620</t>
  </si>
  <si>
    <t>9.000 1.050731 0.034739 0.012166 0.046906 0.000000 -0.263168 0.000000 -0.000000 -0.000000 92.6013 0.6691</t>
  </si>
  <si>
    <t>9.500 1.097497 0.040750 0.012789 0.053539 0.000000 -0.263551 0.000000 -0.000000 -0.000000 92.6013 0.6607</t>
  </si>
  <si>
    <t>10.000 1.148407 0.043112 0.013445 0.056557 0.000000 -0.277858 0.000000 -0.000000 -0.000000 92.6013 0.6674</t>
  </si>
  <si>
    <t>10.500 1.197718 0.046695 0.014139 0.060835 0.000000 -0.286087 0.000000 -0.000000 -0.000000 92.6013 0.6682</t>
  </si>
  <si>
    <t>11.000 1.246513 0.050575 0.014854 0.065430 0.000000 -0.292400 0.000000 -0.000000 -0.000000 92.6013 0.6677</t>
  </si>
  <si>
    <t>11.500 1.296599 0.054782 0.015643 0.070425 0.000000 -0.301314 0.000000 -0.000000 -0.000000 92.6013 0.6700</t>
  </si>
  <si>
    <t>12.000 1.345966 0.059061 0.016483 0.075543 0.000000 -0.307534 0.000000 -0.000000 -0.000000 92.6013 0.6702</t>
  </si>
  <si>
    <t>12.500 1.395216 0.063481 0.017389 0.080870 0.000000 -0.312698 0.000000 -0.000000 -0.000000 92.6013 0.6699</t>
  </si>
  <si>
    <t>13.000 1.444414 0.068050 0.018380 0.086430 0.000000 -0.316982 0.000000 -0.000000 -0.000000 92.6013 0.6694</t>
  </si>
  <si>
    <t>13.500 1.493585 0.072771 0.019421 0.092192 0.000000 -0.320426 0.000000 -0.000000 -0.000000 92.6013 0.6688</t>
  </si>
  <si>
    <t>14.000 1.542740 0.077644 0.020494 0.098138 0.000000 -0.323043 0.000000 -0.000000 -0.000000 92.6013 0.6679</t>
  </si>
  <si>
    <t>14.500 1.591882 0.082670 0.021615 0.104286 0.000000 -0.324825 0.000000 -0.000000 -0.000000 92.6013 0.6670</t>
  </si>
  <si>
    <t>15.000 1.641011 0.087849 0.022868 0.110717 0.000000 -0.325772 0.000000 -0.000000 -0.000000 92.6013 0.6659</t>
  </si>
  <si>
    <t>TWIST 8</t>
  </si>
  <si>
    <t>-2.500 -0.076128 0.000448 0.007517 0.007966 0.000000 0.056684 -0.000000 0.000000 0.000000 92.6013 1.2290</t>
  </si>
  <si>
    <t>-2.000 -0.027153 0.000229 0.007308 0.007537 0.000000 0.037810 0.000000 0.000000 0.000000 92.6013 2.0506</t>
  </si>
  <si>
    <t>-1.500 0.021814 0.000168 0.007101 0.007268 0.000000 0.019251 0.000000 0.000000 0.000000 92.6013 -0.8284</t>
  </si>
  <si>
    <t>-1.000 0.070771 0.000264 0.006889 0.007153 0.000000 0.001034 0.000000 0.000000 0.000000 92.6013 0.2721</t>
  </si>
  <si>
    <t>-0.500 0.119717 0.000519 0.006645 0.007164 0.000000 -0.016807 0.000000 0.000000 0.000000 92.6013 0.4701</t>
  </si>
  <si>
    <t>0.000 0.168649 0.000932 0.006376 0.007308 0.000000 -0.034244 0.000000 0.000000 0.000000 92.6013 0.5515</t>
  </si>
  <si>
    <t>0.500 0.217566 0.001504 0.005980 0.007484 0.000000 -0.051234 0.000000 0.000000 0.000000 92.6013 0.5948</t>
  </si>
  <si>
    <t>1.000 0.266465 0.002234 0.005424 0.007658 0.000000 -0.067736 0.000000 0.000000 0.000000 92.6013 0.6211</t>
  </si>
  <si>
    <t>1.500 0.315345 0.003124 0.004567 0.007690 0.000000 -0.083697 0.000000 0.000000 0.000000 92.6013 0.6382</t>
  </si>
  <si>
    <t>2.000 0.364204 0.004172 0.004255 0.008427 0.000000 -0.099325 0.000000 0.000000 0.000000 92.6013 0.6498</t>
  </si>
  <si>
    <t>2.500 0.413041 0.005379 0.004178 0.009557 0.000000 -0.114480 0.000000 0.000000 0.000000 92.6013 0.6579</t>
  </si>
  <si>
    <t>3.000 0.461853 0.006745 0.004242 0.010987 0.000000 -0.129120 0.000000 0.000000 0.000000 92.6013 0.6635</t>
  </si>
  <si>
    <t>3.500 0.510638 0.008271 0.004594 0.012865 0.000000 -0.143275 0.000000 0.000000 0.000000 92.6013 0.6674</t>
  </si>
  <si>
    <t>4.000 0.559395 0.009956 0.005443 0.015399 0.000000 -0.156962 0.000000 -0.000000 0.000000 92.6013 0.6699</t>
  </si>
  <si>
    <t>4.500 0.608121 0.011801 0.006393 0.018194 0.000000 -0.170047 0.000000 0.000000 0.000000 92.6013 0.6714</t>
  </si>
  <si>
    <t>5.000 0.656816 0.013809 0.007205 0.021014 0.000000 -0.182459 0.000000 0.000000 0.000000 92.6013 0.6722</t>
  </si>
  <si>
    <t>5.500 0.705477 0.015987 0.007907 0.023894 0.000000 -0.194181 0.000000 0.000000 0.000000 92.6013 0.6722</t>
  </si>
  <si>
    <t>6.000 0.754108 0.018362 0.008539 0.026901 0.000000 -0.205197 0.000000 0.000000 0.000000 92.6013 0.6718</t>
  </si>
  <si>
    <t>6.500 0.802727 0.021037 0.009096 0.030133 0.000000 -0.215464 0.000000 0.000000 0.000000 92.6013 0.6708</t>
  </si>
  <si>
    <t>7.000 0.851468 0.024400 0.009636 0.034037 0.000000 -0.225073 0.000000 0.000000 0.000000 92.6013 0.6694</t>
  </si>
  <si>
    <t>7.500 0.900605 0.024791 0.010223 0.035014 0.000000 -0.235383 0.000000 0.000000 -0.000000 92.6013 0.6694</t>
  </si>
  <si>
    <t>8.000 0.948460 0.027330 0.010828 0.038158 0.000000 -0.249745 0.000000 0.000000 -0.000000 92.6013 0.6767</t>
  </si>
  <si>
    <t>8.500 0.994548 0.034882 0.011475 0.046356 0.000000 -0.247842 0.000000 0.000000 -0.000000 92.6013 0.6632</t>
  </si>
  <si>
    <t>9.000 1.044288 0.034350 0.012090 0.046440 0.000000 -0.262461 0.000000 0.000000 -0.000000 92.6013 0.6703</t>
  </si>
  <si>
    <t>9.500 1.091053 0.040343 0.012712 0.053054 0.000000 -0.262868 0.000000 -0.000000 -0.000000 92.6013 0.6618</t>
  </si>
  <si>
    <t>10.000 1.141967 0.042687 0.013364 0.056051 0.000000 -0.277217 0.000000 -0.000000 -0.000000 92.6013 0.6686</t>
  </si>
  <si>
    <t>10.500 1.191280 0.046253 0.014056 0.060309 0.000000 -0.285480 0.000000 -0.000000 -0.000000 92.6013 0.6693</t>
  </si>
  <si>
    <t>11.000 1.240077 0.050116 0.014767 0.064882 0.000000 -0.291826 0.000000 -0.000000 -0.000000 92.6013 0.6688</t>
  </si>
  <si>
    <t>11.500 1.290167 0.054305 0.015551 0.069856 0.000000 -0.300776 0.000000 -0.000000 -0.000000 92.6013 0.6710</t>
  </si>
  <si>
    <t>12.000 1.339538 0.058566 0.016385 0.074951 0.000000 -0.307031 0.000000 -0.000000 -0.000000 92.6013 0.6712</t>
  </si>
  <si>
    <t>12.500 1.388791 0.062969 0.017283 0.080252 0.000000 -0.312231 0.000000 -0.000000 -0.000000 92.6013 0.6710</t>
  </si>
  <si>
    <t>13.000 1.437994 0.067521 0.018267 0.085788 0.000000 -0.316550 0.000000 -0.000000 -0.000000 92.6013 0.6704</t>
  </si>
  <si>
    <t>13.500 1.487170 0.072224 0.019302 0.091527 0.000000 -0.320030 0.000000 -0.000000 -0.000000 92.6013 0.6697</t>
  </si>
  <si>
    <t>14.000 1.536331 0.077080 0.020371 0.097451 0.000000 -0.322683 0.000000 -0.000000 -0.000000 92.6013 0.6689</t>
  </si>
  <si>
    <t>14.500 1.585480 0.082089 0.021484 0.103573 0.000000 -0.324502 0.000000 -0.000000 -0.000000 92.6013 0.6679</t>
  </si>
  <si>
    <t>15.000 1.634616 0.087250 0.022719 0.109970 0.000000 -0.325484 0.000000 -0.000000 -0.000000 92.6013 0.6668</t>
  </si>
  <si>
    <t>Best Twist:</t>
  </si>
  <si>
    <t>Data points = 36</t>
  </si>
  <si>
    <t>-2.500 -0.093801 0.000989 0.007555 0.008544 0.000000 0.130689 0.000000 0.000000 0.000000 92.6013 2.0080</t>
  </si>
  <si>
    <t>-2.000 -0.044820 0.000669 0.007336 0.008004 0.000000 0.111954 0.000000 0.000000 0.000000 92.6013 3.3578</t>
  </si>
  <si>
    <t>-1.500 0.004153 0.000506 0.007126 0.007632 0.000000 0.093507 0.000000 0.000000 0.000000 92.6013 -27.1856</t>
  </si>
  <si>
    <t>-1.000 0.053116 0.000501 0.006898 0.007398 0.000000 0.075377 0.000000 0.000000 0.000000 92.6013 -1.4232</t>
  </si>
  <si>
    <t>-0.500 0.102066 0.000653 0.006665 0.007318 0.000000 0.057597 0.000000 0.000000 0.000000 92.6013 -0.3779</t>
  </si>
  <si>
    <t>0.000 0.151002 0.000963 0.006368 0.007331 0.000000 0.040196 0.000000 0.000000 0.000000 92.6013 -0.0122</t>
  </si>
  <si>
    <t>0.500 0.199921 0.001431 0.005984 0.007415 0.000000 0.023216 0.000000 0.000000 0.000000 92.6013 0.1730</t>
  </si>
  <si>
    <t>1.000 0.248823 0.002058 0.005407 0.007465 0.000000 0.006699 0.000000 0.000000 0.000000 92.6013 0.2841</t>
  </si>
  <si>
    <t>1.500 0.297705 0.002843 0.004511 0.007354 0.000000 -0.009298 0.000000 0.000000 0.000000 92.6013 0.3577</t>
  </si>
  <si>
    <t>2.000 0.346565 0.003786 0.004204 0.007989 0.000000 -0.024993 0.000000 0.000000 0.000000 92.6013 0.4096</t>
  </si>
  <si>
    <t>2.500 0.395402 0.004887 0.004153 0.009040 0.000000 -0.040240 0.000000 0.000000 0.000000 92.6013 0.4478</t>
  </si>
  <si>
    <t>3.000 0.444213 0.006147 0.004221 0.010368 0.000000 -0.054995 0.000000 -0.000000 0.000000 92.6013 0.4768</t>
  </si>
  <si>
    <t>3.500 0.492996 0.007566 0.004579 0.012145 0.000000 -0.069290 0.000000 -0.000000 0.000000 92.6013 0.4994</t>
  </si>
  <si>
    <t>4.000 0.541751 0.009143 0.005446 0.014589 0.000000 -0.083144 0.000000 -0.000000 0.000000 92.6013 0.5173</t>
  </si>
  <si>
    <t>4.500 0.590473 0.010879 0.006422 0.017300 0.000000 -0.096421 0.000000 0.000000 0.000000 92.6013 0.5316</t>
  </si>
  <si>
    <t>5.000 0.639163 0.012774 0.007239 0.020013 0.000000 -0.109048 0.000000 0.000000 0.000000 92.6013 0.5432</t>
  </si>
  <si>
    <t>5.500 0.687817 0.014831 0.007936 0.022767 0.000000 -0.121012 0.000000 0.000000 0.000000 92.6013 0.5525</t>
  </si>
  <si>
    <t>6.000 0.736433 0.017056 0.008561 0.025617 0.000000 -0.132302 0.000000 0.000000 0.000000 92.6013 0.5601</t>
  </si>
  <si>
    <t>6.500 0.785014 0.019478 0.009109 0.028587 0.000000 -0.142878 0.000000 0.000000 0.000000 92.6013 0.5662</t>
  </si>
  <si>
    <t>7.000 0.833584 0.022215 0.009635 0.031850 0.000000 -0.152722 0.000000 0.000000 0.000000 92.6013 0.5711</t>
  </si>
  <si>
    <t>7.500 0.882868 0.026735 0.010218 0.036953 0.000000 -0.162207 0.000000 0.000000 0.000000 92.6013 0.5749</t>
  </si>
  <si>
    <t>8.000 0.929203 0.024968 0.010798 0.035766 0.000000 -0.173818 0.000000 0.000000 -0.000000 92.6013 0.5838</t>
  </si>
  <si>
    <t>8.500 0.978942 0.030642 0.011459 0.042100 0.000000 -0.182761 0.000000 -0.000000 -0.000000 92.6013 0.5867</t>
  </si>
  <si>
    <t>9.000 1.025659 0.038059 0.012060 0.050118 0.000000 -0.185824 0.000000 -0.000000 -0.000000 92.6013 0.5839</t>
  </si>
  <si>
    <t>9.500 1.076108 0.036202 0.012686 0.048888 0.000000 -0.199826 0.000000 -0.000000 -0.000000 92.6013 0.5936</t>
  </si>
  <si>
    <t>10.000 1.123669 0.041351 0.013325 0.054677 0.000000 -0.202612 0.000000 -0.000000 -0.000000 92.6013 0.5911</t>
  </si>
  <si>
    <t>10.500 1.173291 0.044087 0.014012 0.058099 0.000000 -0.212463 0.000000 -0.000000 -0.000000 92.6013 0.5964</t>
  </si>
  <si>
    <t>11.000 1.223353 0.047932 0.014727 0.062659 0.000000 -0.222774 0.000000 -0.000000 -0.000000 92.6013 0.6022</t>
  </si>
  <si>
    <t>11.500 1.272301 0.051886 0.015501 0.067387 0.000000 -0.229315 0.000000 -0.000000 -0.000000 92.6013 0.6045</t>
  </si>
  <si>
    <t>12.000 1.322024 0.056091 0.016337 0.072428 0.000000 -0.236992 0.000000 -0.000000 -0.000000 92.6013 0.6081</t>
  </si>
  <si>
    <t>12.500 1.371296 0.060402 0.017237 0.077639 0.000000 -0.242791 0.000000 -0.000000 -0.000000 92.6013 0.6103</t>
  </si>
  <si>
    <t>13.000 1.420494 0.064861 0.018223 0.083084 0.000000 -0.247679 0.000000 -0.000000 -0.000000 92.6013 0.6120</t>
  </si>
  <si>
    <t>13.500 1.469660 0.069471 0.019260 0.088732 0.000000 -0.251738 0.000000 -0.000000 -0.000000 92.6013 0.6133</t>
  </si>
  <si>
    <t>14.000 1.518808 0.074235 0.020329 0.094564 0.000000 -0.254992 0.000000 -0.000000 -0.000000 92.6013 0.6144</t>
  </si>
  <si>
    <t>14.500 1.567944 0.079152 0.021445 0.100597 0.000000 -0.257435 0.000000 -0.000000 -0.000000 92.6013 0.6152</t>
  </si>
  <si>
    <t>15.000 1.617066 0.084221 0.022688 0.106910 0.000000 -0.259069 0.000000 -0.000000 -0.000000 92.6013 0.6158</t>
  </si>
  <si>
    <t>Cruise CL</t>
  </si>
  <si>
    <t>Cdi Interpolated</t>
  </si>
  <si>
    <t>-3.000 -0.122100 0.001376 0.007701 0.009077 0.000000 0.149291 0.000000 0.000000 0.000000 92.6013 1.7993</t>
  </si>
  <si>
    <t>-2.500 -0.073079 0.000954 0.007467 0.008421 0.000000 0.130299 0.000000 0.000000 0.000000 92.6013 2.4842</t>
  </si>
  <si>
    <t>-2.000 -0.024065 0.000689 0.007250 0.007939 0.000000 0.111568 0.000000 0.000000 0.000000 92.6013 5.9689</t>
  </si>
  <si>
    <t>-1.500 0.024941 0.000581 0.007037 0.007618 0.000000 0.093125 0.000000 0.000000 0.000000 92.6013 -4.2503</t>
  </si>
  <si>
    <t>-1.000 0.073936 0.000631 0.006798 0.007429 0.000000 0.075000 0.000000 0.000000 0.000000 92.6013 -0.9284</t>
  </si>
  <si>
    <t>-0.500 0.122919 0.000839 0.006547 0.007385 0.000000 0.057225 0.000000 0.000000 0.000000 92.6013 -0.2568</t>
  </si>
  <si>
    <t>0.000 0.171888 0.001204 0.006224 0.007428 0.000000 0.039828 0.000000 0.000000 0.000000 92.6013 0.0304</t>
  </si>
  <si>
    <t>0.500 0.220840 0.001728 0.005745 0.007472 0.000000 0.022867 0.000000 0.000000 0.000000 92.6013 0.1888</t>
  </si>
  <si>
    <t>1.000 0.269775 0.002409 0.005002 0.007411 0.000000 0.006384 0.000000 0.000000 0.000000 92.6013 0.2887</t>
  </si>
  <si>
    <t>1.500 0.318690 0.003249 0.004293 0.007542 0.000000 -0.009670 0.000000 0.000000 0.000000 92.6013 0.3568</t>
  </si>
  <si>
    <t>2.000 0.367583 0.004248 0.004177 0.008424 0.000000 -0.025405 0.000000 0.000000 0.000000 92.6013 0.4060</t>
  </si>
  <si>
    <t>2.500 0.416452 0.005404 0.004162 0.009567 0.000000 -0.040663 0.000000 0.000000 0.000000 92.6013 0.4428</t>
  </si>
  <si>
    <t>3.000 0.465296 0.006720 0.004351 0.011070 0.000000 -0.055456 0.000000 0.000000 0.000000 92.6013 0.4712</t>
  </si>
  <si>
    <t>3.500 0.514113 0.008193 0.004959 0.013152 0.000000 -0.069816 0.000000 -0.000000 0.000000 92.6013 0.4935</t>
  </si>
  <si>
    <t>4.000 0.562900 0.009825 0.005933 0.015758 0.000000 -0.083694 0.000000 -0.000000 -0.000000 92.6013 0.5113</t>
  </si>
  <si>
    <t>4.500 0.611656 0.011616 0.006838 0.018454 0.000000 -0.096963 0.000000 -0.000000 -0.000000 92.6013 0.5257</t>
  </si>
  <si>
    <t>5.000 0.660379 0.013566 0.007584 0.021150 0.000000 -0.109584 0.000000 -0.000000 -0.000000 92.6013 0.5374</t>
  </si>
  <si>
    <t>5.500 0.709066 0.015677 0.008245 0.023922 0.000000 -0.121554 0.000000 -0.000000 -0.000000 92.6013 0.5470</t>
  </si>
  <si>
    <t>6.000 0.757717 0.017955 0.008830 0.026786 0.000000 -0.132851 0.000000 -0.000000 -0.000000 92.6013 0.5548</t>
  </si>
  <si>
    <t>6.500 0.806332 0.020424 0.009348 0.029772 0.000000 -0.143444 0.000000 0.000000 -0.000000 92.6013 0.5612</t>
  </si>
  <si>
    <t>7.000 0.854933 0.023182 0.009891 0.033073 0.000000 -0.153321 0.000000 0.000000 -0.000000 92.6013 0.5663</t>
  </si>
  <si>
    <t>7.500 0.903855 0.026682 0.010490 0.037173 0.000000 -0.162724 0.000000 0.000000 -0.000000 92.6013 0.5705</t>
  </si>
  <si>
    <t>8.000 0.949248 0.020774 0.011079 0.031853 0.000000 -0.173639 0.000000 0.000000 -0.000000 92.6013 0.5791</t>
  </si>
  <si>
    <t>8.500 1.000741 0.031127 0.011738 0.042865 0.000000 -0.184921 0.000000 0.000000 -0.000000 92.6013 0.5843</t>
  </si>
  <si>
    <t>9.000 1.047225 0.039962 0.012348 0.052310 0.000000 -0.185981 0.000000 0.000000 -0.000000 92.6013 0.5794</t>
  </si>
  <si>
    <t>9.500 1.097297 0.037421 0.012978 0.050399 0.000000 -0.199644 0.000000 0.000000 -0.000000 92.6013 0.5889</t>
  </si>
  <si>
    <t>10.000 1.144640 0.042706 0.013639 0.056346 0.000000 -0.201751 0.000000 -0.000000 -0.000000 92.6013 0.5860</t>
  </si>
  <si>
    <t>10.500 1.194168 0.045450 0.014337 0.059787 0.000000 -0.211315 0.000000 -0.000000 -0.000000 92.6013 0.5912</t>
  </si>
  <si>
    <t>11.000 1.244448 0.049370 0.015081 0.064451 0.000000 -0.222181 0.000000 -0.000000 -0.000000 92.6013 0.5977</t>
  </si>
  <si>
    <t>11.500 1.293254 0.053364 0.015884 0.069247 0.000000 -0.228284 0.000000 -0.000000 -0.000000 92.6013 0.5998</t>
  </si>
  <si>
    <t>12.000 1.342973 0.057624 0.016750 0.074374 0.000000 -0.235882 0.000000 -0.000000 -0.000000 92.6013 0.6035</t>
  </si>
  <si>
    <t>12.500 1.392204 0.061987 0.017693 0.079680 0.000000 -0.241515 0.000000 -0.000000 -0.000000 92.6013 0.6057</t>
  </si>
  <si>
    <t>13.000 1.441358 0.066496 0.018709 0.085205 0.000000 -0.246232 0.000000 -0.000000 -0.000000 92.6013 0.6074</t>
  </si>
  <si>
    <t>13.500 1.490480 0.071157 0.019753 0.090910 0.000000 -0.250121 0.000000 -0.000000 -0.000000 92.6013 0.6088</t>
  </si>
  <si>
    <t>14.000 1.539586 0.075972 0.020844 0.096815 0.000000 -0.253212 0.000000 -0.000000 -0.000000 92.6013 0.6099</t>
  </si>
  <si>
    <t>14.500 1.588678 0.080940 0.022016 0.102956 0.000000 -0.255502 0.000000 -0.000000 -0.000000 92.6013 0.6108</t>
  </si>
  <si>
    <t>15.000 1.637757 0.086060 0.023380 0.109441 0.000000 -0.257000 0.000000 -0.000000 -0.000000 92.6013 0.6114</t>
  </si>
  <si>
    <t>CRUISE TRIM</t>
  </si>
  <si>
    <t>RETWIST 1</t>
  </si>
  <si>
    <t>RETWIST 2</t>
  </si>
  <si>
    <t>-3.000 -0.107733 0.001269 0.007628 0.008897 0.000000 0.156124 0.000000 0.000000 0.000000 92.6013 2.0763</t>
  </si>
  <si>
    <t>-2.500 -0.058879 0.000894 0.007410 0.008304 0.000000 0.137246 0.000000 0.000000 0.000000 92.6013 3.1532</t>
  </si>
  <si>
    <t>-2.000 -0.010031 0.000676 0.007194 0.007870 0.000000 0.118623 0.000000 0.000000 0.000000 92.6013 14.7426</t>
  </si>
  <si>
    <t>-1.500 0.038809 0.000617 0.006975 0.007592 0.000000 0.100282 0.000000 0.000000 0.000000 92.6013 -2.8435</t>
  </si>
  <si>
    <t>-1.000 0.087639 0.000717 0.006723 0.007440 0.000000 0.082257 0.000000 0.000000 0.000000 92.6013 -0.8341</t>
  </si>
  <si>
    <t>-0.500 0.136458 0.000976 0.006450 0.007426 0.000000 0.064576 0.000000 0.000000 0.000000 92.6013 -0.2647</t>
  </si>
  <si>
    <t>0.000 0.185262 0.001394 0.006061 0.007455 0.000000 0.047279 0.000000 0.000000 0.000000 92.6013 0.0030</t>
  </si>
  <si>
    <t>0.500 0.234051 0.001971 0.005527 0.007498 0.000000 0.030406 0.000000 0.000000 0.000000 92.6013 0.1579</t>
  </si>
  <si>
    <t>1.000 0.282823 0.002707 0.004669 0.007376 0.000000 0.014024 0.000000 0.000000 0.000000 92.6013 0.2583</t>
  </si>
  <si>
    <t>1.500 0.331576 0.003602 0.004280 0.007883 0.000000 -0.002063 0.000000 0.000000 0.000000 92.6013 0.3282</t>
  </si>
  <si>
    <t>2.000 0.380307 0.004658 0.004186 0.008844 0.000000 -0.017751 0.000000 0.000000 0.000000 92.6013 0.3793</t>
  </si>
  <si>
    <t>2.500 0.429016 0.005872 0.004217 0.010089 0.000000 -0.032977 0.000000 0.000000 0.000000 92.6013 0.4181</t>
  </si>
  <si>
    <t>3.000 0.477701 0.007246 0.004520 0.011767 0.000000 -0.047770 0.000000 0.000000 0.000000 92.6013 0.4483</t>
  </si>
  <si>
    <t>3.500 0.526359 0.008780 0.005320 0.014101 0.000000 -0.062153 0.000000 -0.000000 0.000000 92.6013 0.4722</t>
  </si>
  <si>
    <t>4.000 0.574990 0.010473 0.006263 0.016736 0.000000 -0.076002 0.000000 -0.000000 -0.000000 92.6013 0.4916</t>
  </si>
  <si>
    <t>4.500 0.623590 0.012326 0.007091 0.019417 0.000000 -0.089241 0.000000 -0.000000 -0.000000 92.6013 0.5073</t>
  </si>
  <si>
    <t>5.000 0.672158 0.014339 0.007793 0.022132 0.000000 -0.101847 0.000000 -0.000000 -0.000000 92.6013 0.5202</t>
  </si>
  <si>
    <t>5.500 0.720693 0.016514 0.008425 0.024939 0.000000 -0.113817 0.000000 -0.000000 -0.000000 92.6013 0.5309</t>
  </si>
  <si>
    <t>6.000 0.769193 0.018856 0.008981 0.027836 0.000000 -0.125124 0.000000 -0.000000 -0.000000 92.6013 0.5397</t>
  </si>
  <si>
    <t>6.500 0.817658 0.021383 0.009503 0.030885 0.000000 -0.135745 0.000000 0.000000 -0.000000 92.6013 0.5470</t>
  </si>
  <si>
    <t>7.000 0.866104 0.024176 0.010065 0.034241 0.000000 -0.145662 0.000000 0.000000 -0.000000 92.6013 0.5529</t>
  </si>
  <si>
    <t>7.500 0.914732 0.027503 0.010681 0.038183 0.000000 -0.155041 0.000000 0.000000 -0.000000 92.6013 0.5579</t>
  </si>
  <si>
    <t>8.000 0.964691 0.016892 0.011341 0.028233 0.000000 -0.165676 0.000000 0.000000 -0.000000 92.6013 0.5638</t>
  </si>
  <si>
    <t>8.500 1.012418 0.031202 0.011920 0.043123 0.000000 -0.180662 0.000000 0.000000 -0.000000 92.6013 0.5767</t>
  </si>
  <si>
    <t>9.000 1.058132 0.039057 0.012535 0.051592 0.000000 -0.177507 0.000000 0.000000 -0.000000 92.6013 0.5672</t>
  </si>
  <si>
    <t>9.500 1.107409 0.038498 0.013156 0.051654 0.000000 -0.190956 0.000000 0.000000 -0.000000 92.6013 0.5773</t>
  </si>
  <si>
    <t>10.000 1.153848 0.043141 0.013822 0.056963 0.000000 -0.191455 0.000000 -0.000000 -0.000000 92.6013 0.5734</t>
  </si>
  <si>
    <t>10.500 1.202555 0.045520 0.014526 0.060046 0.000000 -0.197161 0.000000 -0.000000 -0.000000 92.6013 0.5751</t>
  </si>
  <si>
    <t>11.000 1.251098 0.050611 0.015278 0.065889 0.000000 -0.204539 0.000000 -0.000000 -0.000000 92.6013 0.5790</t>
  </si>
  <si>
    <t>11.500 1.301492 0.054895 0.016095 0.070991 0.000000 -0.216444 0.000000 -0.000000 -0.000000 92.6013 0.5871</t>
  </si>
  <si>
    <t>12.000 1.351358 0.059243 0.016977 0.076220 0.000000 -0.225592 0.000000 -0.000000 -0.000000 92.6013 0.5927</t>
  </si>
  <si>
    <t>12.500 1.401097 0.063752 0.017942 0.081695 0.000000 -0.233266 0.000000 -0.000000 -0.000000 92.6013 0.5970</t>
  </si>
  <si>
    <t>13.000 1.450581 0.068397 0.018967 0.087363 0.000000 -0.239372 0.000000 -0.000000 -0.000000 92.6013 0.6001</t>
  </si>
  <si>
    <t>13.500 1.499882 0.073178 0.020020 0.093199 0.000000 -0.244185 0.000000 -0.000000 -0.000000 92.6013 0.6025</t>
  </si>
  <si>
    <t>14.000 1.549002 0.078094 0.021117 0.099211 0.000000 -0.247774 0.000000 -0.000000 -0.000000 92.6013 0.6043</t>
  </si>
  <si>
    <t>14.500 1.598018 0.083151 0.022325 0.105477 0.000000 -0.250351 0.000000 -0.000000 -0.000000 92.6013 0.6055</t>
  </si>
  <si>
    <t>15.000 1.646986 0.088358 0.023748 0.112106 0.000000 -0.252062 0.000000 -0.000000 -0.000000 92.6013 0.6065</t>
  </si>
  <si>
    <t>RETWIST 3</t>
  </si>
  <si>
    <t>-3.000 -0.115913 0.001349 0.007639 0.008988 0.000000 0.148458 0.000000 0.000000 0.000000 92.6013 1.8701</t>
  </si>
  <si>
    <t>-2.500 -0.066873 0.000945 0.007421 0.008366 0.000000 0.129460 0.000000 0.000000 0.000000 92.6013 2.6707</t>
  </si>
  <si>
    <t>-2.000 -0.017841 0.000699 0.007213 0.007911 0.000000 0.110722 0.000000 0.000000 0.000000 92.6013 7.8854</t>
  </si>
  <si>
    <t>-1.500 0.031182 0.000609 0.006987 0.007597 0.000000 0.092274 0.000000 0.000000 0.000000 92.6013 -3.3042</t>
  </si>
  <si>
    <t>-1.000 0.080195 0.000678 0.006766 0.007444 0.000000 0.074146 0.000000 0.000000 0.000000 92.6013 -0.8187</t>
  </si>
  <si>
    <t>-0.500 0.129194 0.000904 0.006492 0.007396 0.000000 0.056368 0.000000 0.000000 0.000000 92.6013 -0.2211</t>
  </si>
  <si>
    <t>0.000 0.178179 0.001288 0.006182 0.007470 0.000000 0.038970 0.000000 0.000000 0.000000 92.6013 0.0462</t>
  </si>
  <si>
    <t>0.500 0.227147 0.001830 0.005680 0.007510 0.000000 0.022009 0.000000 0.000000 0.000000 92.6013 0.1969</t>
  </si>
  <si>
    <t>1.000 0.276097 0.002530 0.004894 0.007424 0.000000 0.005533 0.000000 0.000000 0.000000 92.6013 0.2931</t>
  </si>
  <si>
    <t>1.500 0.325026 0.003388 0.004220 0.007608 0.000000 -0.010530 0.000000 0.000000 0.000000 92.6013 0.3593</t>
  </si>
  <si>
    <t>2.000 0.373933 0.004405 0.004146 0.008551 0.000000 -0.026268 0.000000 0.000000 0.000000 92.6013 0.4073</t>
  </si>
  <si>
    <t>2.500 0.422816 0.005581 0.004150 0.009731 0.000000 -0.041526 0.000000 0.000000 0.000000 92.6013 0.4434</t>
  </si>
  <si>
    <t>3.000 0.471673 0.006914 0.004361 0.011276 0.000000 -0.056320 0.000000 -0.000000 0.000000 92.6013 0.4714</t>
  </si>
  <si>
    <t>3.500 0.520502 0.008406 0.005017 0.013424 0.000000 -0.070683 0.000000 -0.000000 0.000000 92.6013 0.4934</t>
  </si>
  <si>
    <t>4.000 0.569301 0.010057 0.006029 0.016086 0.000000 -0.084558 0.000000 -0.000000 0.000000 92.6013 0.5110</t>
  </si>
  <si>
    <t>4.500 0.618069 0.011866 0.006937 0.018804 0.000000 -0.097820 0.000000 -0.000000 -0.000000 92.6013 0.5253</t>
  </si>
  <si>
    <t>5.000 0.666802 0.013835 0.007679 0.021514 0.000000 -0.110432 0.000000 -0.000000 -0.000000 92.6013 0.5369</t>
  </si>
  <si>
    <t>5.500 0.715500 0.015964 0.008336 0.024300 0.000000 -0.122392 0.000000 -0.000000 -0.000000 92.6013 0.5464</t>
  </si>
  <si>
    <t>6.000 0.764160 0.018261 0.008916 0.027177 0.000000 -0.133678 0.000000 -0.000000 -0.000000 92.6013 0.5542</t>
  </si>
  <si>
    <t>6.500 0.812784 0.020748 0.009429 0.030178 0.000000 -0.144260 0.000000 0.000000 -0.000000 92.6013 0.5606</t>
  </si>
  <si>
    <t>7.000 0.861393 0.023527 0.009971 0.033498 0.000000 -0.154127 0.000000 0.000000 -0.000000 92.6013 0.5657</t>
  </si>
  <si>
    <t>7.500 0.910325 0.027053 0.010571 0.037623 0.000000 -0.163516 0.000000 0.000000 -0.000000 92.6013 0.5699</t>
  </si>
  <si>
    <t>8.000 0.955709 0.021149 0.011158 0.032307 0.000000 -0.174403 0.000000 0.000000 -0.000000 92.6013 0.5784</t>
  </si>
  <si>
    <t>8.500 1.007201 0.031525 0.011813 0.043338 0.000000 -0.185645 0.000000 0.000000 -0.000000 92.6013 0.5836</t>
  </si>
  <si>
    <t>9.000 1.053697 0.040371 0.012425 0.052796 0.000000 -0.186713 0.000000 -0.000000 -0.000000 92.6013 0.5788</t>
  </si>
  <si>
    <t>9.500 1.103765 0.037855 0.013058 0.050912 0.000000 -0.200333 0.000000 -0.000000 -0.000000 92.6013 0.5882</t>
  </si>
  <si>
    <t>10.000 1.151108 0.043158 0.013722 0.056880 0.000000 -0.202413 0.000000 -0.000000 -0.000000 92.6013 0.5853</t>
  </si>
  <si>
    <t>10.500 1.200633 0.045918 0.014423 0.060341 0.000000 -0.211941 0.000000 -0.000000 -0.000000 92.6013 0.5905</t>
  </si>
  <si>
    <t>11.000 1.250910 0.049855 0.015172 0.065028 0.000000 -0.222769 0.000000 -0.000000 -0.000000 92.6013 0.5970</t>
  </si>
  <si>
    <t>11.500 1.299713 0.053867 0.015981 0.069848 0.000000 -0.228839 0.000000 -0.000000 -0.000000 92.6013 0.5991</t>
  </si>
  <si>
    <t>12.000 1.349428 0.058145 0.016854 0.074999 0.000000 -0.236401 0.000000 -0.000000 -0.000000 92.6013 0.6027</t>
  </si>
  <si>
    <t>12.500 1.398654 0.062524 0.017805 0.080329 0.000000 -0.242000 0.000000 -0.000000 -0.000000 92.6013 0.6050</t>
  </si>
  <si>
    <t>13.000 1.447804 0.067051 0.018828 0.085879 0.000000 -0.246681 0.000000 -0.000000 -0.000000 92.6013 0.6067</t>
  </si>
  <si>
    <t>13.500 1.496920 0.071729 0.019875 0.091604 0.000000 -0.250534 0.000000 -0.000000 -0.000000 92.6013 0.6081</t>
  </si>
  <si>
    <t>14.000 1.546020 0.076561 0.020973 0.097534 0.000000 -0.253588 0.000000 -0.000000 -0.000000 92.6013 0.6092</t>
  </si>
  <si>
    <t>14.500 1.595106 0.081546 0.022162 0.103708 0.000000 -0.255843 0.000000 -0.000000 -0.000000 92.6013 0.6101</t>
  </si>
  <si>
    <t>15.000 1.644178 0.086684 0.023547 0.110231 0.000000 -0.257307 0.000000 -0.000000 -0.000000 92.6013 0.6107</t>
  </si>
  <si>
    <t>RETWIST 4</t>
  </si>
  <si>
    <t>RETWIST 5</t>
  </si>
  <si>
    <t>-2.500 -0.099982 0.001019 0.007595 0.008614 0.000000 0.131526 -0.000000 0.000000 0.000000 92.6013 1.9132</t>
  </si>
  <si>
    <t>-2.000 -0.051019 0.000681 0.007379 0.008060 0.000000 0.112796 0.000000 0.000000 0.000000 92.6013 3.0076</t>
  </si>
  <si>
    <t>-1.500 -0.002064 0.000500 0.007164 0.007664 0.000000 0.094354 0.000000 0.000000 0.000000 92.6013 56.1477</t>
  </si>
  <si>
    <t>-1.000 0.046882 0.000476 0.006947 0.007423 0.000000 0.076228 0.000000 0.000000 0.000000 92.6013 -1.6760</t>
  </si>
  <si>
    <t>-0.500 0.095815 0.000610 0.006696 0.007306 0.000000 0.058451 0.000000 0.000000 0.000000 92.6013 -0.4337</t>
  </si>
  <si>
    <t>0.000 0.144735 0.000901 0.006423 0.007325 0.000000 0.041052 0.000000 0.000000 0.000000 92.6013 -0.0335</t>
  </si>
  <si>
    <t>0.500 0.193639 0.001351 0.006029 0.007380 0.000000 0.024071 0.000000 0.000000 0.000000 92.6013 0.1630</t>
  </si>
  <si>
    <t>1.000 0.242526 0.001959 0.005482 0.007441 0.000000 0.007550 0.000000 0.000000 0.000000 92.6013 0.2790</t>
  </si>
  <si>
    <t>1.500 0.291393 0.002725 0.004619 0.007344 0.000000 -0.008451 0.000000 0.000000 0.000000 92.6013 0.3550</t>
  </si>
  <si>
    <t>2.000 0.340239 0.003650 0.004269 0.007919 0.000000 -0.024137 0.000000 0.000000 0.000000 92.6013 0.4082</t>
  </si>
  <si>
    <t>2.500 0.389062 0.004733 0.004181 0.008914 0.000000 -0.039383 0.000000 0.000000 0.000000 92.6013 0.4472</t>
  </si>
  <si>
    <t>3.000 0.437860 0.005975 0.004226 0.010200 0.000000 -0.054138 0.000000 0.000000 0.000000 92.6013 0.4767</t>
  </si>
  <si>
    <t>3.500 0.486631 0.007375 0.004555 0.011929 0.000000 -0.068433 0.000000 0.000000 0.000000 92.6013 0.4996</t>
  </si>
  <si>
    <t>4.000 0.535374 0.008933 0.005382 0.014316 0.000000 -0.082286 0.000000 -0.000000 0.000000 92.6013 0.5177</t>
  </si>
  <si>
    <t>4.500 0.584085 0.010651 0.006326 0.016977 0.000000 -0.095568 0.000000 0.000000 0.000000 92.6013 0.5321</t>
  </si>
  <si>
    <t>5.000 0.632764 0.012527 0.007143 0.019670 0.000000 -0.108205 0.000000 0.000000 0.000000 92.6013 0.5438</t>
  </si>
  <si>
    <t>5.500 0.681407 0.014565 0.007841 0.022407 0.000000 -0.120178 0.000000 0.000000 0.000000 92.6013 0.5532</t>
  </si>
  <si>
    <t>6.000 0.730014 0.016772 0.008472 0.025244 0.000000 -0.131479 0.000000 0.000000 0.000000 92.6013 0.5608</t>
  </si>
  <si>
    <t>6.500 0.778586 0.019175 0.009025 0.028199 0.000000 -0.142066 0.000000 0.000000 0.000000 92.6013 0.5669</t>
  </si>
  <si>
    <t>7.000 0.827147 0.021892 0.009554 0.031446 0.000000 -0.151922 0.000000 0.000000 0.000000 92.6013 0.5717</t>
  </si>
  <si>
    <t>7.500 0.876420 0.026378 0.010137 0.036514 0.000000 -0.161420 0.000000 0.000000 -0.000000 92.6013 0.5756</t>
  </si>
  <si>
    <t>8.000 0.922765 0.024612 0.010717 0.035329 0.000000 -0.173061 0.000000 0.000000 -0.000000 92.6013 0.5845</t>
  </si>
  <si>
    <t>8.500 0.972503 0.030268 0.011381 0.041649 0.000000 -0.182034 0.000000 0.000000 -0.000000 92.6013 0.5874</t>
  </si>
  <si>
    <t>9.000 1.019210 0.037670 0.011984 0.049654 0.000000 -0.185099 0.000000 0.000000 -0.000000 92.6013 0.5846</t>
  </si>
  <si>
    <t>9.500 1.069664 0.035791 0.012610 0.048400 0.000000 -0.199144 0.000000 -0.000000 -0.000000 92.6013 0.5943</t>
  </si>
  <si>
    <t>10.000 1.117224 0.040922 0.013245 0.054167 0.000000 -0.201959 0.000000 -0.000000 -0.000000 92.6013 0.5917</t>
  </si>
  <si>
    <t>10.500 1.166849 0.043641 0.013929 0.057570 0.000000 -0.211846 0.000000 -0.000000 -0.000000 92.6013 0.5971</t>
  </si>
  <si>
    <t>11.000 1.216914 0.047469 0.014640 0.062108 0.000000 -0.222194 0.000000 -0.000000 -0.000000 92.6013 0.6029</t>
  </si>
  <si>
    <t>11.500 1.265865 0.051405 0.015410 0.066815 0.000000 -0.228768 0.000000 -0.000000 -0.000000 92.6013 0.6052</t>
  </si>
  <si>
    <t>12.000 1.315592 0.055593 0.016239 0.071832 0.000000 -0.236480 0.000000 -0.000000 -0.000000 92.6013 0.6088</t>
  </si>
  <si>
    <t>12.500 1.364867 0.059887 0.017131 0.077018 0.000000 -0.242314 0.000000 -0.000000 -0.000000 92.6013 0.6110</t>
  </si>
  <si>
    <t>13.000 1.414071 0.064328 0.018110 0.082438 0.000000 -0.247237 0.000000 -0.000000 -0.000000 92.6013 0.6127</t>
  </si>
  <si>
    <t>13.500 1.463241 0.068921 0.019142 0.088063 0.000000 -0.251333 0.000000 -0.000000 -0.000000 92.6013 0.6141</t>
  </si>
  <si>
    <t>14.000 1.512396 0.073667 0.020206 0.093874 0.000000 -0.254623 0.000000 -0.000000 -0.000000 92.6013 0.6151</t>
  </si>
  <si>
    <t>14.500 1.561538 0.078567 0.021314 0.099881 0.000000 -0.257103 0.000000 -0.000000 -0.000000 92.6013 0.6160</t>
  </si>
  <si>
    <t>15.000 1.610667 0.083620 0.022540 0.106160 0.000000 -0.258772 0.000000 -0.000000 -0.000000 92.6013 0.6166</t>
  </si>
  <si>
    <t>-2.000 -0.077915 0.000741 0.007510 0.008250 0.000000 0.114037 0.000000 0.000000 0.000000 92.6013 2.0952</t>
  </si>
  <si>
    <t>-1.500 -0.029020 0.000486 0.007293 0.007779 0.000000 0.095598 0.000000 0.000000 0.000000 92.6013 4.3328</t>
  </si>
  <si>
    <t>-1.000 0.019865 0.000388 0.007080 0.007468 0.000000 0.077474 0.000000 0.000000 0.000000 92.6013 -4.4555</t>
  </si>
  <si>
    <t>-0.500 0.068739 0.000448 0.006847 0.007295 0.000000 0.059698 0.000000 0.000000 0.000000 92.6013 -0.7502</t>
  </si>
  <si>
    <t>0.000 0.117600 0.000666 0.006585 0.007251 0.000000 0.042295 0.000000 0.000000 0.000000 92.6013 -0.1269</t>
  </si>
  <si>
    <t>0.500 0.166445 0.001042 0.006285 0.007327 0.000000 0.025301 0.000000 0.000000 0.000000 92.6013 0.1287</t>
  </si>
  <si>
    <t>1.000 0.215274 0.001576 0.005827 0.007403 0.000000 0.008761 0.000000 0.000000 0.000000 92.6013 0.2668</t>
  </si>
  <si>
    <t>1.500 0.264083 0.002268 0.005118 0.007386 0.000000 -0.007264 0.000000 0.000000 0.000000 92.6013 0.3527</t>
  </si>
  <si>
    <t>2.000 0.312872 0.003119 0.004501 0.007620 0.000000 -0.022868 0.000000 0.000000 0.000000 92.6013 0.4107</t>
  </si>
  <si>
    <t>2.500 0.361638 0.004128 0.004256 0.008384 0.000000 -0.038085 0.000000 0.000000 0.000000 92.6013 0.4522</t>
  </si>
  <si>
    <t>3.000 0.410379 0.005296 0.004191 0.009487 0.000000 -0.052817 0.000000 -0.000000 0.000000 92.6013 0.4829</t>
  </si>
  <si>
    <t>3.500 0.459094 0.006621 0.004399 0.011020 0.000000 -0.067079 0.000000 0.000000 0.000000 92.6013 0.5064</t>
  </si>
  <si>
    <t>4.000 0.507781 0.008106 0.004930 0.013036 0.000000 -0.080862 0.000000 -0.000000 0.000000 92.6013 0.5247</t>
  </si>
  <si>
    <t>4.500 0.556437 0.009749 0.005776 0.015525 0.000000 -0.094131 0.000000 -0.000000 -0.000000 92.6013 0.5391</t>
  </si>
  <si>
    <t>5.000 0.605061 0.011552 0.006678 0.018230 0.000000 -0.106790 0.000000 0.000000 -0.000000 92.6013 0.5506</t>
  </si>
  <si>
    <t>5.500 0.653650 0.013517 0.007413 0.020930 0.000000 -0.118768 0.000000 0.000000 -0.000000 92.6013 0.5598</t>
  </si>
  <si>
    <t>6.000 0.702202 0.015652 0.008088 0.023740 0.000000 -0.130070 0.000000 0.000000 -0.000000 92.6013 0.5672</t>
  </si>
  <si>
    <t>6.500 0.750719 0.017989 0.008682 0.026671 0.000000 -0.140650 0.000000 0.000000 -0.000000 92.6013 0.5730</t>
  </si>
  <si>
    <t>7.000 0.799232 0.020668 0.009218 0.029886 0.000000 -0.150486 0.000000 0.000000 -0.000000 92.6013 0.5775</t>
  </si>
  <si>
    <t>7.500 0.848140 0.036580 0.009781 0.046361 0.000000 -0.160125 0.000000 0.000000 -0.000000 92.6013 0.5815</t>
  </si>
  <si>
    <t>8.000 0.895520 0.023985 0.010352 0.034337 0.000000 -0.172666 0.000000 0.000000 -0.000000 92.6013 0.5910</t>
  </si>
  <si>
    <t>8.500 0.943852 0.029558 0.011003 0.040561 0.000000 -0.178246 0.000000 0.000000 -0.000000 92.6013 0.5896</t>
  </si>
  <si>
    <t>9.000 0.991144 0.034912 0.011628 0.046539 0.000000 -0.184200 0.000000 0.000000 -0.000000 92.6013 0.5900</t>
  </si>
  <si>
    <t>9.500 1.041835 0.034239 0.012246 0.046485 0.000000 -0.198572 0.000000 -0.000000 -0.000000 92.6013 0.5999</t>
  </si>
  <si>
    <t>10.000 1.089570 0.039204 0.012869 0.052073 0.000000 -0.201993 0.000000 -0.000000 -0.000000 92.6013 0.5976</t>
  </si>
  <si>
    <t>10.500 1.139317 0.041886 0.013523 0.055408 0.000000 -0.212326 0.000000 -0.000000 -0.000000 92.6013 0.6033</t>
  </si>
  <si>
    <t>11.000 1.189154 0.045619 0.014220 0.059839 0.000000 -0.222162 0.000000 -0.000000 -0.000000 92.6013 0.6084</t>
  </si>
  <si>
    <t>11.500 1.238288 0.049502 0.014953 0.064455 0.000000 -0.229333 0.000000 -0.000000 -0.000000 92.6013 0.6110</t>
  </si>
  <si>
    <t>12.000 1.287990 0.053614 0.015751 0.069365 0.000000 -0.237107 0.000000 -0.000000 -0.000000 92.6013 0.6145</t>
  </si>
  <si>
    <t>12.500 1.337301 0.057838 0.016601 0.074438 0.000000 -0.243147 0.000000 -0.000000 -0.000000 92.6013 0.6166</t>
  </si>
  <si>
    <t>13.000 1.386543 0.062210 0.017529 0.079739 0.000000 -0.248276 0.000000 -0.000000 -0.000000 92.6013 0.6183</t>
  </si>
  <si>
    <t>13.500 1.435752 0.066733 0.018533 0.085266 0.000000 -0.252578 0.000000 -0.000000 -0.000000 92.6013 0.6196</t>
  </si>
  <si>
    <t>14.000 1.484945 0.071410 0.019582 0.090992 0.000000 -0.256072 0.000000 -0.000000 -0.000000 92.6013 0.6206</t>
  </si>
  <si>
    <t>14.500 1.534126 0.076240 0.020660 0.096901 0.000000 -0.258751 0.000000 -0.000000 -0.000000 92.6013 0.6214</t>
  </si>
  <si>
    <t>15.000 1.583295 0.081224 0.021793 0.103016 0.000000 -0.260602 0.000000 -0.000000 -0.000000 92.6013 0.6219</t>
  </si>
  <si>
    <t>RETWIST 6</t>
  </si>
  <si>
    <t>-1.000 -0.013245 0.000403 0.007250 0.007653 0.000000 0.079578 0.000000 0.000000 0.000000 92.6013 7.6552</t>
  </si>
  <si>
    <t>-0.500 0.035540 0.000371 0.007024 0.007395 0.000000 0.061806 0.000000 0.000000 0.000000 92.6013 -1.8160</t>
  </si>
  <si>
    <t>0.000 0.084313 0.000497 0.006783 0.007280 0.000000 0.044407 0.000000 0.000000 0.000000 92.6013 -0.3319</t>
  </si>
  <si>
    <t>0.500 0.133072 0.000780 0.006501 0.007281 0.000000 0.027409 0.000000 0.000000 0.000000 92.6013 0.0621</t>
  </si>
  <si>
    <t>1.000 0.181814 0.001222 0.006137 0.007359 0.000000 0.010858 0.000000 0.000000 0.000000 92.6013 0.2431</t>
  </si>
  <si>
    <t>1.500 0.230539 0.001823 0.005590 0.007412 0.000000 -0.005201 0.000000 0.000000 0.000000 92.6013 0.3461</t>
  </si>
  <si>
    <t>2.000 0.279244 0.002581 0.004874 0.007456 0.000000 -0.020756 0.000000 0.000000 0.000000 92.6013 0.4120</t>
  </si>
  <si>
    <t>2.500 0.327927 0.003499 0.004540 0.008039 0.000000 -0.035944 0.000000 0.000000 0.000000 92.6013 0.4574</t>
  </si>
  <si>
    <t>3.000 0.376587 0.004575 0.004322 0.008897 0.000000 -0.050650 0.000000 0.000000 0.000000 92.6013 0.4901</t>
  </si>
  <si>
    <t>3.500 0.425221 0.005810 0.004332 0.010142 0.000000 -0.064869 0.000000 -0.000000 0.000000 92.6013 0.5145</t>
  </si>
  <si>
    <t>4.000 0.473828 0.007204 0.004608 0.011812 0.000000 -0.078595 0.000000 0.000000 0.000000 92.6013 0.5331</t>
  </si>
  <si>
    <t>4.500 0.522406 0.008757 0.005306 0.014063 0.000000 -0.091844 0.000000 0.000000 0.000000 92.6013 0.5476</t>
  </si>
  <si>
    <t>5.000 0.570952 0.010470 0.006105 0.016575 0.000000 -0.104498 0.000000 -0.000000 -0.000000 92.6013 0.5589</t>
  </si>
  <si>
    <t>5.500 0.619464 0.012346 0.006883 0.019228 0.000000 -0.116497 0.000000 -0.000000 -0.000000 92.6013 0.5679</t>
  </si>
  <si>
    <t>6.000 0.667940 0.014394 0.007577 0.021971 0.000000 -0.127807 0.000000 0.000000 -0.000000 92.6013 0.5749</t>
  </si>
  <si>
    <t>6.500 0.716380 0.016652 0.008216 0.024868 0.000000 -0.138391 0.000000 0.000000 -0.000000 92.6013 0.5804</t>
  </si>
  <si>
    <t>7.000 0.764824 0.019279 0.008791 0.028071 0.000000 -0.148225 0.000000 0.000000 -0.000000 92.6013 0.5845</t>
  </si>
  <si>
    <t>7.500 0.812462 0.023425 0.009330 0.032755 0.000000 -0.158077 0.000000 0.000000 -0.000000 92.6013 0.5894</t>
  </si>
  <si>
    <t>8.000 0.861615 0.022474 0.009914 0.032388 0.000000 -0.171760 0.000000 0.000000 -0.000000 92.6013 0.5992</t>
  </si>
  <si>
    <t>8.500 0.908503 0.028619 0.010535 0.039154 0.000000 -0.173163 0.000000 0.000000 -0.000000 92.6013 0.5921</t>
  </si>
  <si>
    <t>9.000 0.956649 0.031998 0.011177 0.043174 0.000000 -0.182600 0.000000 0.000000 -0.000000 92.6013 0.5966</t>
  </si>
  <si>
    <t>9.500 1.007455 0.032483 0.011813 0.044296 0.000000 -0.197317 0.000000 0.000000 -0.000000 92.6013 0.6068</t>
  </si>
  <si>
    <t>10.000 1.055286 0.037252 0.012427 0.049679 0.000000 -0.201174 0.000000 0.000000 -0.000000 92.6013 0.6045</t>
  </si>
  <si>
    <t>10.500 1.105186 0.039874 0.013055 0.052928 0.000000 -0.212132 0.000000 0.000000 -0.000000 92.6013 0.6105</t>
  </si>
  <si>
    <t>11.000 1.154783 0.043501 0.013727 0.057229 0.000000 -0.221496 0.000000 -0.000000 -0.000000 92.6013 0.6149</t>
  </si>
  <si>
    <t>11.500 1.204129 0.047325 0.014431 0.061756 0.000000 -0.229398 0.000000 -0.000000 -0.000000 92.6013 0.6180</t>
  </si>
  <si>
    <t>12.000 1.253799 0.051350 0.015195 0.066544 0.000000 -0.237275 0.000000 -0.000000 -0.000000 92.6013 0.6213</t>
  </si>
  <si>
    <t>12.500 1.303139 0.055494 0.016004 0.071498 0.000000 -0.243561 0.000000 -0.000000 -0.000000 92.6013 0.6234</t>
  </si>
  <si>
    <t>13.000 1.352412 0.059787 0.016878 0.076664 0.000000 -0.248935 0.000000 -0.000000 -0.000000 92.6013 0.6250</t>
  </si>
  <si>
    <t>13.500 1.401652 0.064231 0.017831 0.082062 0.000000 -0.253478 0.000000 -0.000000 -0.000000 92.6013 0.6263</t>
  </si>
  <si>
    <t>14.000 1.450878 0.068828 0.018848 0.087676 0.000000 -0.257214 0.000000 -0.000000 -0.000000 92.6013 0.6272</t>
  </si>
  <si>
    <t>14.500 1.500093 0.073579 0.019912 0.093491 0.000000 -0.260136 0.000000 -0.000000 -0.000000 92.6013 0.6279</t>
  </si>
  <si>
    <t>15.000 1.549297 0.078483 0.020986 0.099469 0.000000 -0.262218 0.000000 -0.000000 -0.000000 92.6013 0.6284</t>
  </si>
  <si>
    <t>Row b4 Cm=0</t>
  </si>
  <si>
    <t>CL where Cm=0 (interpolated)</t>
  </si>
  <si>
    <t>([Total CD0]*[Excrescences Multiplier]; will be used on "Drag Polar" sheet and added to results from induced program)</t>
  </si>
  <si>
    <t>FLAP INFORMATION</t>
  </si>
  <si>
    <t>Flap deflection</t>
  </si>
  <si>
    <t>deg</t>
  </si>
  <si>
    <t>Hingle line sweep</t>
  </si>
  <si>
    <t>Flapped Wing Area Ratio</t>
  </si>
  <si>
    <t>=S_flapped/S_ref</t>
  </si>
  <si>
    <t>CL = a*alpha + CL0</t>
  </si>
  <si>
    <t>a</t>
  </si>
  <si>
    <t>CL0</t>
  </si>
  <si>
    <t>Zero-lift Angle of Attack</t>
  </si>
  <si>
    <t>Cm = Cm,alpha*alpha + Cm0</t>
  </si>
  <si>
    <t>Cm,alpha</t>
  </si>
  <si>
    <t>Cm0</t>
  </si>
  <si>
    <t>Find the alpha/CL where Cm=0</t>
  </si>
  <si>
    <t>Row b4 CL=0</t>
  </si>
  <si>
    <t>Fuel Flow Rate</t>
  </si>
  <si>
    <t>Temperature</t>
  </si>
  <si>
    <t>Pressure</t>
  </si>
  <si>
    <t>°R</t>
  </si>
  <si>
    <t>lb / ft^2</t>
  </si>
  <si>
    <t>Dynamic Pressure</t>
  </si>
  <si>
    <t>CONSTANTS</t>
  </si>
  <si>
    <t>ENGINE OPERATING POINT PROPERTIES</t>
  </si>
  <si>
    <t>Shaft Power</t>
  </si>
  <si>
    <t>GPH</t>
  </si>
  <si>
    <t>lb / sec</t>
  </si>
  <si>
    <t>Engine Speed</t>
  </si>
  <si>
    <t>RPM</t>
  </si>
  <si>
    <t>rev / sec</t>
  </si>
  <si>
    <t>Exhaust Gas Temperature</t>
  </si>
  <si>
    <t>°F</t>
  </si>
  <si>
    <t>ft lb / sec</t>
  </si>
  <si>
    <t>ENGINE &amp; FUEL PROPERTIES</t>
  </si>
  <si>
    <t>Engine Displacement</t>
  </si>
  <si>
    <t>Lower Heating Value of Fuel</t>
  </si>
  <si>
    <t>Fuel Density</t>
  </si>
  <si>
    <t>ft^3</t>
  </si>
  <si>
    <t>in^3</t>
  </si>
  <si>
    <t>slug / ft^3</t>
  </si>
  <si>
    <t>lb / gal</t>
  </si>
  <si>
    <t>Horsepower Rating</t>
  </si>
  <si>
    <t>hp</t>
  </si>
  <si>
    <t>Specific Heat at Const Pressure (cp)</t>
  </si>
  <si>
    <t>Ratio of Specific Heats (gamma)</t>
  </si>
  <si>
    <t>Pressure Coefficient at Exit (C_p)</t>
  </si>
  <si>
    <t>Btu / (lbm °R)</t>
  </si>
  <si>
    <t>ft lb / (lbm °R)</t>
  </si>
  <si>
    <t>Mattingly</t>
  </si>
  <si>
    <t>IO-550-N.pdf spec sheet</t>
  </si>
  <si>
    <t>POH pg 18</t>
  </si>
  <si>
    <t>OTHER USER INPUTS</t>
  </si>
  <si>
    <t>Acceleration due to gravity</t>
  </si>
  <si>
    <t>ft / sec^2</t>
  </si>
  <si>
    <t>Station 1 - Inlet entrance</t>
  </si>
  <si>
    <t>Station 2 - Inlet exit, Heat Exchanger entrance</t>
  </si>
  <si>
    <t>Assumed</t>
  </si>
  <si>
    <t>Station 3 - Heat Exchanger exit, Exhaust entrance</t>
  </si>
  <si>
    <t>Station 4 - Exhaust exit</t>
  </si>
  <si>
    <t>T_4, static</t>
  </si>
  <si>
    <t>p_t,4</t>
  </si>
  <si>
    <t>p_t,3</t>
  </si>
  <si>
    <t>T_t,3</t>
  </si>
  <si>
    <t>T_t,2</t>
  </si>
  <si>
    <t>p_t,2</t>
  </si>
  <si>
    <t>p_t,1</t>
  </si>
  <si>
    <t>T_t,1</t>
  </si>
  <si>
    <t>p_s,4</t>
  </si>
  <si>
    <t>lb / ft^3</t>
  </si>
  <si>
    <t>Station 0</t>
  </si>
  <si>
    <t>p_t,0</t>
  </si>
  <si>
    <t>T_t,0</t>
  </si>
  <si>
    <t>V_exit</t>
  </si>
  <si>
    <t>Waste Heat Determination</t>
  </si>
  <si>
    <t>Qdot_waste</t>
  </si>
  <si>
    <t>ft lb /sec</t>
  </si>
  <si>
    <t xml:space="preserve">  Qdot_fuel</t>
  </si>
  <si>
    <t xml:space="preserve">  Wdot_shaft</t>
  </si>
  <si>
    <t xml:space="preserve">  Qdot_exhaust</t>
  </si>
  <si>
    <t xml:space="preserve">    mdot_exhaust</t>
  </si>
  <si>
    <t>COOLING DRAG DETERMINATION SPREADSHEET FOR INTERNAL COMBUSTION ENGINES</t>
  </si>
  <si>
    <t>Cooling Drag</t>
  </si>
  <si>
    <t>ft / sec</t>
  </si>
  <si>
    <t>slug / sec</t>
  </si>
  <si>
    <t>Exit Area</t>
  </si>
  <si>
    <t>rho_4</t>
  </si>
  <si>
    <t>mdot_cool required</t>
  </si>
  <si>
    <t>mdot_cool actual (after adding in leakage)</t>
  </si>
  <si>
    <t>Cylinder Head Temperature (or Material Temperature Limit)</t>
  </si>
  <si>
    <t>Cooling Drag Coefficient</t>
  </si>
  <si>
    <t>Exhaust Angularity (with respect to flight direction)</t>
  </si>
  <si>
    <t>Mass Flow Rate Multiplier (leakage, safety margin)</t>
  </si>
  <si>
    <t>ANALYSIS</t>
  </si>
  <si>
    <t>Estimate from photos</t>
  </si>
  <si>
    <t xml:space="preserve">R </t>
  </si>
  <si>
    <t>ft lb / (slug °R)</t>
  </si>
  <si>
    <t>MAIN CRUISE CONDITION (from CD0 sheet)</t>
  </si>
  <si>
    <t>Cowl Flaps (1=yes, 0=no)</t>
  </si>
  <si>
    <t>If the aircraft does NOT have cowl flaps, both the critical sizing condition and the main cruise conditions need to be analyzed.</t>
  </si>
  <si>
    <t>CRITICAL SIZING CONDITION - Climb from sea level at ISA + 41°F day</t>
  </si>
  <si>
    <t>T_t,4</t>
  </si>
  <si>
    <t>Delta Temperature from Standard Day</t>
  </si>
  <si>
    <t>SOURCE FOR INFORMATION</t>
  </si>
  <si>
    <t>CD0 sheet</t>
  </si>
  <si>
    <t>Standard temperature at given altitude</t>
  </si>
  <si>
    <t>Standard density at given altitude</t>
  </si>
  <si>
    <t>Standard pressure at given altitude</t>
  </si>
  <si>
    <t>Suggestion from Willford2003</t>
  </si>
  <si>
    <t>Assumed, maximum for engine (know engine is at full throttle for climb from POH)</t>
  </si>
  <si>
    <t>Final Results:</t>
  </si>
  <si>
    <t>lbm / sec</t>
  </si>
  <si>
    <t>Btu / lbm</t>
  </si>
  <si>
    <t>ft lb / lbm</t>
  </si>
  <si>
    <t>°R (or °F)</t>
  </si>
  <si>
    <t>mdot_cool actual (for the set exit area OR after adding in leakage)</t>
  </si>
  <si>
    <t>Cooling Drag Area (D/q)</t>
  </si>
  <si>
    <t>Temperature Tolerance for Convergence (only used without cowl flaps)</t>
  </si>
  <si>
    <t>Induced</t>
  </si>
  <si>
    <t>Profile</t>
  </si>
  <si>
    <t>DRAG BREAKDOWN AT CRUISE CL</t>
  </si>
  <si>
    <t>Total Drag (numerical)</t>
  </si>
  <si>
    <t>Analytical Lift Curve Model</t>
  </si>
  <si>
    <t>Analytical Drag Polar Model</t>
  </si>
  <si>
    <t>Analytical Moment Curve Model</t>
  </si>
  <si>
    <t>Analytical CD</t>
  </si>
  <si>
    <t>L/D (analytical)</t>
  </si>
  <si>
    <t>Analytical and Numerical CD</t>
  </si>
  <si>
    <t>Analytical Lift Curve CL</t>
  </si>
  <si>
    <t>Analytical Moment Curve Cm</t>
  </si>
  <si>
    <t>% of Total CD</t>
  </si>
  <si>
    <t>Alpha where CL=0 (linearly interpolated)</t>
  </si>
  <si>
    <t>CL where Cm=0 (linearly interpolated)</t>
  </si>
  <si>
    <t>Alpha where Cm=0 (linearly interpolated)</t>
  </si>
  <si>
    <t>(linear interpolation between given CLs is used)</t>
  </si>
  <si>
    <t>CRC Report No. 530 (Handbook of Aviation Fuel Properties 1983) Typical value for AvGas; unit conversion from http://www.engineeringtoolbox.com/unit-converter-d_185.html</t>
  </si>
  <si>
    <t>SR22 POH</t>
  </si>
  <si>
    <t>POH cruise condition 8,000ft, 180kts pg 152 or 5-28</t>
  </si>
  <si>
    <t>Willford2003 spreadsheet gives typical range of -0.3 to -0.5</t>
  </si>
  <si>
    <t>POH estimated amount from time, fuel, dist to climb table using trend between 0 and 1000ft</t>
  </si>
  <si>
    <t>POH climb speed at sea level (pg 150 or 5-26)</t>
  </si>
  <si>
    <t>Maximum Number of Iterations (only used without cowl flaps)</t>
  </si>
  <si>
    <t>If the aircraft has cowl flaps (to adjust exit area), only the main cruise condition needs to be analyzed. ("Temperature Tolerance for Convergence" and "Maximum Number of Iterations" inputs will not be used)</t>
  </si>
  <si>
    <t>Standard pressure at 0ft (Willford2003 spreadsheet calculated it this way; also see http://www.pdas.com/atmos2.html and http://www.aerospaceweb.org/design/scripts/atmosphere/)</t>
  </si>
  <si>
    <t>Using equation of state with input temperature and standard pressure at 0ft (Willford2003 spreadsheet calculated it this way; also see http://www.pdas.com/atmos2.html and http://www.aerospaceweb.org/design/scripts/atmosphere/)</t>
  </si>
  <si>
    <t>http://www.gami.com/articles/bttfpart1.php quoting IO-550 Operator Manual (POH EGT gage range 1250-1650°F pg 32 or 2-8)</t>
  </si>
  <si>
    <t>http://www.gami.com/articles/bttfpart1.php quoting IO-550 Operator Manual (Cylinder heat temperature yellow line is 420°F, pg 32 or 2-8 POH)</t>
  </si>
  <si>
    <r>
      <t xml:space="preserve">    </t>
    </r>
    <r>
      <rPr>
        <sz val="10"/>
        <rFont val="Calibri"/>
        <family val="2"/>
      </rPr>
      <t>π</t>
    </r>
    <r>
      <rPr>
        <sz val="10"/>
        <rFont val="Arial"/>
        <family val="2"/>
      </rPr>
      <t>_0-1 (change from propeller)</t>
    </r>
  </si>
  <si>
    <r>
      <t xml:space="preserve">    </t>
    </r>
    <r>
      <rPr>
        <sz val="10"/>
        <rFont val="Calibri"/>
        <family val="2"/>
      </rPr>
      <t>π</t>
    </r>
    <r>
      <rPr>
        <sz val="10"/>
        <rFont val="Arial"/>
        <family val="2"/>
      </rPr>
      <t>_1-2 (change across inlet)</t>
    </r>
  </si>
  <si>
    <r>
      <t xml:space="preserve">    </t>
    </r>
    <r>
      <rPr>
        <sz val="10"/>
        <rFont val="Calibri"/>
        <family val="2"/>
      </rPr>
      <t>π</t>
    </r>
    <r>
      <rPr>
        <sz val="10"/>
        <rFont val="Arial"/>
        <family val="2"/>
      </rPr>
      <t>_2-3 (change across heat exchanger)</t>
    </r>
  </si>
  <si>
    <r>
      <t xml:space="preserve">    </t>
    </r>
    <r>
      <rPr>
        <sz val="10"/>
        <rFont val="Calibri"/>
        <family val="2"/>
      </rPr>
      <t>π</t>
    </r>
    <r>
      <rPr>
        <sz val="10"/>
        <rFont val="Arial"/>
        <family val="2"/>
      </rPr>
      <t>_3-4 (change across cooling exhaust nozzle)</t>
    </r>
  </si>
  <si>
    <t>Total Pressure Losses / Gains</t>
  </si>
  <si>
    <t>([Total CD0]*[Excrescences Multiplier]; will be used on "Drag Polar TO" sheet and added to results from induced program)</t>
  </si>
  <si>
    <t>Δα_zero lift airfoil</t>
  </si>
  <si>
    <t>Slotted Flap</t>
  </si>
  <si>
    <t>1 for yes, 0 for no</t>
  </si>
  <si>
    <t>Flap Chord Length (cf)</t>
  </si>
  <si>
    <t>Parasite (uses Raymer formula 12.37 pg 336)</t>
  </si>
  <si>
    <t>ICd (uses Raymer formula 12.62 pg 354)</t>
  </si>
  <si>
    <t>CL_max, flapped</t>
  </si>
  <si>
    <t>CL_max, clean</t>
  </si>
  <si>
    <t>Wing c/4 Sweep</t>
  </si>
  <si>
    <t>Moment Invalid</t>
  </si>
  <si>
    <t>Fraction of Span Flapped</t>
  </si>
  <si>
    <t>full-span flaps=1, half-span flaps=0.5</t>
  </si>
  <si>
    <t>Drag Polar for FLOPS</t>
  </si>
  <si>
    <t>Angle of Attack</t>
  </si>
  <si>
    <t>Row b4 Alpha=0</t>
  </si>
  <si>
    <t>CL where alpha=0</t>
  </si>
  <si>
    <t>55% leakage for regular baffles, 17% for "dog house" style baffles - from Miley1981 (see report pg 26, 87, 88, 92)</t>
  </si>
  <si>
    <t>%</t>
  </si>
  <si>
    <t>Median</t>
  </si>
  <si>
    <t>V_2</t>
  </si>
  <si>
    <t>V_1</t>
  </si>
  <si>
    <t>p_s,2</t>
  </si>
  <si>
    <t>T_s,2</t>
  </si>
  <si>
    <t>Equiv pressure altitude</t>
  </si>
  <si>
    <t>rho_2</t>
  </si>
  <si>
    <t>Turbocharger Critical Altitude (if no turbocharger put 0)</t>
  </si>
  <si>
    <t>Corrected Cooling Drag</t>
  </si>
  <si>
    <t>Velocity / (Standard speed of sound at given altitude)</t>
  </si>
  <si>
    <t>Willford2003 gives typical range of 0.3 to 0.7 (with 0.4 typically best for cruise)</t>
  </si>
  <si>
    <t>Recommended Pressure Losses</t>
  </si>
  <si>
    <t xml:space="preserve">    Max Allowable Pressure Loss (for input Cp)</t>
  </si>
  <si>
    <t xml:space="preserve">    Curve Fit π_2-3</t>
  </si>
  <si>
    <t xml:space="preserve">    Willford π_2-3</t>
  </si>
  <si>
    <t xml:space="preserve">        Inlet Velocity Ratio (V_2 / V_1, only needed for Willford curve fit)</t>
  </si>
  <si>
    <t xml:space="preserve">        Engine Type for Willford equations</t>
  </si>
  <si>
    <t xml:space="preserve">   Cooling Drag</t>
  </si>
  <si>
    <t xml:space="preserve">   Cooling Drag Coefficient</t>
  </si>
  <si>
    <t xml:space="preserve">   Drag Area (D/q)</t>
  </si>
  <si>
    <t xml:space="preserve">   Corrected Cooling Drag</t>
  </si>
  <si>
    <t>1=4 cylinder Continental, 2=200 series Lycoming, 3=300 series Lycoming, 4=Par. Valve 500 series Lycoming, 5=Inc. Valve 500 series Lycoming, 6=500 series Continental (see VB script function)</t>
  </si>
  <si>
    <t>° (Raymer estimates -10° for takeoff, -15° for landing)</t>
  </si>
  <si>
    <t>Number of Points</t>
  </si>
  <si>
    <t>DRAG BREAKDOWN AT HIGH LIFT CL</t>
  </si>
  <si>
    <t>(graphs set up to plot down to row 60)</t>
  </si>
  <si>
    <t xml:space="preserve">    Curve Fit π_2-3 using actual mdot</t>
  </si>
  <si>
    <t xml:space="preserve">    Curve Fit π_2-3 using required mdot</t>
  </si>
  <si>
    <t xml:space="preserve">    Willford π_2-3 using actual mdot</t>
  </si>
  <si>
    <t xml:space="preserve">    Willford π_2-3 using required mdot</t>
  </si>
  <si>
    <t>Propulsion Type</t>
  </si>
  <si>
    <t>High Lift CL</t>
  </si>
  <si>
    <t>COOLING DRAG DETERMINATION SPREADSHEET FOR ELECTRIC AIRCRAFT</t>
  </si>
  <si>
    <t>0=IC, 1=Electric</t>
  </si>
  <si>
    <t>*NOTE:  If output extends beyond cell 60, must change matlab function "flops_aero_read" to populate FLOPS outputs</t>
  </si>
  <si>
    <t>Use Matlab function flops_aero_read.m to fill this section</t>
  </si>
  <si>
    <t>Copy and paste data here to format it nicely</t>
  </si>
  <si>
    <t>CG Loc (wrt wing LE)</t>
  </si>
  <si>
    <t>y-span</t>
  </si>
  <si>
    <t>Chord</t>
  </si>
  <si>
    <t>Ai</t>
  </si>
  <si>
    <t>Cl</t>
  </si>
  <si>
    <t>CmGeom</t>
  </si>
  <si>
    <t>CmAirf</t>
  </si>
  <si>
    <t>XTrtop</t>
  </si>
  <si>
    <t>XTrBot</t>
  </si>
  <si>
    <t>BM</t>
  </si>
  <si>
    <t>Normalized Span</t>
  </si>
  <si>
    <t>Elliptic Cl*c</t>
  </si>
  <si>
    <t>y-span (ft)</t>
  </si>
  <si>
    <t>Max semi-span</t>
  </si>
  <si>
    <t>Tip chord</t>
  </si>
  <si>
    <t>chord (ft)</t>
  </si>
  <si>
    <t>(corresponding to XFLR5 data used)</t>
  </si>
  <si>
    <t>(unit conversions; add in tip points; make Cl=0 at tips)</t>
  </si>
  <si>
    <t>WING LIFT DISTRIBUTION DATA</t>
  </si>
  <si>
    <t>(Go to OptPoint \ Current OptPoint \ Export to save text file, then paste data in)</t>
  </si>
  <si>
    <t>(unit conversions; add in tip points; make Cl=0 at tips; calculate elliptic dist)</t>
  </si>
  <si>
    <t>TAIL LIFT DISTRIBUTION DATA</t>
  </si>
  <si>
    <t>Wing Calculations</t>
  </si>
  <si>
    <t>From XFLR5 for Wing</t>
  </si>
  <si>
    <t>From XFLR5 for Tail</t>
  </si>
  <si>
    <t>Wing Geometric Inputs (from XFLR5 model)</t>
  </si>
  <si>
    <t>Wing Cl*c</t>
  </si>
  <si>
    <t>Tail Cl*c</t>
  </si>
  <si>
    <t>Tail Calculations</t>
  </si>
  <si>
    <t>Total Cl*c</t>
  </si>
  <si>
    <t>Tail Geometric Inputs (from XFLR5 model)</t>
  </si>
  <si>
    <t>WING AND TAIL COMBINED</t>
  </si>
  <si>
    <t>Wing Start Row</t>
  </si>
  <si>
    <t>Wing End Row</t>
  </si>
  <si>
    <t>Tail Start Row</t>
  </si>
  <si>
    <t>Tail End Row</t>
  </si>
  <si>
    <t>Wing + Tail Calculations</t>
  </si>
  <si>
    <t>IO-550 Operator Manual pg 2-30, normal operational temperature for cruise (Cylinder heat temperature yellow line is 420°F, pg 32 or 2-8 POH)</t>
  </si>
  <si>
    <t>CL^3/2/CD</t>
  </si>
  <si>
    <t>(L/D) max</t>
  </si>
  <si>
    <t>CL for (L/D) max</t>
  </si>
  <si>
    <t>Velocity for (L/D) max (at baseline altitude)</t>
  </si>
  <si>
    <t>ft/sec</t>
  </si>
  <si>
    <t>(L/D) max calculations</t>
  </si>
  <si>
    <t>L/D at Cruise CL</t>
  </si>
  <si>
    <t>no</t>
  </si>
  <si>
    <t>PROPELLER SLIPSTREAM INFORMATION (SCRUBBING DRAG)</t>
  </si>
  <si>
    <t>Engine Shaft Power (at flight condition)</t>
  </si>
  <si>
    <t>Slipstream Velocity</t>
  </si>
  <si>
    <t>yes</t>
  </si>
  <si>
    <r>
      <t>Slipstream Area</t>
    </r>
    <r>
      <rPr>
        <vertAlign val="superscript"/>
        <sz val="10"/>
        <rFont val="Arial"/>
        <family val="2"/>
      </rPr>
      <t>†</t>
    </r>
    <r>
      <rPr>
        <sz val="10"/>
        <rFont val="Arial"/>
        <family val="2"/>
      </rPr>
      <t xml:space="preserve"> (Propeller disk area - Blockage area; if unknown, assume 0.8*propeller disk area as done in Crowley1925)</t>
    </r>
  </si>
  <si>
    <r>
      <t>Propeller Scrubbing?</t>
    </r>
    <r>
      <rPr>
        <b/>
        <vertAlign val="superscript"/>
        <sz val="10"/>
        <rFont val="Arial"/>
        <family val="2"/>
      </rPr>
      <t>‡</t>
    </r>
  </si>
  <si>
    <r>
      <rPr>
        <vertAlign val="superscript"/>
        <sz val="10"/>
        <rFont val="Arial"/>
        <family val="2"/>
      </rPr>
      <t>‡</t>
    </r>
    <r>
      <rPr>
        <sz val="10"/>
        <rFont val="Arial"/>
        <family val="2"/>
      </rPr>
      <t>For propeller scrubbing, must enter "yes," "Yes," "YES," "y," or "Y" in column I (any other entry will be interpreted as no scrubbing on that component)</t>
    </r>
  </si>
  <si>
    <r>
      <rPr>
        <vertAlign val="superscript"/>
        <sz val="10"/>
        <rFont val="Arial"/>
        <family val="2"/>
      </rPr>
      <t>†</t>
    </r>
    <r>
      <rPr>
        <sz val="10"/>
        <rFont val="Arial"/>
        <family val="2"/>
      </rPr>
      <t>Slipstream area is the propeller disk area minus the blockage area.  If blockage area is unknown, can estimate 0.8 times the propeller disk area (see NACA Report 194, Crowley 1925)</t>
    </r>
  </si>
  <si>
    <t>Propeller Efficiency (at flight condition)</t>
  </si>
  <si>
    <t>ELECTRIC MOTOR PROPERTIES</t>
  </si>
  <si>
    <t>Power Rating (enter in EITHER Watts OR hp)</t>
  </si>
  <si>
    <t>W</t>
  </si>
  <si>
    <t>Power Rating</t>
  </si>
  <si>
    <t>Motor + Controller Efficiency</t>
  </si>
  <si>
    <t>MOTOR OPERATING POINT PROPERTIES</t>
  </si>
  <si>
    <t>Shaft Power (enter in EITHER Watts OR hp)</t>
  </si>
  <si>
    <t>Motor Temperature Rise (above ambient)</t>
  </si>
  <si>
    <t>Maximum temp increase per NEMA standards that gives the most drag from http://www.engineeringtoolbox.com/nema-insulation-classes-d_734.html Or for other examples of specific motors see pg 186, specific example from "Handbook of Electric Motors" 2004 (ch 3 pdf pg20) worst case scenario for drag; also compare to ch 12 pg 623 (pdf pg 7)</t>
  </si>
  <si>
    <t>°C</t>
  </si>
  <si>
    <t xml:space="preserve">      (enter in EITHER °C OR °F)</t>
  </si>
  <si>
    <t>Landing Gear</t>
  </si>
  <si>
    <t>cooling</t>
  </si>
  <si>
    <t>total</t>
  </si>
  <si>
    <t>Misc</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</si>
</sst>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
    <numFmt numFmtId="165" formatCode="0.000"/>
    <numFmt numFmtId="166" formatCode="#,##0.0"/>
    <numFmt numFmtId="167" formatCode="0.0"/>
    <numFmt numFmtId="168" formatCode="0.000000"/>
    <numFmt numFmtId="169" formatCode="0.00000"/>
    <numFmt numFmtId="170" formatCode="0.0%"/>
    <numFmt numFmtId="171" formatCode="0.0000000"/>
  </numFmts>
  <fonts count="12" x14ac:knownFonts="1">
    <font>
      <sz val="10"/>
      <name val="Arial"/>
    </font>
    <font>
      <sz val="11"/>
      <color theme="1"/>
      <name val="Calibri"/>
      <family val="2"/>
      <scheme val="minor"/>
    </font>
    <font>
      <sz val="8"/>
      <name val="Arial"/>
      <family val="2"/>
    </font>
    <font>
      <sz val="10"/>
      <name val="Arial"/>
      <family val="2"/>
    </font>
    <font>
      <b/>
      <sz val="10"/>
      <name val="Arial"/>
      <family val="2"/>
    </font>
    <font>
      <sz val="10"/>
      <name val="Courier"/>
      <family val="3"/>
    </font>
    <font>
      <sz val="10"/>
      <name val="Calibri"/>
      <family val="2"/>
    </font>
    <font>
      <u/>
      <sz val="10"/>
      <color theme="10"/>
      <name val="Arial"/>
      <family val="2"/>
    </font>
    <font>
      <u/>
      <sz val="10"/>
      <color theme="11"/>
      <name val="Arial"/>
      <family val="2"/>
    </font>
    <font>
      <vertAlign val="superscript"/>
      <sz val="10"/>
      <name val="Arial"/>
      <family val="2"/>
    </font>
    <font>
      <b/>
      <vertAlign val="superscript"/>
      <sz val="10"/>
      <name val="Arial"/>
      <family val="2"/>
    </font>
    <font>
      <sz val="10"/>
      <color rgb="FF000000"/>
      <name val="Arial"/>
      <family val="2"/>
    </font>
  </fonts>
  <fills count="6">
    <fill>
      <patternFill patternType="none"/>
    </fill>
    <fill>
      <patternFill patternType="gray125"/>
    </fill>
    <fill>
      <patternFill patternType="solid">
        <fgColor rgb="FF92D050"/>
        <bgColor indexed="64"/>
      </patternFill>
    </fill>
    <fill>
      <patternFill patternType="solid">
        <fgColor theme="0" tint="-0.499984740745262"/>
        <bgColor indexed="64"/>
      </patternFill>
    </fill>
    <fill>
      <patternFill patternType="solid">
        <fgColor rgb="FFFFC000"/>
        <bgColor indexed="64"/>
      </patternFill>
    </fill>
    <fill>
      <patternFill patternType="solid">
        <fgColor theme="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s>
  <cellStyleXfs count="42">
    <xf numFmtId="0" fontId="0" fillId="0" borderId="0"/>
    <xf numFmtId="0" fontId="7" fillId="0" borderId="0" applyNumberFormat="0" applyFill="0" applyBorder="0" applyAlignment="0" applyProtection="0">
      <alignment vertical="top"/>
      <protection locked="0"/>
    </xf>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1"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3" fillId="0" borderId="0"/>
  </cellStyleXfs>
  <cellXfs count="109">
    <xf numFmtId="0" fontId="0" fillId="0" borderId="0" xfId="0"/>
    <xf numFmtId="0" fontId="3" fillId="0" borderId="0" xfId="0" applyFont="1"/>
    <xf numFmtId="3" fontId="0" fillId="0" borderId="0" xfId="0" applyNumberFormat="1"/>
    <xf numFmtId="9" fontId="0" fillId="0" borderId="0" xfId="0" applyNumberFormat="1"/>
    <xf numFmtId="0" fontId="0" fillId="0" borderId="0" xfId="0" applyAlignment="1">
      <alignment horizontal="center"/>
    </xf>
    <xf numFmtId="164" fontId="0" fillId="0" borderId="0" xfId="0" applyNumberFormat="1" applyAlignment="1">
      <alignment horizontal="center"/>
    </xf>
    <xf numFmtId="0" fontId="0" fillId="0" borderId="0" xfId="0" applyFill="1"/>
    <xf numFmtId="0" fontId="3" fillId="0" borderId="0" xfId="0" applyFont="1" applyFill="1"/>
    <xf numFmtId="0" fontId="3" fillId="2" borderId="0" xfId="0" applyFont="1" applyFill="1"/>
    <xf numFmtId="0" fontId="0" fillId="2" borderId="0" xfId="0" applyFill="1"/>
    <xf numFmtId="0" fontId="0" fillId="0" borderId="0" xfId="0" applyAlignment="1">
      <alignment horizontal="center"/>
    </xf>
    <xf numFmtId="0" fontId="4" fillId="0" borderId="0" xfId="0" applyFont="1" applyAlignment="1">
      <alignment horizontal="left"/>
    </xf>
    <xf numFmtId="3" fontId="0" fillId="0" borderId="0" xfId="0" applyNumberFormat="1" applyFill="1"/>
    <xf numFmtId="0" fontId="4" fillId="0" borderId="0" xfId="0" applyFont="1"/>
    <xf numFmtId="0" fontId="4" fillId="0" borderId="0" xfId="0" applyFont="1" applyAlignment="1"/>
    <xf numFmtId="0" fontId="0" fillId="0" borderId="0" xfId="0" applyNumberFormat="1"/>
    <xf numFmtId="0" fontId="0" fillId="0" borderId="0" xfId="0" applyNumberFormat="1" applyAlignment="1">
      <alignment horizontal="center"/>
    </xf>
    <xf numFmtId="0" fontId="3" fillId="0" borderId="0" xfId="0" applyNumberFormat="1" applyFont="1" applyAlignment="1">
      <alignment horizontal="center"/>
    </xf>
    <xf numFmtId="0" fontId="4" fillId="0" borderId="0" xfId="0" applyNumberFormat="1" applyFont="1" applyAlignment="1">
      <alignment horizontal="left"/>
    </xf>
    <xf numFmtId="0" fontId="4" fillId="0" borderId="0" xfId="0" applyFont="1" applyFill="1"/>
    <xf numFmtId="0" fontId="3" fillId="0" borderId="1" xfId="0" applyFont="1" applyBorder="1"/>
    <xf numFmtId="0" fontId="3" fillId="0" borderId="0" xfId="0" applyFont="1" applyAlignment="1">
      <alignment horizontal="right"/>
    </xf>
    <xf numFmtId="164" fontId="0" fillId="0" borderId="0" xfId="0" applyNumberFormat="1"/>
    <xf numFmtId="2" fontId="0" fillId="0" borderId="1" xfId="0" applyNumberFormat="1" applyBorder="1" applyAlignment="1">
      <alignment horizontal="center"/>
    </xf>
    <xf numFmtId="0" fontId="4" fillId="0" borderId="1" xfId="0" applyFont="1" applyBorder="1" applyAlignment="1">
      <alignment horizontal="center"/>
    </xf>
    <xf numFmtId="0" fontId="0" fillId="2" borderId="0" xfId="0" applyFill="1" applyAlignment="1">
      <alignment horizontal="left"/>
    </xf>
    <xf numFmtId="0" fontId="0" fillId="2" borderId="0" xfId="0" applyNumberFormat="1" applyFill="1" applyAlignment="1">
      <alignment horizontal="right"/>
    </xf>
    <xf numFmtId="164" fontId="3" fillId="2" borderId="0" xfId="0" applyNumberFormat="1" applyFont="1" applyFill="1" applyAlignment="1">
      <alignment horizontal="left"/>
    </xf>
    <xf numFmtId="0" fontId="0" fillId="2" borderId="0" xfId="0" applyNumberFormat="1" applyFill="1"/>
    <xf numFmtId="2" fontId="0" fillId="0" borderId="0" xfId="0" applyNumberFormat="1"/>
    <xf numFmtId="2" fontId="0" fillId="0" borderId="0" xfId="0" applyNumberFormat="1" applyBorder="1" applyAlignment="1">
      <alignment horizontal="center"/>
    </xf>
    <xf numFmtId="0" fontId="0" fillId="0" borderId="0" xfId="0" applyAlignment="1">
      <alignment horizontal="right"/>
    </xf>
    <xf numFmtId="0" fontId="4" fillId="0" borderId="0" xfId="0" applyFont="1" applyAlignment="1">
      <alignment horizontal="center"/>
    </xf>
    <xf numFmtId="165" fontId="0" fillId="0" borderId="1" xfId="0" applyNumberFormat="1" applyBorder="1" applyAlignment="1">
      <alignment horizontal="center"/>
    </xf>
    <xf numFmtId="0" fontId="4" fillId="0" borderId="6" xfId="0" applyFont="1" applyBorder="1" applyAlignment="1">
      <alignment horizontal="center"/>
    </xf>
    <xf numFmtId="2" fontId="0" fillId="2" borderId="0" xfId="0" applyNumberFormat="1" applyFill="1"/>
    <xf numFmtId="166" fontId="0" fillId="0" borderId="0" xfId="0" applyNumberFormat="1"/>
    <xf numFmtId="0" fontId="5" fillId="0" borderId="0" xfId="0" applyFont="1"/>
    <xf numFmtId="0" fontId="4" fillId="0" borderId="0" xfId="0" applyFont="1" applyAlignment="1">
      <alignment horizontal="center"/>
    </xf>
    <xf numFmtId="0" fontId="3" fillId="0" borderId="1" xfId="0" applyFont="1" applyBorder="1" applyAlignment="1">
      <alignment horizontal="center"/>
    </xf>
    <xf numFmtId="0" fontId="0" fillId="0" borderId="1" xfId="0" applyBorder="1" applyAlignment="1">
      <alignment horizontal="center"/>
    </xf>
    <xf numFmtId="0" fontId="0" fillId="2" borderId="1" xfId="0" applyFill="1" applyBorder="1" applyAlignment="1">
      <alignment horizontal="center"/>
    </xf>
    <xf numFmtId="2" fontId="3" fillId="2" borderId="0" xfId="0" applyNumberFormat="1" applyFont="1" applyFill="1"/>
    <xf numFmtId="0" fontId="3" fillId="0" borderId="0" xfId="0" applyFont="1" applyBorder="1" applyAlignment="1">
      <alignment horizontal="center"/>
    </xf>
    <xf numFmtId="0" fontId="0" fillId="0" borderId="0" xfId="0" applyAlignment="1">
      <alignment horizontal="left"/>
    </xf>
    <xf numFmtId="0" fontId="3" fillId="0" borderId="0" xfId="0" applyFont="1" applyAlignment="1">
      <alignment horizontal="left"/>
    </xf>
    <xf numFmtId="0" fontId="3" fillId="0" borderId="0" xfId="0" quotePrefix="1" applyFont="1"/>
    <xf numFmtId="0" fontId="0" fillId="0" borderId="0" xfId="0" applyBorder="1" applyAlignment="1"/>
    <xf numFmtId="167" fontId="0" fillId="0" borderId="0" xfId="0" applyNumberFormat="1"/>
    <xf numFmtId="0" fontId="7" fillId="0" borderId="0" xfId="1" applyAlignment="1" applyProtection="1"/>
    <xf numFmtId="168" fontId="0" fillId="0" borderId="0" xfId="0" applyNumberFormat="1"/>
    <xf numFmtId="169" fontId="0" fillId="0" borderId="0" xfId="0" applyNumberFormat="1"/>
    <xf numFmtId="1" fontId="0" fillId="0" borderId="0" xfId="0" applyNumberFormat="1"/>
    <xf numFmtId="164" fontId="3" fillId="0" borderId="0" xfId="0" applyNumberFormat="1" applyFont="1" applyFill="1"/>
    <xf numFmtId="0" fontId="0" fillId="3" borderId="0" xfId="0" applyFill="1"/>
    <xf numFmtId="164" fontId="4" fillId="0" borderId="0" xfId="0" applyNumberFormat="1" applyFont="1"/>
    <xf numFmtId="169" fontId="4" fillId="0" borderId="0" xfId="0" applyNumberFormat="1" applyFont="1"/>
    <xf numFmtId="0" fontId="4" fillId="3" borderId="0" xfId="0" applyFont="1" applyFill="1"/>
    <xf numFmtId="0" fontId="3" fillId="3" borderId="0" xfId="0" applyFont="1" applyFill="1"/>
    <xf numFmtId="0" fontId="4" fillId="0" borderId="0" xfId="0" applyFont="1" applyAlignment="1">
      <alignment horizontal="center"/>
    </xf>
    <xf numFmtId="0" fontId="0" fillId="0" borderId="0" xfId="0" applyFont="1"/>
    <xf numFmtId="170" fontId="0" fillId="0" borderId="0" xfId="0" applyNumberFormat="1"/>
    <xf numFmtId="0" fontId="4" fillId="0" borderId="0" xfId="0" applyFont="1" applyAlignment="1">
      <alignment horizontal="center"/>
    </xf>
    <xf numFmtId="0" fontId="3" fillId="0" borderId="1" xfId="0" applyFont="1" applyBorder="1" applyAlignment="1">
      <alignment horizontal="center"/>
    </xf>
    <xf numFmtId="0" fontId="0" fillId="0" borderId="0" xfId="0" applyFill="1" applyAlignment="1">
      <alignment horizontal="left"/>
    </xf>
    <xf numFmtId="2" fontId="3" fillId="0" borderId="0" xfId="0" applyNumberFormat="1" applyFont="1" applyFill="1"/>
    <xf numFmtId="2" fontId="0" fillId="0" borderId="0" xfId="0" applyNumberFormat="1" applyFill="1"/>
    <xf numFmtId="0" fontId="0" fillId="4" borderId="0" xfId="0" applyFill="1"/>
    <xf numFmtId="0" fontId="0" fillId="0" borderId="0" xfId="0" applyAlignment="1">
      <alignment wrapText="1"/>
    </xf>
    <xf numFmtId="168" fontId="0" fillId="0" borderId="0" xfId="0" applyNumberFormat="1" applyFill="1"/>
    <xf numFmtId="0" fontId="3" fillId="0" borderId="0" xfId="0" applyFont="1" applyAlignment="1">
      <alignment horizontal="center"/>
    </xf>
    <xf numFmtId="167" fontId="0" fillId="2" borderId="0" xfId="0" applyNumberFormat="1" applyFill="1"/>
    <xf numFmtId="2" fontId="4" fillId="0" borderId="0" xfId="0" applyNumberFormat="1" applyFont="1" applyFill="1"/>
    <xf numFmtId="0" fontId="3" fillId="0" borderId="0" xfId="0" applyNumberFormat="1" applyFont="1"/>
    <xf numFmtId="0" fontId="4" fillId="0" borderId="0" xfId="41" applyFont="1"/>
    <xf numFmtId="0" fontId="3" fillId="0" borderId="0" xfId="41"/>
    <xf numFmtId="0" fontId="3" fillId="0" borderId="0" xfId="41" applyFont="1"/>
    <xf numFmtId="2" fontId="3" fillId="0" borderId="0" xfId="41" applyNumberFormat="1"/>
    <xf numFmtId="169" fontId="3" fillId="0" borderId="0" xfId="41" applyNumberFormat="1"/>
    <xf numFmtId="0" fontId="4" fillId="3" borderId="0" xfId="41" applyFont="1" applyFill="1"/>
    <xf numFmtId="0" fontId="3" fillId="3" borderId="0" xfId="41" applyFill="1"/>
    <xf numFmtId="0" fontId="3" fillId="3" borderId="0" xfId="41" applyFont="1" applyFill="1"/>
    <xf numFmtId="0" fontId="4" fillId="0" borderId="0" xfId="41" applyFont="1" applyAlignment="1">
      <alignment horizontal="center"/>
    </xf>
    <xf numFmtId="0" fontId="3" fillId="2" borderId="0" xfId="41" applyFont="1" applyFill="1"/>
    <xf numFmtId="2" fontId="3" fillId="2" borderId="0" xfId="41" applyNumberFormat="1" applyFont="1" applyFill="1"/>
    <xf numFmtId="167" fontId="3" fillId="0" borderId="0" xfId="41" applyNumberFormat="1"/>
    <xf numFmtId="0" fontId="3" fillId="0" borderId="0" xfId="41" applyFont="1" applyFill="1"/>
    <xf numFmtId="1" fontId="3" fillId="0" borderId="0" xfId="41" applyNumberFormat="1"/>
    <xf numFmtId="164" fontId="3" fillId="0" borderId="0" xfId="41" applyNumberFormat="1"/>
    <xf numFmtId="168" fontId="3" fillId="0" borderId="0" xfId="41" applyNumberFormat="1"/>
    <xf numFmtId="164" fontId="3" fillId="0" borderId="0" xfId="41" applyNumberFormat="1" applyFont="1" applyFill="1"/>
    <xf numFmtId="164" fontId="4" fillId="0" borderId="0" xfId="41" applyNumberFormat="1" applyFont="1"/>
    <xf numFmtId="169" fontId="4" fillId="0" borderId="0" xfId="41" applyNumberFormat="1" applyFont="1"/>
    <xf numFmtId="0" fontId="3" fillId="0" borderId="0" xfId="41" applyAlignment="1">
      <alignment wrapText="1"/>
    </xf>
    <xf numFmtId="171" fontId="3" fillId="0" borderId="0" xfId="0" applyNumberFormat="1" applyFont="1"/>
    <xf numFmtId="171" fontId="0" fillId="0" borderId="0" xfId="0" applyNumberFormat="1"/>
    <xf numFmtId="0" fontId="3" fillId="5" borderId="0" xfId="0" applyFont="1" applyFill="1"/>
    <xf numFmtId="0" fontId="3" fillId="5" borderId="0" xfId="0" applyFont="1" applyFill="1" applyAlignment="1">
      <alignment horizontal="left"/>
    </xf>
    <xf numFmtId="0" fontId="3" fillId="0" borderId="0" xfId="0" applyFont="1" applyAlignment="1">
      <alignment horizontal="center"/>
    </xf>
    <xf numFmtId="0" fontId="4" fillId="0" borderId="0" xfId="0" applyFont="1" applyAlignment="1">
      <alignment horizontal="center"/>
    </xf>
    <xf numFmtId="0" fontId="4" fillId="0" borderId="0" xfId="41" applyFont="1" applyAlignment="1">
      <alignment horizontal="center"/>
    </xf>
    <xf numFmtId="0" fontId="3" fillId="0" borderId="1" xfId="0" applyFont="1" applyBorder="1" applyAlignment="1">
      <alignment horizontal="center"/>
    </xf>
    <xf numFmtId="0" fontId="3" fillId="0" borderId="2" xfId="0" applyFont="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4" fillId="0" borderId="7" xfId="0" applyFont="1" applyBorder="1" applyAlignment="1">
      <alignment horizontal="center"/>
    </xf>
    <xf numFmtId="0" fontId="4" fillId="0" borderId="5" xfId="0" applyFont="1" applyBorder="1" applyAlignment="1">
      <alignment horizontal="center"/>
    </xf>
    <xf numFmtId="0" fontId="4" fillId="0" borderId="8" xfId="0" applyFont="1" applyBorder="1" applyAlignment="1">
      <alignment horizontal="center"/>
    </xf>
  </cellXfs>
  <cellStyles count="42">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Hyperlink" xfId="1" builtinId="8"/>
    <cellStyle name="Normal" xfId="0" builtinId="0"/>
    <cellStyle name="Normal 2" xfId="18"/>
    <cellStyle name="Normal 3" xfId="4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4124866006403201E-2"/>
          <c:y val="4.513219384162389E-2"/>
          <c:w val="0.81637709804591929"/>
          <c:h val="0.85626336342103559"/>
        </c:manualLayout>
      </c:layout>
      <c:scatterChart>
        <c:scatterStyle val="lineMarker"/>
        <c:varyColors val="0"/>
        <c:ser>
          <c:idx val="0"/>
          <c:order val="0"/>
          <c:tx>
            <c:strRef>
              <c:f>'XFLR5 Lift Distribution'!$Q$24</c:f>
              <c:strCache>
                <c:ptCount val="1"/>
                <c:pt idx="0">
                  <c:v>Wing Cl*c</c:v>
                </c:pt>
              </c:strCache>
            </c:strRef>
          </c:tx>
          <c:xVal>
            <c:numRef>
              <c:f>'XFLR5 Lift Distribution'!$P$25:$P$1030</c:f>
              <c:numCache>
                <c:formatCode>General</c:formatCode>
                <c:ptCount val="1006"/>
                <c:pt idx="0">
                  <c:v>-1</c:v>
                </c:pt>
                <c:pt idx="1">
                  <c:v>-0.99761154583345935</c:v>
                </c:pt>
                <c:pt idx="2">
                  <c:v>-0.9935441076401399</c:v>
                </c:pt>
                <c:pt idx="3">
                  <c:v>-0.9877748124621677</c:v>
                </c:pt>
                <c:pt idx="4">
                  <c:v>-0.98166514588726517</c:v>
                </c:pt>
                <c:pt idx="5">
                  <c:v>-0.97460243940095725</c:v>
                </c:pt>
                <c:pt idx="6">
                  <c:v>-0.96784606717188681</c:v>
                </c:pt>
                <c:pt idx="7">
                  <c:v>-0.9603578964394156</c:v>
                </c:pt>
                <c:pt idx="8">
                  <c:v>-0.95365257991988472</c:v>
                </c:pt>
                <c:pt idx="9">
                  <c:v>-0.93746791999583923</c:v>
                </c:pt>
                <c:pt idx="10">
                  <c:v>-0.91318242082484802</c:v>
                </c:pt>
                <c:pt idx="11">
                  <c:v>-0.88891394022370307</c:v>
                </c:pt>
                <c:pt idx="12">
                  <c:v>-0.86462844105271142</c:v>
                </c:pt>
                <c:pt idx="13">
                  <c:v>-0.84035996045156669</c:v>
                </c:pt>
                <c:pt idx="14">
                  <c:v>-0.81607446128057526</c:v>
                </c:pt>
                <c:pt idx="15">
                  <c:v>-0.79180598067943031</c:v>
                </c:pt>
                <c:pt idx="16">
                  <c:v>-0.76753750007828536</c:v>
                </c:pt>
                <c:pt idx="17">
                  <c:v>-0.74325200090729404</c:v>
                </c:pt>
                <c:pt idx="18">
                  <c:v>-0.71898352030614909</c:v>
                </c:pt>
                <c:pt idx="19">
                  <c:v>-0.69471503970500414</c:v>
                </c:pt>
                <c:pt idx="20">
                  <c:v>-0.67042954053401282</c:v>
                </c:pt>
                <c:pt idx="21">
                  <c:v>-0.64616105993286788</c:v>
                </c:pt>
                <c:pt idx="22">
                  <c:v>-0.62190959790156952</c:v>
                </c:pt>
                <c:pt idx="23">
                  <c:v>-0.59767515444011765</c:v>
                </c:pt>
                <c:pt idx="24">
                  <c:v>-0.57357685953743798</c:v>
                </c:pt>
                <c:pt idx="25">
                  <c:v>-0.56285516053412721</c:v>
                </c:pt>
                <c:pt idx="26">
                  <c:v>-0.54272219240568786</c:v>
                </c:pt>
                <c:pt idx="27">
                  <c:v>-0.50773201280123215</c:v>
                </c:pt>
                <c:pt idx="28">
                  <c:v>-0.47272481462692978</c:v>
                </c:pt>
                <c:pt idx="29">
                  <c:v>-0.43773463502247406</c:v>
                </c:pt>
                <c:pt idx="30">
                  <c:v>-0.40272743684817175</c:v>
                </c:pt>
                <c:pt idx="31">
                  <c:v>-0.36773725724371603</c:v>
                </c:pt>
                <c:pt idx="32">
                  <c:v>-0.33274707763926026</c:v>
                </c:pt>
                <c:pt idx="33">
                  <c:v>-0.29773987946495795</c:v>
                </c:pt>
                <c:pt idx="34">
                  <c:v>-0.26274969986050223</c:v>
                </c:pt>
                <c:pt idx="35">
                  <c:v>-0.22775952025604643</c:v>
                </c:pt>
                <c:pt idx="36">
                  <c:v>-0.19276934065159068</c:v>
                </c:pt>
                <c:pt idx="37">
                  <c:v>-0.15777916104713491</c:v>
                </c:pt>
                <c:pt idx="38">
                  <c:v>-0.12278898144267915</c:v>
                </c:pt>
                <c:pt idx="39">
                  <c:v>-8.78158204080699E-2</c:v>
                </c:pt>
                <c:pt idx="40">
                  <c:v>-5.2859677943307197E-2</c:v>
                </c:pt>
                <c:pt idx="41">
                  <c:v>-1.8107758316702787E-2</c:v>
                </c:pt>
                <c:pt idx="42">
                  <c:v>1.8107758316702787E-2</c:v>
                </c:pt>
                <c:pt idx="43">
                  <c:v>5.2859677943307197E-2</c:v>
                </c:pt>
                <c:pt idx="44">
                  <c:v>8.78158204080699E-2</c:v>
                </c:pt>
                <c:pt idx="45">
                  <c:v>0.12278898144267915</c:v>
                </c:pt>
                <c:pt idx="46">
                  <c:v>0.15777916104713491</c:v>
                </c:pt>
                <c:pt idx="47">
                  <c:v>0.19276934065159068</c:v>
                </c:pt>
                <c:pt idx="48">
                  <c:v>0.22775952025604643</c:v>
                </c:pt>
                <c:pt idx="49">
                  <c:v>0.26274969986050223</c:v>
                </c:pt>
                <c:pt idx="50">
                  <c:v>0.29773987946495795</c:v>
                </c:pt>
                <c:pt idx="51">
                  <c:v>0.33274707763926026</c:v>
                </c:pt>
                <c:pt idx="52">
                  <c:v>0.36773725724371603</c:v>
                </c:pt>
                <c:pt idx="53">
                  <c:v>0.40272743684817175</c:v>
                </c:pt>
                <c:pt idx="54">
                  <c:v>0.43773463502247406</c:v>
                </c:pt>
                <c:pt idx="55">
                  <c:v>0.47272481462692978</c:v>
                </c:pt>
                <c:pt idx="56">
                  <c:v>0.50773201280123215</c:v>
                </c:pt>
                <c:pt idx="57">
                  <c:v>0.54272219240568786</c:v>
                </c:pt>
                <c:pt idx="58">
                  <c:v>0.56285516053412721</c:v>
                </c:pt>
                <c:pt idx="59">
                  <c:v>0.57357685953743798</c:v>
                </c:pt>
                <c:pt idx="60">
                  <c:v>0.59767515444011765</c:v>
                </c:pt>
                <c:pt idx="61">
                  <c:v>0.62190959790156952</c:v>
                </c:pt>
                <c:pt idx="62">
                  <c:v>0.64616105993286788</c:v>
                </c:pt>
                <c:pt idx="63">
                  <c:v>0.67042954053401282</c:v>
                </c:pt>
                <c:pt idx="64">
                  <c:v>0.69471503970500414</c:v>
                </c:pt>
                <c:pt idx="65">
                  <c:v>0.71898352030614909</c:v>
                </c:pt>
                <c:pt idx="66">
                  <c:v>0.74325200090729404</c:v>
                </c:pt>
                <c:pt idx="67">
                  <c:v>0.76753750007828536</c:v>
                </c:pt>
                <c:pt idx="68">
                  <c:v>0.79180598067943031</c:v>
                </c:pt>
                <c:pt idx="69">
                  <c:v>0.81607446128057526</c:v>
                </c:pt>
                <c:pt idx="70">
                  <c:v>0.84035996045156669</c:v>
                </c:pt>
                <c:pt idx="71">
                  <c:v>0.86462844105271142</c:v>
                </c:pt>
                <c:pt idx="72">
                  <c:v>0.88891394022370307</c:v>
                </c:pt>
                <c:pt idx="73">
                  <c:v>0.91318242082484802</c:v>
                </c:pt>
                <c:pt idx="74">
                  <c:v>0.93746791999583923</c:v>
                </c:pt>
                <c:pt idx="75">
                  <c:v>0.95365257991988472</c:v>
                </c:pt>
                <c:pt idx="76">
                  <c:v>0.9603578964394156</c:v>
                </c:pt>
                <c:pt idx="77">
                  <c:v>0.96784606717188681</c:v>
                </c:pt>
                <c:pt idx="78">
                  <c:v>0.97460243940095725</c:v>
                </c:pt>
                <c:pt idx="79">
                  <c:v>0.98166514588726517</c:v>
                </c:pt>
                <c:pt idx="80">
                  <c:v>0.9877748124621677</c:v>
                </c:pt>
                <c:pt idx="81">
                  <c:v>0.9935441076401399</c:v>
                </c:pt>
                <c:pt idx="82">
                  <c:v>0.99761154583345935</c:v>
                </c:pt>
                <c:pt idx="83">
                  <c:v>1</c:v>
                </c:pt>
              </c:numCache>
            </c:numRef>
          </c:xVal>
          <c:yVal>
            <c:numRef>
              <c:f>'XFLR5 Lift Distribution'!$Q$25:$Q$1030</c:f>
              <c:numCache>
                <c:formatCode>General</c:formatCode>
                <c:ptCount val="1006"/>
                <c:pt idx="0">
                  <c:v>0</c:v>
                </c:pt>
                <c:pt idx="1">
                  <c:v>9.8741755905511805E-2</c:v>
                </c:pt>
                <c:pt idx="2">
                  <c:v>0.14911675787401571</c:v>
                </c:pt>
                <c:pt idx="3">
                  <c:v>0.22825364501312337</c:v>
                </c:pt>
                <c:pt idx="4">
                  <c:v>0.27485953608923885</c:v>
                </c:pt>
                <c:pt idx="5">
                  <c:v>0.3183201522309711</c:v>
                </c:pt>
                <c:pt idx="6">
                  <c:v>0.35340400623359575</c:v>
                </c:pt>
                <c:pt idx="7">
                  <c:v>0.39326055118110231</c:v>
                </c:pt>
                <c:pt idx="8">
                  <c:v>0.42663650360892391</c:v>
                </c:pt>
                <c:pt idx="9">
                  <c:v>0.47646137532808397</c:v>
                </c:pt>
                <c:pt idx="10">
                  <c:v>0.53968339895013129</c:v>
                </c:pt>
                <c:pt idx="11">
                  <c:v>0.59588041994750651</c:v>
                </c:pt>
                <c:pt idx="12">
                  <c:v>0.6467086771653543</c:v>
                </c:pt>
                <c:pt idx="13">
                  <c:v>0.69377297408136473</c:v>
                </c:pt>
                <c:pt idx="14">
                  <c:v>0.73803680577427833</c:v>
                </c:pt>
                <c:pt idx="15">
                  <c:v>0.78020180446194232</c:v>
                </c:pt>
                <c:pt idx="16">
                  <c:v>0.82049375000000002</c:v>
                </c:pt>
                <c:pt idx="17">
                  <c:v>0.85925144685039367</c:v>
                </c:pt>
                <c:pt idx="18">
                  <c:v>0.89663324803149602</c:v>
                </c:pt>
                <c:pt idx="19">
                  <c:v>0.93283332513123352</c:v>
                </c:pt>
                <c:pt idx="20">
                  <c:v>0.96771840354330707</c:v>
                </c:pt>
                <c:pt idx="21">
                  <c:v>1.0013973484251966</c:v>
                </c:pt>
                <c:pt idx="22">
                  <c:v>1.033968093832021</c:v>
                </c:pt>
                <c:pt idx="23">
                  <c:v>1.0652595314960627</c:v>
                </c:pt>
                <c:pt idx="24">
                  <c:v>1.0956101486220473</c:v>
                </c:pt>
                <c:pt idx="25">
                  <c:v>0.9393724619422571</c:v>
                </c:pt>
                <c:pt idx="26">
                  <c:v>1.1319043730314959</c:v>
                </c:pt>
                <c:pt idx="27">
                  <c:v>1.1695975459317585</c:v>
                </c:pt>
                <c:pt idx="28">
                  <c:v>1.2073960170603673</c:v>
                </c:pt>
                <c:pt idx="29">
                  <c:v>1.2444816811023622</c:v>
                </c:pt>
                <c:pt idx="30">
                  <c:v>1.2807459783464565</c:v>
                </c:pt>
                <c:pt idx="31">
                  <c:v>1.3157579438976374</c:v>
                </c:pt>
                <c:pt idx="32">
                  <c:v>1.3498631345144354</c:v>
                </c:pt>
                <c:pt idx="33">
                  <c:v>1.3832131653543303</c:v>
                </c:pt>
                <c:pt idx="34">
                  <c:v>1.4156500984251967</c:v>
                </c:pt>
                <c:pt idx="35">
                  <c:v>1.4466802598425195</c:v>
                </c:pt>
                <c:pt idx="36">
                  <c:v>1.4759842874015747</c:v>
                </c:pt>
                <c:pt idx="37">
                  <c:v>1.5035739320866139</c:v>
                </c:pt>
                <c:pt idx="38">
                  <c:v>1.5289726410761153</c:v>
                </c:pt>
                <c:pt idx="39">
                  <c:v>1.5519869166666664</c:v>
                </c:pt>
                <c:pt idx="40">
                  <c:v>1.571796496062992</c:v>
                </c:pt>
                <c:pt idx="41">
                  <c:v>1.5865027263779525</c:v>
                </c:pt>
                <c:pt idx="42">
                  <c:v>1.5865027263779525</c:v>
                </c:pt>
                <c:pt idx="43">
                  <c:v>1.571796496062992</c:v>
                </c:pt>
                <c:pt idx="44">
                  <c:v>1.5519869166666664</c:v>
                </c:pt>
                <c:pt idx="45">
                  <c:v>1.5289726410761153</c:v>
                </c:pt>
                <c:pt idx="46">
                  <c:v>1.5035739320866139</c:v>
                </c:pt>
                <c:pt idx="47">
                  <c:v>1.4759842874015747</c:v>
                </c:pt>
                <c:pt idx="48">
                  <c:v>1.4466802598425195</c:v>
                </c:pt>
                <c:pt idx="49">
                  <c:v>1.4156500984251967</c:v>
                </c:pt>
                <c:pt idx="50">
                  <c:v>1.3832131653543303</c:v>
                </c:pt>
                <c:pt idx="51">
                  <c:v>1.3498631345144354</c:v>
                </c:pt>
                <c:pt idx="52">
                  <c:v>1.3157579438976374</c:v>
                </c:pt>
                <c:pt idx="53">
                  <c:v>1.2807459783464565</c:v>
                </c:pt>
                <c:pt idx="54">
                  <c:v>1.2444816811023622</c:v>
                </c:pt>
                <c:pt idx="55">
                  <c:v>1.2073960170603673</c:v>
                </c:pt>
                <c:pt idx="56">
                  <c:v>1.1695975459317585</c:v>
                </c:pt>
                <c:pt idx="57">
                  <c:v>1.1319043730314959</c:v>
                </c:pt>
                <c:pt idx="58">
                  <c:v>0.9393724619422571</c:v>
                </c:pt>
                <c:pt idx="59">
                  <c:v>1.0956101486220473</c:v>
                </c:pt>
                <c:pt idx="60">
                  <c:v>1.0652595314960627</c:v>
                </c:pt>
                <c:pt idx="61">
                  <c:v>1.033968093832021</c:v>
                </c:pt>
                <c:pt idx="62">
                  <c:v>1.0013973484251966</c:v>
                </c:pt>
                <c:pt idx="63">
                  <c:v>0.96771840354330707</c:v>
                </c:pt>
                <c:pt idx="64">
                  <c:v>0.93283332513123352</c:v>
                </c:pt>
                <c:pt idx="65">
                  <c:v>0.89663324803149602</c:v>
                </c:pt>
                <c:pt idx="66">
                  <c:v>0.85925144685039367</c:v>
                </c:pt>
                <c:pt idx="67">
                  <c:v>0.82049375000000002</c:v>
                </c:pt>
                <c:pt idx="68">
                  <c:v>0.78020180446194232</c:v>
                </c:pt>
                <c:pt idx="69">
                  <c:v>0.73803680577427833</c:v>
                </c:pt>
                <c:pt idx="70">
                  <c:v>0.69377297408136473</c:v>
                </c:pt>
                <c:pt idx="71">
                  <c:v>0.6467086771653543</c:v>
                </c:pt>
                <c:pt idx="72">
                  <c:v>0.59588041994750651</c:v>
                </c:pt>
                <c:pt idx="73">
                  <c:v>0.53968339895013129</c:v>
                </c:pt>
                <c:pt idx="74">
                  <c:v>0.47646137532808397</c:v>
                </c:pt>
                <c:pt idx="75">
                  <c:v>0.42663650360892391</c:v>
                </c:pt>
                <c:pt idx="76">
                  <c:v>0.39326055118110231</c:v>
                </c:pt>
                <c:pt idx="77">
                  <c:v>0.35340400623359575</c:v>
                </c:pt>
                <c:pt idx="78">
                  <c:v>0.3183201522309711</c:v>
                </c:pt>
                <c:pt idx="79">
                  <c:v>0.27485953608923885</c:v>
                </c:pt>
                <c:pt idx="80">
                  <c:v>0.22825364501312337</c:v>
                </c:pt>
                <c:pt idx="81">
                  <c:v>0.14911675787401571</c:v>
                </c:pt>
                <c:pt idx="82">
                  <c:v>9.8741755905511805E-2</c:v>
                </c:pt>
                <c:pt idx="83">
                  <c:v>0</c:v>
                </c:pt>
              </c:numCache>
            </c:numRef>
          </c:yVal>
          <c:smooth val="0"/>
        </c:ser>
        <c:ser>
          <c:idx val="2"/>
          <c:order val="1"/>
          <c:tx>
            <c:strRef>
              <c:f>'XFLR5 Lift Distribution'!$AJ$24</c:f>
              <c:strCache>
                <c:ptCount val="1"/>
                <c:pt idx="0">
                  <c:v>Tail Cl*c</c:v>
                </c:pt>
              </c:strCache>
            </c:strRef>
          </c:tx>
          <c:xVal>
            <c:numRef>
              <c:f>'XFLR5 Lift Distribution'!$AI$25:$AI$1030</c:f>
              <c:numCache>
                <c:formatCode>General</c:formatCode>
                <c:ptCount val="1006"/>
                <c:pt idx="0">
                  <c:v>-0.3371719057993568</c:v>
                </c:pt>
                <c:pt idx="1">
                  <c:v>-0.33458508318268498</c:v>
                </c:pt>
                <c:pt idx="2">
                  <c:v>-0.32939441937949476</c:v>
                </c:pt>
                <c:pt idx="3">
                  <c:v>-0.3242037555763046</c:v>
                </c:pt>
                <c:pt idx="4">
                  <c:v>-0.31901309177311443</c:v>
                </c:pt>
                <c:pt idx="5">
                  <c:v>-0.30653848007561146</c:v>
                </c:pt>
                <c:pt idx="6">
                  <c:v>-0.28676290191394921</c:v>
                </c:pt>
                <c:pt idx="7">
                  <c:v>-0.26698732375228695</c:v>
                </c:pt>
                <c:pt idx="8">
                  <c:v>-0.24721174559062467</c:v>
                </c:pt>
                <c:pt idx="9">
                  <c:v>-0.22743616742896244</c:v>
                </c:pt>
                <c:pt idx="10">
                  <c:v>-0.20766058926730016</c:v>
                </c:pt>
                <c:pt idx="11">
                  <c:v>-0.18786799253579145</c:v>
                </c:pt>
                <c:pt idx="12">
                  <c:v>-0.16809241437412917</c:v>
                </c:pt>
                <c:pt idx="13">
                  <c:v>-0.14831683621246691</c:v>
                </c:pt>
                <c:pt idx="14">
                  <c:v>-0.12854125805080463</c:v>
                </c:pt>
                <c:pt idx="15">
                  <c:v>-0.10876567988914239</c:v>
                </c:pt>
                <c:pt idx="16">
                  <c:v>-8.8990101727480148E-2</c:v>
                </c:pt>
                <c:pt idx="17">
                  <c:v>-6.9214523565817893E-2</c:v>
                </c:pt>
                <c:pt idx="18">
                  <c:v>-4.9438945404155631E-2</c:v>
                </c:pt>
                <c:pt idx="19">
                  <c:v>-2.9663367242493383E-2</c:v>
                </c:pt>
                <c:pt idx="20">
                  <c:v>-9.8877890808311275E-3</c:v>
                </c:pt>
                <c:pt idx="21">
                  <c:v>9.8877890808311275E-3</c:v>
                </c:pt>
                <c:pt idx="22">
                  <c:v>2.9663367242493383E-2</c:v>
                </c:pt>
                <c:pt idx="23">
                  <c:v>4.9438945404155631E-2</c:v>
                </c:pt>
                <c:pt idx="24">
                  <c:v>6.9214523565817893E-2</c:v>
                </c:pt>
                <c:pt idx="25">
                  <c:v>8.8990101727480148E-2</c:v>
                </c:pt>
                <c:pt idx="26">
                  <c:v>0.10876567988914239</c:v>
                </c:pt>
                <c:pt idx="27">
                  <c:v>0.12854125805080463</c:v>
                </c:pt>
                <c:pt idx="28">
                  <c:v>0.14831683621246691</c:v>
                </c:pt>
                <c:pt idx="29">
                  <c:v>0.16809241437412917</c:v>
                </c:pt>
                <c:pt idx="30">
                  <c:v>0.18786799253579145</c:v>
                </c:pt>
                <c:pt idx="31">
                  <c:v>0.20766058926730016</c:v>
                </c:pt>
                <c:pt idx="32">
                  <c:v>0.22743616742896244</c:v>
                </c:pt>
                <c:pt idx="33">
                  <c:v>0.24721174559062467</c:v>
                </c:pt>
                <c:pt idx="34">
                  <c:v>0.26698732375228695</c:v>
                </c:pt>
                <c:pt idx="35">
                  <c:v>0.28676290191394921</c:v>
                </c:pt>
                <c:pt idx="36">
                  <c:v>0.30653848007561146</c:v>
                </c:pt>
                <c:pt idx="37">
                  <c:v>0.31901309177311443</c:v>
                </c:pt>
                <c:pt idx="38">
                  <c:v>0.3242037555763046</c:v>
                </c:pt>
                <c:pt idx="39">
                  <c:v>0.32939441937949476</c:v>
                </c:pt>
                <c:pt idx="40">
                  <c:v>0.33458508318268498</c:v>
                </c:pt>
                <c:pt idx="41">
                  <c:v>0.3371719057993568</c:v>
                </c:pt>
              </c:numCache>
            </c:numRef>
          </c:xVal>
          <c:yVal>
            <c:numRef>
              <c:f>'XFLR5 Lift Distribution'!$AJ$25:$AJ$1030</c:f>
              <c:numCache>
                <c:formatCode>General</c:formatCode>
                <c:ptCount val="1006"/>
                <c:pt idx="0">
                  <c:v>0</c:v>
                </c:pt>
                <c:pt idx="1">
                  <c:v>-5.950887106299213E-2</c:v>
                </c:pt>
                <c:pt idx="2">
                  <c:v>-8.8623961614173213E-2</c:v>
                </c:pt>
                <c:pt idx="3">
                  <c:v>-0.11006661122047243</c:v>
                </c:pt>
                <c:pt idx="4">
                  <c:v>-0.12969059645669292</c:v>
                </c:pt>
                <c:pt idx="5">
                  <c:v>-0.15471236023622045</c:v>
                </c:pt>
                <c:pt idx="6">
                  <c:v>-0.18495427788713908</c:v>
                </c:pt>
                <c:pt idx="7">
                  <c:v>-0.20925875393700785</c:v>
                </c:pt>
                <c:pt idx="8">
                  <c:v>-0.2295877217847769</c:v>
                </c:pt>
                <c:pt idx="9">
                  <c:v>-0.24728001082677165</c:v>
                </c:pt>
                <c:pt idx="10">
                  <c:v>-0.26299949737532807</c:v>
                </c:pt>
                <c:pt idx="11">
                  <c:v>-0.27726901574803148</c:v>
                </c:pt>
                <c:pt idx="12">
                  <c:v>-0.29025446850393699</c:v>
                </c:pt>
                <c:pt idx="13">
                  <c:v>-0.30217815846456686</c:v>
                </c:pt>
                <c:pt idx="14">
                  <c:v>-0.312991749015748</c:v>
                </c:pt>
                <c:pt idx="15">
                  <c:v>-0.32276586614173225</c:v>
                </c:pt>
                <c:pt idx="16">
                  <c:v>-0.33132883202099733</c:v>
                </c:pt>
                <c:pt idx="17">
                  <c:v>-0.33865019783464562</c:v>
                </c:pt>
                <c:pt idx="18">
                  <c:v>-0.3444743366141732</c:v>
                </c:pt>
                <c:pt idx="19">
                  <c:v>-0.34870719685039364</c:v>
                </c:pt>
                <c:pt idx="20">
                  <c:v>-0.35103760761154851</c:v>
                </c:pt>
                <c:pt idx="21">
                  <c:v>-0.35103760761154851</c:v>
                </c:pt>
                <c:pt idx="22">
                  <c:v>-0.34870719685039364</c:v>
                </c:pt>
                <c:pt idx="23">
                  <c:v>-0.3444743366141732</c:v>
                </c:pt>
                <c:pt idx="24">
                  <c:v>-0.33865019783464562</c:v>
                </c:pt>
                <c:pt idx="25">
                  <c:v>-0.33132883202099733</c:v>
                </c:pt>
                <c:pt idx="26">
                  <c:v>-0.32276586614173225</c:v>
                </c:pt>
                <c:pt idx="27">
                  <c:v>-0.312991749015748</c:v>
                </c:pt>
                <c:pt idx="28">
                  <c:v>-0.30217815846456686</c:v>
                </c:pt>
                <c:pt idx="29">
                  <c:v>-0.29025446850393699</c:v>
                </c:pt>
                <c:pt idx="30">
                  <c:v>-0.27726901574803148</c:v>
                </c:pt>
                <c:pt idx="31">
                  <c:v>-0.26299949737532807</c:v>
                </c:pt>
                <c:pt idx="32">
                  <c:v>-0.24728001082677165</c:v>
                </c:pt>
                <c:pt idx="33">
                  <c:v>-0.2295877217847769</c:v>
                </c:pt>
                <c:pt idx="34">
                  <c:v>-0.20925875393700785</c:v>
                </c:pt>
                <c:pt idx="35">
                  <c:v>-0.18495427788713908</c:v>
                </c:pt>
                <c:pt idx="36">
                  <c:v>-0.15471236023622045</c:v>
                </c:pt>
                <c:pt idx="37">
                  <c:v>-0.12969059645669292</c:v>
                </c:pt>
                <c:pt idx="38">
                  <c:v>-0.11006661122047243</c:v>
                </c:pt>
                <c:pt idx="39">
                  <c:v>-8.8623961614173213E-2</c:v>
                </c:pt>
                <c:pt idx="40">
                  <c:v>-5.950887106299213E-2</c:v>
                </c:pt>
                <c:pt idx="41">
                  <c:v>0</c:v>
                </c:pt>
              </c:numCache>
            </c:numRef>
          </c:yVal>
          <c:smooth val="0"/>
        </c:ser>
        <c:ser>
          <c:idx val="3"/>
          <c:order val="2"/>
          <c:tx>
            <c:strRef>
              <c:f>'XFLR5 Lift Distribution'!$AM$24</c:f>
              <c:strCache>
                <c:ptCount val="1"/>
                <c:pt idx="0">
                  <c:v>Total Cl*c</c:v>
                </c:pt>
              </c:strCache>
            </c:strRef>
          </c:tx>
          <c:xVal>
            <c:numRef>
              <c:f>'XFLR5 Lift Distribution'!$AL$25:$AL$1030</c:f>
              <c:numCache>
                <c:formatCode>General</c:formatCode>
                <c:ptCount val="1006"/>
                <c:pt idx="0">
                  <c:v>-1</c:v>
                </c:pt>
                <c:pt idx="1">
                  <c:v>-0.99761154583345935</c:v>
                </c:pt>
                <c:pt idx="2">
                  <c:v>-0.9935441076401399</c:v>
                </c:pt>
                <c:pt idx="3">
                  <c:v>-0.9877748124621677</c:v>
                </c:pt>
                <c:pt idx="4">
                  <c:v>-0.98166514588726517</c:v>
                </c:pt>
                <c:pt idx="5">
                  <c:v>-0.97460243940095725</c:v>
                </c:pt>
                <c:pt idx="6">
                  <c:v>-0.96784606717188681</c:v>
                </c:pt>
                <c:pt idx="7">
                  <c:v>-0.9603578964394156</c:v>
                </c:pt>
                <c:pt idx="8">
                  <c:v>-0.95365257991988472</c:v>
                </c:pt>
                <c:pt idx="9">
                  <c:v>-0.93746791999583923</c:v>
                </c:pt>
                <c:pt idx="10">
                  <c:v>-0.91318242082484802</c:v>
                </c:pt>
                <c:pt idx="11">
                  <c:v>-0.88891394022370307</c:v>
                </c:pt>
                <c:pt idx="12">
                  <c:v>-0.86462844105271142</c:v>
                </c:pt>
                <c:pt idx="13">
                  <c:v>-0.84035996045156669</c:v>
                </c:pt>
                <c:pt idx="14">
                  <c:v>-0.81607446128057526</c:v>
                </c:pt>
                <c:pt idx="15">
                  <c:v>-0.79180598067943031</c:v>
                </c:pt>
                <c:pt idx="16">
                  <c:v>-0.76753750007828536</c:v>
                </c:pt>
                <c:pt idx="17">
                  <c:v>-0.74325200090729404</c:v>
                </c:pt>
                <c:pt idx="18">
                  <c:v>-0.71898352030614909</c:v>
                </c:pt>
                <c:pt idx="19">
                  <c:v>-0.69471503970500414</c:v>
                </c:pt>
                <c:pt idx="20">
                  <c:v>-0.67042954053401282</c:v>
                </c:pt>
                <c:pt idx="21">
                  <c:v>-0.64616105993286788</c:v>
                </c:pt>
                <c:pt idx="22">
                  <c:v>-0.62190959790156952</c:v>
                </c:pt>
                <c:pt idx="23">
                  <c:v>-0.59767515444011765</c:v>
                </c:pt>
                <c:pt idx="24">
                  <c:v>-0.57357685953743798</c:v>
                </c:pt>
                <c:pt idx="25">
                  <c:v>-0.56285516053412721</c:v>
                </c:pt>
                <c:pt idx="26">
                  <c:v>-0.54272219240568786</c:v>
                </c:pt>
                <c:pt idx="27">
                  <c:v>-0.50773201280123215</c:v>
                </c:pt>
                <c:pt idx="28">
                  <c:v>-0.47272481462692978</c:v>
                </c:pt>
                <c:pt idx="29">
                  <c:v>-0.43773463502247406</c:v>
                </c:pt>
                <c:pt idx="30">
                  <c:v>-0.40272743684817175</c:v>
                </c:pt>
                <c:pt idx="31">
                  <c:v>-0.36773725724371603</c:v>
                </c:pt>
                <c:pt idx="32">
                  <c:v>-0.3371719057993568</c:v>
                </c:pt>
                <c:pt idx="33">
                  <c:v>-0.33458508318268498</c:v>
                </c:pt>
                <c:pt idx="34">
                  <c:v>-0.32939441937949476</c:v>
                </c:pt>
                <c:pt idx="35">
                  <c:v>-0.3242037555763046</c:v>
                </c:pt>
                <c:pt idx="36">
                  <c:v>-0.31901309177311443</c:v>
                </c:pt>
                <c:pt idx="37">
                  <c:v>-0.30653848007561146</c:v>
                </c:pt>
                <c:pt idx="38">
                  <c:v>-0.28676290191394921</c:v>
                </c:pt>
                <c:pt idx="39">
                  <c:v>-0.26698732375228695</c:v>
                </c:pt>
                <c:pt idx="40">
                  <c:v>-0.24721174559062467</c:v>
                </c:pt>
                <c:pt idx="41">
                  <c:v>-0.22743616742896244</c:v>
                </c:pt>
                <c:pt idx="42">
                  <c:v>-0.20766058926730016</c:v>
                </c:pt>
                <c:pt idx="43">
                  <c:v>-0.18786799253579145</c:v>
                </c:pt>
                <c:pt idx="44">
                  <c:v>-0.16809241437412917</c:v>
                </c:pt>
                <c:pt idx="45">
                  <c:v>-0.14831683621246691</c:v>
                </c:pt>
                <c:pt idx="46">
                  <c:v>-0.12854125805080463</c:v>
                </c:pt>
                <c:pt idx="47">
                  <c:v>-0.10876567988914239</c:v>
                </c:pt>
                <c:pt idx="48">
                  <c:v>-8.8990101727480148E-2</c:v>
                </c:pt>
                <c:pt idx="49">
                  <c:v>-6.9214523565817893E-2</c:v>
                </c:pt>
                <c:pt idx="50">
                  <c:v>-4.9438945404155631E-2</c:v>
                </c:pt>
                <c:pt idx="51">
                  <c:v>-2.9663367242493383E-2</c:v>
                </c:pt>
                <c:pt idx="52">
                  <c:v>-9.8877890808311275E-3</c:v>
                </c:pt>
                <c:pt idx="53">
                  <c:v>9.8877890808311275E-3</c:v>
                </c:pt>
                <c:pt idx="54">
                  <c:v>2.9663367242493383E-2</c:v>
                </c:pt>
                <c:pt idx="55">
                  <c:v>4.9438945404155631E-2</c:v>
                </c:pt>
                <c:pt idx="56">
                  <c:v>6.9214523565817893E-2</c:v>
                </c:pt>
                <c:pt idx="57">
                  <c:v>8.8990101727480148E-2</c:v>
                </c:pt>
                <c:pt idx="58">
                  <c:v>0.10876567988914239</c:v>
                </c:pt>
                <c:pt idx="59">
                  <c:v>0.12854125805080463</c:v>
                </c:pt>
                <c:pt idx="60">
                  <c:v>0.14831683621246691</c:v>
                </c:pt>
                <c:pt idx="61">
                  <c:v>0.16809241437412917</c:v>
                </c:pt>
                <c:pt idx="62">
                  <c:v>0.18786799253579145</c:v>
                </c:pt>
                <c:pt idx="63">
                  <c:v>0.20766058926730016</c:v>
                </c:pt>
                <c:pt idx="64">
                  <c:v>0.22743616742896244</c:v>
                </c:pt>
                <c:pt idx="65">
                  <c:v>0.24721174559062467</c:v>
                </c:pt>
                <c:pt idx="66">
                  <c:v>0.26698732375228695</c:v>
                </c:pt>
                <c:pt idx="67">
                  <c:v>0.28676290191394921</c:v>
                </c:pt>
                <c:pt idx="68">
                  <c:v>0.30653848007561146</c:v>
                </c:pt>
                <c:pt idx="69">
                  <c:v>0.31901309177311443</c:v>
                </c:pt>
                <c:pt idx="70">
                  <c:v>0.3242037555763046</c:v>
                </c:pt>
                <c:pt idx="71">
                  <c:v>0.32939441937949476</c:v>
                </c:pt>
                <c:pt idx="72">
                  <c:v>0.33458508318268498</c:v>
                </c:pt>
                <c:pt idx="73">
                  <c:v>0.3371719057993568</c:v>
                </c:pt>
                <c:pt idx="74">
                  <c:v>0.36773725724371603</c:v>
                </c:pt>
                <c:pt idx="75">
                  <c:v>0.40272743684817175</c:v>
                </c:pt>
                <c:pt idx="76">
                  <c:v>0.43773463502247406</c:v>
                </c:pt>
                <c:pt idx="77">
                  <c:v>0.47272481462692978</c:v>
                </c:pt>
                <c:pt idx="78">
                  <c:v>0.50773201280123215</c:v>
                </c:pt>
                <c:pt idx="79">
                  <c:v>0.54272219240568786</c:v>
                </c:pt>
                <c:pt idx="80">
                  <c:v>0.56285516053412721</c:v>
                </c:pt>
                <c:pt idx="81">
                  <c:v>0.57357685953743798</c:v>
                </c:pt>
                <c:pt idx="82">
                  <c:v>0.59767515444011765</c:v>
                </c:pt>
                <c:pt idx="83">
                  <c:v>0.62190959790156952</c:v>
                </c:pt>
                <c:pt idx="84">
                  <c:v>0.64616105993286788</c:v>
                </c:pt>
                <c:pt idx="85">
                  <c:v>0.67042954053401282</c:v>
                </c:pt>
                <c:pt idx="86">
                  <c:v>0.69471503970500414</c:v>
                </c:pt>
                <c:pt idx="87">
                  <c:v>0.71898352030614909</c:v>
                </c:pt>
                <c:pt idx="88">
                  <c:v>0.74325200090729404</c:v>
                </c:pt>
                <c:pt idx="89">
                  <c:v>0.76753750007828536</c:v>
                </c:pt>
                <c:pt idx="90">
                  <c:v>0.79180598067943031</c:v>
                </c:pt>
                <c:pt idx="91">
                  <c:v>0.81607446128057526</c:v>
                </c:pt>
                <c:pt idx="92">
                  <c:v>0.84035996045156669</c:v>
                </c:pt>
                <c:pt idx="93">
                  <c:v>0.86462844105271142</c:v>
                </c:pt>
                <c:pt idx="94">
                  <c:v>0.88891394022370307</c:v>
                </c:pt>
                <c:pt idx="95">
                  <c:v>0.91318242082484802</c:v>
                </c:pt>
                <c:pt idx="96">
                  <c:v>0.93746791999583923</c:v>
                </c:pt>
                <c:pt idx="97">
                  <c:v>0.95365257991988472</c:v>
                </c:pt>
                <c:pt idx="98">
                  <c:v>0.9603578964394156</c:v>
                </c:pt>
                <c:pt idx="99">
                  <c:v>0.96784606717188681</c:v>
                </c:pt>
                <c:pt idx="100">
                  <c:v>0.97460243940095725</c:v>
                </c:pt>
                <c:pt idx="101">
                  <c:v>0.98166514588726517</c:v>
                </c:pt>
                <c:pt idx="102">
                  <c:v>0.9877748124621677</c:v>
                </c:pt>
                <c:pt idx="103">
                  <c:v>0.9935441076401399</c:v>
                </c:pt>
                <c:pt idx="104">
                  <c:v>0.99761154583345935</c:v>
                </c:pt>
                <c:pt idx="105">
                  <c:v>1</c:v>
                </c:pt>
              </c:numCache>
            </c:numRef>
          </c:xVal>
          <c:yVal>
            <c:numRef>
              <c:f>'XFLR5 Lift Distribution'!$AM$25:$AM$1030</c:f>
              <c:numCache>
                <c:formatCode>General</c:formatCode>
                <c:ptCount val="1006"/>
                <c:pt idx="0">
                  <c:v>0</c:v>
                </c:pt>
                <c:pt idx="1">
                  <c:v>9.8741755905511805E-2</c:v>
                </c:pt>
                <c:pt idx="2">
                  <c:v>0.14911675787401571</c:v>
                </c:pt>
                <c:pt idx="3">
                  <c:v>0.22825364501312337</c:v>
                </c:pt>
                <c:pt idx="4">
                  <c:v>0.27485953608923885</c:v>
                </c:pt>
                <c:pt idx="5">
                  <c:v>0.3183201522309711</c:v>
                </c:pt>
                <c:pt idx="6">
                  <c:v>0.35340400623359575</c:v>
                </c:pt>
                <c:pt idx="7">
                  <c:v>0.39326055118110231</c:v>
                </c:pt>
                <c:pt idx="8">
                  <c:v>0.42663650360892391</c:v>
                </c:pt>
                <c:pt idx="9">
                  <c:v>0.47646137532808397</c:v>
                </c:pt>
                <c:pt idx="10">
                  <c:v>0.53968339895013129</c:v>
                </c:pt>
                <c:pt idx="11">
                  <c:v>0.59588041994750651</c:v>
                </c:pt>
                <c:pt idx="12">
                  <c:v>0.6467086771653543</c:v>
                </c:pt>
                <c:pt idx="13">
                  <c:v>0.69377297408136473</c:v>
                </c:pt>
                <c:pt idx="14">
                  <c:v>0.73803680577427833</c:v>
                </c:pt>
                <c:pt idx="15">
                  <c:v>0.78020180446194232</c:v>
                </c:pt>
                <c:pt idx="16">
                  <c:v>0.82049375000000002</c:v>
                </c:pt>
                <c:pt idx="17">
                  <c:v>0.85925144685039367</c:v>
                </c:pt>
                <c:pt idx="18">
                  <c:v>0.89663324803149602</c:v>
                </c:pt>
                <c:pt idx="19">
                  <c:v>0.93283332513123352</c:v>
                </c:pt>
                <c:pt idx="20">
                  <c:v>0.96771840354330707</c:v>
                </c:pt>
                <c:pt idx="21">
                  <c:v>1.0013973484251966</c:v>
                </c:pt>
                <c:pt idx="22">
                  <c:v>1.033968093832021</c:v>
                </c:pt>
                <c:pt idx="23">
                  <c:v>1.0652595314960627</c:v>
                </c:pt>
                <c:pt idx="24">
                  <c:v>1.0956101486220473</c:v>
                </c:pt>
                <c:pt idx="25">
                  <c:v>0.9393724619422571</c:v>
                </c:pt>
                <c:pt idx="26">
                  <c:v>1.1319043730314959</c:v>
                </c:pt>
                <c:pt idx="27">
                  <c:v>1.1695975459317585</c:v>
                </c:pt>
                <c:pt idx="28">
                  <c:v>1.2073960170603673</c:v>
                </c:pt>
                <c:pt idx="29">
                  <c:v>1.2444816811023622</c:v>
                </c:pt>
                <c:pt idx="30">
                  <c:v>1.2807459783464565</c:v>
                </c:pt>
                <c:pt idx="31">
                  <c:v>1.3157579438976374</c:v>
                </c:pt>
                <c:pt idx="32">
                  <c:v>1.3455502213041399</c:v>
                </c:pt>
                <c:pt idx="33">
                  <c:v>1.2885627456563975</c:v>
                </c:pt>
                <c:pt idx="34">
                  <c:v>1.2644331233501693</c:v>
                </c:pt>
                <c:pt idx="35">
                  <c:v>1.2479354224099704</c:v>
                </c:pt>
                <c:pt idx="36">
                  <c:v>1.23325638583985</c:v>
                </c:pt>
                <c:pt idx="37">
                  <c:v>1.2201187118054091</c:v>
                </c:pt>
                <c:pt idx="38">
                  <c:v>1.208434870847886</c:v>
                </c:pt>
                <c:pt idx="39">
                  <c:v>1.2024629416016881</c:v>
                </c:pt>
                <c:pt idx="40">
                  <c:v>1.199841820888482</c:v>
                </c:pt>
                <c:pt idx="41">
                  <c:v>1.1996710547178986</c:v>
                </c:pt>
                <c:pt idx="42">
                  <c:v>1.2005134747956177</c:v>
                </c:pt>
                <c:pt idx="43">
                  <c:v>1.2025799689635097</c:v>
                </c:pt>
                <c:pt idx="44">
                  <c:v>1.205187496326289</c:v>
                </c:pt>
                <c:pt idx="45">
                  <c:v>1.2082642960919705</c:v>
                </c:pt>
                <c:pt idx="46">
                  <c:v>1.2118054233646225</c:v>
                </c:pt>
                <c:pt idx="47">
                  <c:v>1.2154348834923461</c:v>
                </c:pt>
                <c:pt idx="48">
                  <c:v>1.2198853425455485</c:v>
                </c:pt>
                <c:pt idx="49">
                  <c:v>1.2238780383452554</c:v>
                </c:pt>
                <c:pt idx="50">
                  <c:v>1.2287697364778625</c:v>
                </c:pt>
                <c:pt idx="51">
                  <c:v>1.2329054558821826</c:v>
                </c:pt>
                <c:pt idx="52">
                  <c:v>1.2354651187664041</c:v>
                </c:pt>
                <c:pt idx="53">
                  <c:v>1.2354651187664041</c:v>
                </c:pt>
                <c:pt idx="54">
                  <c:v>1.2329054558821826</c:v>
                </c:pt>
                <c:pt idx="55">
                  <c:v>1.2287697364778625</c:v>
                </c:pt>
                <c:pt idx="56">
                  <c:v>1.2238780383452554</c:v>
                </c:pt>
                <c:pt idx="57">
                  <c:v>1.2198853425455485</c:v>
                </c:pt>
                <c:pt idx="58">
                  <c:v>1.2154348834923461</c:v>
                </c:pt>
                <c:pt idx="59">
                  <c:v>1.2118054233646225</c:v>
                </c:pt>
                <c:pt idx="60">
                  <c:v>1.2082642960919705</c:v>
                </c:pt>
                <c:pt idx="61">
                  <c:v>1.205187496326289</c:v>
                </c:pt>
                <c:pt idx="62">
                  <c:v>1.2025799689635097</c:v>
                </c:pt>
                <c:pt idx="63">
                  <c:v>1.2005134747956177</c:v>
                </c:pt>
                <c:pt idx="64">
                  <c:v>1.1996710547178986</c:v>
                </c:pt>
                <c:pt idx="65">
                  <c:v>1.199841820888482</c:v>
                </c:pt>
                <c:pt idx="66">
                  <c:v>1.2024629416016881</c:v>
                </c:pt>
                <c:pt idx="67">
                  <c:v>1.208434870847886</c:v>
                </c:pt>
                <c:pt idx="68">
                  <c:v>1.2201187118054091</c:v>
                </c:pt>
                <c:pt idx="69">
                  <c:v>1.23325638583985</c:v>
                </c:pt>
                <c:pt idx="70">
                  <c:v>1.2479354224099704</c:v>
                </c:pt>
                <c:pt idx="71">
                  <c:v>1.2644331233501693</c:v>
                </c:pt>
                <c:pt idx="72">
                  <c:v>1.2885627456563975</c:v>
                </c:pt>
                <c:pt idx="73">
                  <c:v>1.3455502213041399</c:v>
                </c:pt>
                <c:pt idx="74">
                  <c:v>1.3157579438976374</c:v>
                </c:pt>
                <c:pt idx="75">
                  <c:v>1.2807459783464565</c:v>
                </c:pt>
                <c:pt idx="76">
                  <c:v>1.2444816811023622</c:v>
                </c:pt>
                <c:pt idx="77">
                  <c:v>1.2073960170603673</c:v>
                </c:pt>
                <c:pt idx="78">
                  <c:v>1.1695975459317585</c:v>
                </c:pt>
                <c:pt idx="79">
                  <c:v>1.1319043730314959</c:v>
                </c:pt>
                <c:pt idx="80">
                  <c:v>0.9393724619422571</c:v>
                </c:pt>
                <c:pt idx="81">
                  <c:v>1.0956101486220473</c:v>
                </c:pt>
                <c:pt idx="82">
                  <c:v>1.0652595314960627</c:v>
                </c:pt>
                <c:pt idx="83">
                  <c:v>1.033968093832021</c:v>
                </c:pt>
                <c:pt idx="84">
                  <c:v>1.0013973484251966</c:v>
                </c:pt>
                <c:pt idx="85">
                  <c:v>0.96771840354330707</c:v>
                </c:pt>
                <c:pt idx="86">
                  <c:v>0.93283332513123352</c:v>
                </c:pt>
                <c:pt idx="87">
                  <c:v>0.89663324803149602</c:v>
                </c:pt>
                <c:pt idx="88">
                  <c:v>0.85925144685039367</c:v>
                </c:pt>
                <c:pt idx="89">
                  <c:v>0.82049375000000002</c:v>
                </c:pt>
                <c:pt idx="90">
                  <c:v>0.78020180446194232</c:v>
                </c:pt>
                <c:pt idx="91">
                  <c:v>0.73803680577427833</c:v>
                </c:pt>
                <c:pt idx="92">
                  <c:v>0.69377297408136473</c:v>
                </c:pt>
                <c:pt idx="93">
                  <c:v>0.6467086771653543</c:v>
                </c:pt>
                <c:pt idx="94">
                  <c:v>0.59588041994750651</c:v>
                </c:pt>
                <c:pt idx="95">
                  <c:v>0.53968339895013129</c:v>
                </c:pt>
                <c:pt idx="96">
                  <c:v>0.47646137532808397</c:v>
                </c:pt>
                <c:pt idx="97">
                  <c:v>0.42663650360892391</c:v>
                </c:pt>
                <c:pt idx="98">
                  <c:v>0.39326055118110231</c:v>
                </c:pt>
                <c:pt idx="99">
                  <c:v>0.35340400623359575</c:v>
                </c:pt>
                <c:pt idx="100">
                  <c:v>0.3183201522309711</c:v>
                </c:pt>
                <c:pt idx="101">
                  <c:v>0.27485953608923885</c:v>
                </c:pt>
                <c:pt idx="102">
                  <c:v>0.22825364501312337</c:v>
                </c:pt>
                <c:pt idx="103">
                  <c:v>0.14911675787401571</c:v>
                </c:pt>
                <c:pt idx="104">
                  <c:v>9.8741755905511805E-2</c:v>
                </c:pt>
                <c:pt idx="105">
                  <c:v>0</c:v>
                </c:pt>
              </c:numCache>
            </c:numRef>
          </c:yVal>
          <c:smooth val="0"/>
        </c:ser>
        <c:ser>
          <c:idx val="1"/>
          <c:order val="3"/>
          <c:tx>
            <c:strRef>
              <c:f>'XFLR5 Lift Distribution'!$R$24</c:f>
              <c:strCache>
                <c:ptCount val="1"/>
                <c:pt idx="0">
                  <c:v>Elliptic Cl*c</c:v>
                </c:pt>
              </c:strCache>
            </c:strRef>
          </c:tx>
          <c:marker>
            <c:symbol val="none"/>
          </c:marker>
          <c:xVal>
            <c:numRef>
              <c:f>'XFLR5 Lift Distribution'!$P$25:$P$1030</c:f>
              <c:numCache>
                <c:formatCode>General</c:formatCode>
                <c:ptCount val="1006"/>
                <c:pt idx="0">
                  <c:v>-1</c:v>
                </c:pt>
                <c:pt idx="1">
                  <c:v>-0.99761154583345935</c:v>
                </c:pt>
                <c:pt idx="2">
                  <c:v>-0.9935441076401399</c:v>
                </c:pt>
                <c:pt idx="3">
                  <c:v>-0.9877748124621677</c:v>
                </c:pt>
                <c:pt idx="4">
                  <c:v>-0.98166514588726517</c:v>
                </c:pt>
                <c:pt idx="5">
                  <c:v>-0.97460243940095725</c:v>
                </c:pt>
                <c:pt idx="6">
                  <c:v>-0.96784606717188681</c:v>
                </c:pt>
                <c:pt idx="7">
                  <c:v>-0.9603578964394156</c:v>
                </c:pt>
                <c:pt idx="8">
                  <c:v>-0.95365257991988472</c:v>
                </c:pt>
                <c:pt idx="9">
                  <c:v>-0.93746791999583923</c:v>
                </c:pt>
                <c:pt idx="10">
                  <c:v>-0.91318242082484802</c:v>
                </c:pt>
                <c:pt idx="11">
                  <c:v>-0.88891394022370307</c:v>
                </c:pt>
                <c:pt idx="12">
                  <c:v>-0.86462844105271142</c:v>
                </c:pt>
                <c:pt idx="13">
                  <c:v>-0.84035996045156669</c:v>
                </c:pt>
                <c:pt idx="14">
                  <c:v>-0.81607446128057526</c:v>
                </c:pt>
                <c:pt idx="15">
                  <c:v>-0.79180598067943031</c:v>
                </c:pt>
                <c:pt idx="16">
                  <c:v>-0.76753750007828536</c:v>
                </c:pt>
                <c:pt idx="17">
                  <c:v>-0.74325200090729404</c:v>
                </c:pt>
                <c:pt idx="18">
                  <c:v>-0.71898352030614909</c:v>
                </c:pt>
                <c:pt idx="19">
                  <c:v>-0.69471503970500414</c:v>
                </c:pt>
                <c:pt idx="20">
                  <c:v>-0.67042954053401282</c:v>
                </c:pt>
                <c:pt idx="21">
                  <c:v>-0.64616105993286788</c:v>
                </c:pt>
                <c:pt idx="22">
                  <c:v>-0.62190959790156952</c:v>
                </c:pt>
                <c:pt idx="23">
                  <c:v>-0.59767515444011765</c:v>
                </c:pt>
                <c:pt idx="24">
                  <c:v>-0.57357685953743798</c:v>
                </c:pt>
                <c:pt idx="25">
                  <c:v>-0.56285516053412721</c:v>
                </c:pt>
                <c:pt idx="26">
                  <c:v>-0.54272219240568786</c:v>
                </c:pt>
                <c:pt idx="27">
                  <c:v>-0.50773201280123215</c:v>
                </c:pt>
                <c:pt idx="28">
                  <c:v>-0.47272481462692978</c:v>
                </c:pt>
                <c:pt idx="29">
                  <c:v>-0.43773463502247406</c:v>
                </c:pt>
                <c:pt idx="30">
                  <c:v>-0.40272743684817175</c:v>
                </c:pt>
                <c:pt idx="31">
                  <c:v>-0.36773725724371603</c:v>
                </c:pt>
                <c:pt idx="32">
                  <c:v>-0.33274707763926026</c:v>
                </c:pt>
                <c:pt idx="33">
                  <c:v>-0.29773987946495795</c:v>
                </c:pt>
                <c:pt idx="34">
                  <c:v>-0.26274969986050223</c:v>
                </c:pt>
                <c:pt idx="35">
                  <c:v>-0.22775952025604643</c:v>
                </c:pt>
                <c:pt idx="36">
                  <c:v>-0.19276934065159068</c:v>
                </c:pt>
                <c:pt idx="37">
                  <c:v>-0.15777916104713491</c:v>
                </c:pt>
                <c:pt idx="38">
                  <c:v>-0.12278898144267915</c:v>
                </c:pt>
                <c:pt idx="39">
                  <c:v>-8.78158204080699E-2</c:v>
                </c:pt>
                <c:pt idx="40">
                  <c:v>-5.2859677943307197E-2</c:v>
                </c:pt>
                <c:pt idx="41">
                  <c:v>-1.8107758316702787E-2</c:v>
                </c:pt>
                <c:pt idx="42">
                  <c:v>1.8107758316702787E-2</c:v>
                </c:pt>
                <c:pt idx="43">
                  <c:v>5.2859677943307197E-2</c:v>
                </c:pt>
                <c:pt idx="44">
                  <c:v>8.78158204080699E-2</c:v>
                </c:pt>
                <c:pt idx="45">
                  <c:v>0.12278898144267915</c:v>
                </c:pt>
                <c:pt idx="46">
                  <c:v>0.15777916104713491</c:v>
                </c:pt>
                <c:pt idx="47">
                  <c:v>0.19276934065159068</c:v>
                </c:pt>
                <c:pt idx="48">
                  <c:v>0.22775952025604643</c:v>
                </c:pt>
                <c:pt idx="49">
                  <c:v>0.26274969986050223</c:v>
                </c:pt>
                <c:pt idx="50">
                  <c:v>0.29773987946495795</c:v>
                </c:pt>
                <c:pt idx="51">
                  <c:v>0.33274707763926026</c:v>
                </c:pt>
                <c:pt idx="52">
                  <c:v>0.36773725724371603</c:v>
                </c:pt>
                <c:pt idx="53">
                  <c:v>0.40272743684817175</c:v>
                </c:pt>
                <c:pt idx="54">
                  <c:v>0.43773463502247406</c:v>
                </c:pt>
                <c:pt idx="55">
                  <c:v>0.47272481462692978</c:v>
                </c:pt>
                <c:pt idx="56">
                  <c:v>0.50773201280123215</c:v>
                </c:pt>
                <c:pt idx="57">
                  <c:v>0.54272219240568786</c:v>
                </c:pt>
                <c:pt idx="58">
                  <c:v>0.56285516053412721</c:v>
                </c:pt>
                <c:pt idx="59">
                  <c:v>0.57357685953743798</c:v>
                </c:pt>
                <c:pt idx="60">
                  <c:v>0.59767515444011765</c:v>
                </c:pt>
                <c:pt idx="61">
                  <c:v>0.62190959790156952</c:v>
                </c:pt>
                <c:pt idx="62">
                  <c:v>0.64616105993286788</c:v>
                </c:pt>
                <c:pt idx="63">
                  <c:v>0.67042954053401282</c:v>
                </c:pt>
                <c:pt idx="64">
                  <c:v>0.69471503970500414</c:v>
                </c:pt>
                <c:pt idx="65">
                  <c:v>0.71898352030614909</c:v>
                </c:pt>
                <c:pt idx="66">
                  <c:v>0.74325200090729404</c:v>
                </c:pt>
                <c:pt idx="67">
                  <c:v>0.76753750007828536</c:v>
                </c:pt>
                <c:pt idx="68">
                  <c:v>0.79180598067943031</c:v>
                </c:pt>
                <c:pt idx="69">
                  <c:v>0.81607446128057526</c:v>
                </c:pt>
                <c:pt idx="70">
                  <c:v>0.84035996045156669</c:v>
                </c:pt>
                <c:pt idx="71">
                  <c:v>0.86462844105271142</c:v>
                </c:pt>
                <c:pt idx="72">
                  <c:v>0.88891394022370307</c:v>
                </c:pt>
                <c:pt idx="73">
                  <c:v>0.91318242082484802</c:v>
                </c:pt>
                <c:pt idx="74">
                  <c:v>0.93746791999583923</c:v>
                </c:pt>
                <c:pt idx="75">
                  <c:v>0.95365257991988472</c:v>
                </c:pt>
                <c:pt idx="76">
                  <c:v>0.9603578964394156</c:v>
                </c:pt>
                <c:pt idx="77">
                  <c:v>0.96784606717188681</c:v>
                </c:pt>
                <c:pt idx="78">
                  <c:v>0.97460243940095725</c:v>
                </c:pt>
                <c:pt idx="79">
                  <c:v>0.98166514588726517</c:v>
                </c:pt>
                <c:pt idx="80">
                  <c:v>0.9877748124621677</c:v>
                </c:pt>
                <c:pt idx="81">
                  <c:v>0.9935441076401399</c:v>
                </c:pt>
                <c:pt idx="82">
                  <c:v>0.99761154583345935</c:v>
                </c:pt>
                <c:pt idx="83">
                  <c:v>1</c:v>
                </c:pt>
              </c:numCache>
            </c:numRef>
          </c:xVal>
          <c:yVal>
            <c:numRef>
              <c:f>'XFLR5 Lift Distribution'!$R$25:$R$1030</c:f>
              <c:numCache>
                <c:formatCode>General</c:formatCode>
                <c:ptCount val="1006"/>
                <c:pt idx="0">
                  <c:v>0</c:v>
                </c:pt>
                <c:pt idx="1">
                  <c:v>8.9829329382425771E-2</c:v>
                </c:pt>
                <c:pt idx="2">
                  <c:v>0.14753506307747163</c:v>
                </c:pt>
                <c:pt idx="3">
                  <c:v>0.20272884145825315</c:v>
                </c:pt>
                <c:pt idx="4">
                  <c:v>0.24788945158939812</c:v>
                </c:pt>
                <c:pt idx="5">
                  <c:v>0.29123262122039917</c:v>
                </c:pt>
                <c:pt idx="6">
                  <c:v>0.32712730329387407</c:v>
                </c:pt>
                <c:pt idx="7">
                  <c:v>0.36253522551500217</c:v>
                </c:pt>
                <c:pt idx="8">
                  <c:v>0.39132773712227381</c:v>
                </c:pt>
                <c:pt idx="9">
                  <c:v>0.45266079250888802</c:v>
                </c:pt>
                <c:pt idx="10">
                  <c:v>0.53001261756823925</c:v>
                </c:pt>
                <c:pt idx="11">
                  <c:v>0.59571707580577338</c:v>
                </c:pt>
                <c:pt idx="12">
                  <c:v>0.65337731084148831</c:v>
                </c:pt>
                <c:pt idx="13">
                  <c:v>0.70489833251696221</c:v>
                </c:pt>
                <c:pt idx="14">
                  <c:v>0.75160909341902982</c:v>
                </c:pt>
                <c:pt idx="15">
                  <c:v>0.79429860091190529</c:v>
                </c:pt>
                <c:pt idx="16">
                  <c:v>0.83361390861844331</c:v>
                </c:pt>
                <c:pt idx="17">
                  <c:v>0.87003715959884786</c:v>
                </c:pt>
                <c:pt idx="18">
                  <c:v>0.9038699184905058</c:v>
                </c:pt>
                <c:pt idx="19">
                  <c:v>0.9354169354637053</c:v>
                </c:pt>
                <c:pt idx="20">
                  <c:v>0.96492242895931968</c:v>
                </c:pt>
                <c:pt idx="21">
                  <c:v>0.99252888962826868</c:v>
                </c:pt>
                <c:pt idx="22">
                  <c:v>1.018392823393595</c:v>
                </c:pt>
                <c:pt idx="23">
                  <c:v>1.0426459226514202</c:v>
                </c:pt>
                <c:pt idx="24">
                  <c:v>1.0652917021066508</c:v>
                </c:pt>
                <c:pt idx="25">
                  <c:v>1.0749202026884916</c:v>
                </c:pt>
                <c:pt idx="26">
                  <c:v>1.0922903775878243</c:v>
                </c:pt>
                <c:pt idx="27">
                  <c:v>1.1203844095519349</c:v>
                </c:pt>
                <c:pt idx="28">
                  <c:v>1.1459974483189941</c:v>
                </c:pt>
                <c:pt idx="29">
                  <c:v>1.1692684070627644</c:v>
                </c:pt>
                <c:pt idx="30">
                  <c:v>1.1903566712212759</c:v>
                </c:pt>
                <c:pt idx="31">
                  <c:v>1.2093564242719383</c:v>
                </c:pt>
                <c:pt idx="32">
                  <c:v>1.2263750137086524</c:v>
                </c:pt>
                <c:pt idx="33">
                  <c:v>1.2415008194460364</c:v>
                </c:pt>
                <c:pt idx="34">
                  <c:v>1.2547878298786739</c:v>
                </c:pt>
                <c:pt idx="35">
                  <c:v>1.2663014919253477</c:v>
                </c:pt>
                <c:pt idx="36">
                  <c:v>1.276089807187319</c:v>
                </c:pt>
                <c:pt idx="37">
                  <c:v>1.2841922288647656</c:v>
                </c:pt>
                <c:pt idx="38">
                  <c:v>1.2906405086081167</c:v>
                </c:pt>
                <c:pt idx="39">
                  <c:v>1.2954573967121827</c:v>
                </c:pt>
                <c:pt idx="40">
                  <c:v>1.298663371746295</c:v>
                </c:pt>
                <c:pt idx="41">
                  <c:v>1.3002682844700857</c:v>
                </c:pt>
                <c:pt idx="42">
                  <c:v>1.3002682844700857</c:v>
                </c:pt>
                <c:pt idx="43">
                  <c:v>1.298663371746295</c:v>
                </c:pt>
                <c:pt idx="44">
                  <c:v>1.2954573967121827</c:v>
                </c:pt>
                <c:pt idx="45">
                  <c:v>1.2906405086081167</c:v>
                </c:pt>
                <c:pt idx="46">
                  <c:v>1.2841922288647656</c:v>
                </c:pt>
                <c:pt idx="47">
                  <c:v>1.276089807187319</c:v>
                </c:pt>
                <c:pt idx="48">
                  <c:v>1.2663014919253477</c:v>
                </c:pt>
                <c:pt idx="49">
                  <c:v>1.2547878298786739</c:v>
                </c:pt>
                <c:pt idx="50">
                  <c:v>1.2415008194460364</c:v>
                </c:pt>
                <c:pt idx="51">
                  <c:v>1.2263750137086524</c:v>
                </c:pt>
                <c:pt idx="52">
                  <c:v>1.2093564242719383</c:v>
                </c:pt>
                <c:pt idx="53">
                  <c:v>1.1903566712212759</c:v>
                </c:pt>
                <c:pt idx="54">
                  <c:v>1.1692684070627644</c:v>
                </c:pt>
                <c:pt idx="55">
                  <c:v>1.1459974483189941</c:v>
                </c:pt>
                <c:pt idx="56">
                  <c:v>1.1203844095519349</c:v>
                </c:pt>
                <c:pt idx="57">
                  <c:v>1.0922903775878243</c:v>
                </c:pt>
                <c:pt idx="58">
                  <c:v>1.0749202026884916</c:v>
                </c:pt>
                <c:pt idx="59">
                  <c:v>1.0652917021066508</c:v>
                </c:pt>
                <c:pt idx="60">
                  <c:v>1.0426459226514202</c:v>
                </c:pt>
                <c:pt idx="61">
                  <c:v>1.018392823393595</c:v>
                </c:pt>
                <c:pt idx="62">
                  <c:v>0.99252888962826868</c:v>
                </c:pt>
                <c:pt idx="63">
                  <c:v>0.96492242895931968</c:v>
                </c:pt>
                <c:pt idx="64">
                  <c:v>0.9354169354637053</c:v>
                </c:pt>
                <c:pt idx="65">
                  <c:v>0.9038699184905058</c:v>
                </c:pt>
                <c:pt idx="66">
                  <c:v>0.87003715959884786</c:v>
                </c:pt>
                <c:pt idx="67">
                  <c:v>0.83361390861844331</c:v>
                </c:pt>
                <c:pt idx="68">
                  <c:v>0.79429860091190529</c:v>
                </c:pt>
                <c:pt idx="69">
                  <c:v>0.75160909341902982</c:v>
                </c:pt>
                <c:pt idx="70">
                  <c:v>0.70489833251696221</c:v>
                </c:pt>
                <c:pt idx="71">
                  <c:v>0.65337731084148831</c:v>
                </c:pt>
                <c:pt idx="72">
                  <c:v>0.59571707580577338</c:v>
                </c:pt>
                <c:pt idx="73">
                  <c:v>0.53001261756823925</c:v>
                </c:pt>
                <c:pt idx="74">
                  <c:v>0.45266079250888802</c:v>
                </c:pt>
                <c:pt idx="75">
                  <c:v>0.39132773712227381</c:v>
                </c:pt>
                <c:pt idx="76">
                  <c:v>0.36253522551500217</c:v>
                </c:pt>
                <c:pt idx="77">
                  <c:v>0.32712730329387407</c:v>
                </c:pt>
                <c:pt idx="78">
                  <c:v>0.29123262122039917</c:v>
                </c:pt>
                <c:pt idx="79">
                  <c:v>0.24788945158939812</c:v>
                </c:pt>
                <c:pt idx="80">
                  <c:v>0.20272884145825315</c:v>
                </c:pt>
                <c:pt idx="81">
                  <c:v>0.14753506307747163</c:v>
                </c:pt>
                <c:pt idx="82">
                  <c:v>8.9829329382425771E-2</c:v>
                </c:pt>
                <c:pt idx="83">
                  <c:v>0</c:v>
                </c:pt>
              </c:numCache>
            </c:numRef>
          </c:yVal>
          <c:smooth val="0"/>
        </c:ser>
        <c:dLbls>
          <c:showLegendKey val="0"/>
          <c:showVal val="0"/>
          <c:showCatName val="0"/>
          <c:showSerName val="0"/>
          <c:showPercent val="0"/>
          <c:showBubbleSize val="0"/>
        </c:dLbls>
        <c:axId val="182695040"/>
        <c:axId val="102007168"/>
      </c:scatterChart>
      <c:valAx>
        <c:axId val="182695040"/>
        <c:scaling>
          <c:orientation val="minMax"/>
        </c:scaling>
        <c:delete val="0"/>
        <c:axPos val="b"/>
        <c:title>
          <c:tx>
            <c:rich>
              <a:bodyPr/>
              <a:lstStyle/>
              <a:p>
                <a:pPr>
                  <a:defRPr/>
                </a:pPr>
                <a:r>
                  <a:rPr lang="en-US"/>
                  <a:t>Normalized Semi-span</a:t>
                </a:r>
              </a:p>
            </c:rich>
          </c:tx>
          <c:layout>
            <c:manualLayout>
              <c:xMode val="edge"/>
              <c:yMode val="edge"/>
              <c:x val="0.35258467861123882"/>
              <c:y val="0.92599577491838236"/>
            </c:manualLayout>
          </c:layout>
          <c:overlay val="0"/>
        </c:title>
        <c:numFmt formatCode="General" sourceLinked="1"/>
        <c:majorTickMark val="out"/>
        <c:minorTickMark val="none"/>
        <c:tickLblPos val="nextTo"/>
        <c:crossAx val="102007168"/>
        <c:crosses val="autoZero"/>
        <c:crossBetween val="midCat"/>
      </c:valAx>
      <c:valAx>
        <c:axId val="102007168"/>
        <c:scaling>
          <c:orientation val="minMax"/>
        </c:scaling>
        <c:delete val="0"/>
        <c:axPos val="l"/>
        <c:majorGridlines/>
        <c:title>
          <c:tx>
            <c:rich>
              <a:bodyPr rot="-5400000" vert="horz"/>
              <a:lstStyle/>
              <a:p>
                <a:pPr>
                  <a:defRPr/>
                </a:pPr>
                <a:r>
                  <a:rPr lang="en-US"/>
                  <a:t>Chord</a:t>
                </a:r>
                <a:r>
                  <a:rPr lang="en-US" baseline="0"/>
                  <a:t> * Cl (ft)</a:t>
                </a:r>
                <a:endParaRPr lang="en-US"/>
              </a:p>
            </c:rich>
          </c:tx>
          <c:overlay val="0"/>
        </c:title>
        <c:numFmt formatCode="General" sourceLinked="1"/>
        <c:majorTickMark val="out"/>
        <c:minorTickMark val="none"/>
        <c:tickLblPos val="nextTo"/>
        <c:crossAx val="182695040"/>
        <c:crosses val="autoZero"/>
        <c:crossBetween val="midCat"/>
      </c:valAx>
    </c:plotArea>
    <c:legend>
      <c:legendPos val="r"/>
      <c:layout>
        <c:manualLayout>
          <c:xMode val="edge"/>
          <c:yMode val="edge"/>
          <c:x val="0.85708721959280265"/>
          <c:y val="0.35298444401767087"/>
          <c:w val="0.13748537199471506"/>
          <c:h val="0.29403111196466492"/>
        </c:manualLayout>
      </c:layout>
      <c:overlay val="0"/>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autoTitleDeleted val="0"/>
    <c:plotArea>
      <c:layout/>
      <c:pieChart>
        <c:varyColors val="1"/>
        <c:ser>
          <c:idx val="0"/>
          <c:order val="0"/>
          <c:dPt>
            <c:idx val="3"/>
            <c:bubble3D val="0"/>
            <c:spPr>
              <a:effectLst>
                <a:glow rad="63500">
                  <a:schemeClr val="accent1">
                    <a:satMod val="175000"/>
                    <a:alpha val="40000"/>
                  </a:schemeClr>
                </a:glow>
              </a:effectLst>
            </c:spPr>
          </c:dPt>
          <c:dLbls>
            <c:showLegendKey val="0"/>
            <c:showVal val="1"/>
            <c:showCatName val="0"/>
            <c:showSerName val="0"/>
            <c:showPercent val="0"/>
            <c:showBubbleSize val="0"/>
            <c:showLeaderLines val="1"/>
          </c:dLbls>
          <c:cat>
            <c:strRef>
              <c:f>CD0!$U$2:$U$9</c:f>
              <c:strCache>
                <c:ptCount val="8"/>
                <c:pt idx="0">
                  <c:v>Wing</c:v>
                </c:pt>
                <c:pt idx="1">
                  <c:v>Fuselage</c:v>
                </c:pt>
                <c:pt idx="2">
                  <c:v>Horiz Tail</c:v>
                </c:pt>
                <c:pt idx="3">
                  <c:v>Vert Tail</c:v>
                </c:pt>
                <c:pt idx="4">
                  <c:v>Landing Gear</c:v>
                </c:pt>
                <c:pt idx="5">
                  <c:v>Misc</c:v>
                </c:pt>
                <c:pt idx="6">
                  <c:v>Induced</c:v>
                </c:pt>
                <c:pt idx="7">
                  <c:v>cooling</c:v>
                </c:pt>
              </c:strCache>
            </c:strRef>
          </c:cat>
          <c:val>
            <c:numRef>
              <c:f>CD0!$V$2:$V$9</c:f>
              <c:numCache>
                <c:formatCode>0%</c:formatCode>
                <c:ptCount val="8"/>
                <c:pt idx="0">
                  <c:v>0.20854660492792881</c:v>
                </c:pt>
                <c:pt idx="1">
                  <c:v>0.28042793856449683</c:v>
                </c:pt>
                <c:pt idx="2">
                  <c:v>8.9970742238268175E-2</c:v>
                </c:pt>
                <c:pt idx="3">
                  <c:v>5.7256531329116782E-2</c:v>
                </c:pt>
                <c:pt idx="4">
                  <c:v>8.2796160584244119E-2</c:v>
                </c:pt>
                <c:pt idx="5">
                  <c:v>5.7422687388457669E-2</c:v>
                </c:pt>
                <c:pt idx="6">
                  <c:v>0.11176915938110508</c:v>
                </c:pt>
                <c:pt idx="7">
                  <c:v>0.11181017558638255</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Drag Polar</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593"/>
          <c:h val="0.71284909934204488"/>
        </c:manualLayout>
      </c:layout>
      <c:scatterChart>
        <c:scatterStyle val="lineMarker"/>
        <c:varyColors val="0"/>
        <c:ser>
          <c:idx val="0"/>
          <c:order val="0"/>
          <c:tx>
            <c:v>Induced</c:v>
          </c:tx>
          <c:xVal>
            <c:numRef>
              <c:f>'Drag Polar Clean'!$F$12:$F$47</c:f>
              <c:numCache>
                <c:formatCode>General</c:formatCode>
                <c:ptCount val="36"/>
                <c:pt idx="0">
                  <c:v>8.6140000000000001E-3</c:v>
                </c:pt>
                <c:pt idx="1">
                  <c:v>8.0599999999999995E-3</c:v>
                </c:pt>
                <c:pt idx="2">
                  <c:v>7.6639999999999998E-3</c:v>
                </c:pt>
                <c:pt idx="3">
                  <c:v>7.4229999999999999E-3</c:v>
                </c:pt>
                <c:pt idx="4">
                  <c:v>7.306E-3</c:v>
                </c:pt>
                <c:pt idx="5">
                  <c:v>7.3249999999999999E-3</c:v>
                </c:pt>
                <c:pt idx="6">
                  <c:v>7.3800000000000003E-3</c:v>
                </c:pt>
                <c:pt idx="7">
                  <c:v>7.4409999999999997E-3</c:v>
                </c:pt>
                <c:pt idx="8">
                  <c:v>7.3439999999999998E-3</c:v>
                </c:pt>
                <c:pt idx="9">
                  <c:v>7.9190000000000007E-3</c:v>
                </c:pt>
                <c:pt idx="10">
                  <c:v>8.914E-3</c:v>
                </c:pt>
                <c:pt idx="11">
                  <c:v>1.0200000000000001E-2</c:v>
                </c:pt>
                <c:pt idx="12">
                  <c:v>1.1929E-2</c:v>
                </c:pt>
                <c:pt idx="13">
                  <c:v>1.4316000000000001E-2</c:v>
                </c:pt>
                <c:pt idx="14">
                  <c:v>1.6976999999999999E-2</c:v>
                </c:pt>
                <c:pt idx="15">
                  <c:v>1.967E-2</c:v>
                </c:pt>
                <c:pt idx="16">
                  <c:v>2.2407E-2</c:v>
                </c:pt>
                <c:pt idx="17">
                  <c:v>2.5243999999999999E-2</c:v>
                </c:pt>
                <c:pt idx="18">
                  <c:v>2.8198999999999998E-2</c:v>
                </c:pt>
                <c:pt idx="19">
                  <c:v>3.1446000000000002E-2</c:v>
                </c:pt>
                <c:pt idx="20">
                  <c:v>3.6513999999999998E-2</c:v>
                </c:pt>
                <c:pt idx="21">
                  <c:v>3.5328999999999999E-2</c:v>
                </c:pt>
                <c:pt idx="22">
                  <c:v>4.1648999999999999E-2</c:v>
                </c:pt>
                <c:pt idx="23">
                  <c:v>4.9653999999999997E-2</c:v>
                </c:pt>
                <c:pt idx="24">
                  <c:v>4.8399999999999999E-2</c:v>
                </c:pt>
                <c:pt idx="25">
                  <c:v>5.4167E-2</c:v>
                </c:pt>
                <c:pt idx="26">
                  <c:v>5.7570000000000003E-2</c:v>
                </c:pt>
                <c:pt idx="27">
                  <c:v>6.2107999999999997E-2</c:v>
                </c:pt>
                <c:pt idx="28">
                  <c:v>6.6814999999999999E-2</c:v>
                </c:pt>
                <c:pt idx="29">
                  <c:v>7.1831999999999993E-2</c:v>
                </c:pt>
                <c:pt idx="30">
                  <c:v>7.7018000000000003E-2</c:v>
                </c:pt>
                <c:pt idx="31">
                  <c:v>8.2437999999999997E-2</c:v>
                </c:pt>
                <c:pt idx="32">
                  <c:v>8.8063000000000002E-2</c:v>
                </c:pt>
                <c:pt idx="33">
                  <c:v>9.3873999999999999E-2</c:v>
                </c:pt>
                <c:pt idx="34">
                  <c:v>9.9880999999999998E-2</c:v>
                </c:pt>
                <c:pt idx="35">
                  <c:v>0.10616</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1"/>
          <c:order val="1"/>
          <c:tx>
            <c:v>Profile</c:v>
          </c:tx>
          <c:xVal>
            <c:numRef>
              <c:f>'Drag Polar Clean'!$E$12:$E$47</c:f>
              <c:numCache>
                <c:formatCode>General</c:formatCode>
                <c:ptCount val="36"/>
                <c:pt idx="0">
                  <c:v>7.5950000000000002E-3</c:v>
                </c:pt>
                <c:pt idx="1">
                  <c:v>7.3790000000000001E-3</c:v>
                </c:pt>
                <c:pt idx="2">
                  <c:v>7.1640000000000002E-3</c:v>
                </c:pt>
                <c:pt idx="3">
                  <c:v>6.9470000000000001E-3</c:v>
                </c:pt>
                <c:pt idx="4">
                  <c:v>6.6959999999999997E-3</c:v>
                </c:pt>
                <c:pt idx="5">
                  <c:v>6.4229999999999999E-3</c:v>
                </c:pt>
                <c:pt idx="6">
                  <c:v>6.0289999999999996E-3</c:v>
                </c:pt>
                <c:pt idx="7">
                  <c:v>5.4819999999999999E-3</c:v>
                </c:pt>
                <c:pt idx="8">
                  <c:v>4.6189999999999998E-3</c:v>
                </c:pt>
                <c:pt idx="9">
                  <c:v>4.2690000000000002E-3</c:v>
                </c:pt>
                <c:pt idx="10">
                  <c:v>4.1809999999999998E-3</c:v>
                </c:pt>
                <c:pt idx="11">
                  <c:v>4.2259999999999997E-3</c:v>
                </c:pt>
                <c:pt idx="12">
                  <c:v>4.555E-3</c:v>
                </c:pt>
                <c:pt idx="13">
                  <c:v>5.3819999999999996E-3</c:v>
                </c:pt>
                <c:pt idx="14">
                  <c:v>6.326E-3</c:v>
                </c:pt>
                <c:pt idx="15">
                  <c:v>7.143E-3</c:v>
                </c:pt>
                <c:pt idx="16">
                  <c:v>7.8410000000000007E-3</c:v>
                </c:pt>
                <c:pt idx="17">
                  <c:v>8.4720000000000004E-3</c:v>
                </c:pt>
                <c:pt idx="18">
                  <c:v>9.025E-3</c:v>
                </c:pt>
                <c:pt idx="19">
                  <c:v>9.554E-3</c:v>
                </c:pt>
                <c:pt idx="20">
                  <c:v>1.0137E-2</c:v>
                </c:pt>
                <c:pt idx="21">
                  <c:v>1.0717000000000001E-2</c:v>
                </c:pt>
                <c:pt idx="22">
                  <c:v>1.1381E-2</c:v>
                </c:pt>
                <c:pt idx="23">
                  <c:v>1.1984E-2</c:v>
                </c:pt>
                <c:pt idx="24">
                  <c:v>1.261E-2</c:v>
                </c:pt>
                <c:pt idx="25">
                  <c:v>1.3245E-2</c:v>
                </c:pt>
                <c:pt idx="26">
                  <c:v>1.3929E-2</c:v>
                </c:pt>
                <c:pt idx="27">
                  <c:v>1.464E-2</c:v>
                </c:pt>
                <c:pt idx="28">
                  <c:v>1.541E-2</c:v>
                </c:pt>
                <c:pt idx="29">
                  <c:v>1.6239E-2</c:v>
                </c:pt>
                <c:pt idx="30">
                  <c:v>1.7131E-2</c:v>
                </c:pt>
                <c:pt idx="31">
                  <c:v>1.8110000000000001E-2</c:v>
                </c:pt>
                <c:pt idx="32">
                  <c:v>1.9141999999999999E-2</c:v>
                </c:pt>
                <c:pt idx="33">
                  <c:v>2.0205999999999998E-2</c:v>
                </c:pt>
                <c:pt idx="34">
                  <c:v>2.1314E-2</c:v>
                </c:pt>
                <c:pt idx="35">
                  <c:v>2.2540000000000001E-2</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2"/>
          <c:order val="2"/>
          <c:tx>
            <c:v>Parasite</c:v>
          </c:tx>
          <c:xVal>
            <c:numRef>
              <c:f>'Drag Polar Clean'!$N$12:$N$47</c:f>
              <c:numCache>
                <c:formatCode>General</c:formatCode>
                <c:ptCount val="36"/>
                <c:pt idx="0">
                  <c:v>1.4679773889911315E-2</c:v>
                </c:pt>
                <c:pt idx="1">
                  <c:v>1.4679773889911315E-2</c:v>
                </c:pt>
                <c:pt idx="2">
                  <c:v>1.4679773889911315E-2</c:v>
                </c:pt>
                <c:pt idx="3">
                  <c:v>1.4679773889911315E-2</c:v>
                </c:pt>
                <c:pt idx="4">
                  <c:v>1.4679773889911315E-2</c:v>
                </c:pt>
                <c:pt idx="5">
                  <c:v>1.4679773889911315E-2</c:v>
                </c:pt>
                <c:pt idx="6">
                  <c:v>1.4679773889911315E-2</c:v>
                </c:pt>
                <c:pt idx="7">
                  <c:v>1.4679773889911315E-2</c:v>
                </c:pt>
                <c:pt idx="8">
                  <c:v>1.4679773889911315E-2</c:v>
                </c:pt>
                <c:pt idx="9">
                  <c:v>1.4679773889911315E-2</c:v>
                </c:pt>
                <c:pt idx="10">
                  <c:v>1.4679773889911315E-2</c:v>
                </c:pt>
                <c:pt idx="11">
                  <c:v>1.4679773889911315E-2</c:v>
                </c:pt>
                <c:pt idx="12">
                  <c:v>1.4679773889911315E-2</c:v>
                </c:pt>
                <c:pt idx="13">
                  <c:v>1.4679773889911315E-2</c:v>
                </c:pt>
                <c:pt idx="14">
                  <c:v>1.4679773889911315E-2</c:v>
                </c:pt>
                <c:pt idx="15">
                  <c:v>1.4679773889911315E-2</c:v>
                </c:pt>
                <c:pt idx="16">
                  <c:v>1.4679773889911315E-2</c:v>
                </c:pt>
                <c:pt idx="17">
                  <c:v>1.4679773889911315E-2</c:v>
                </c:pt>
                <c:pt idx="18">
                  <c:v>1.4679773889911315E-2</c:v>
                </c:pt>
                <c:pt idx="19">
                  <c:v>1.4679773889911315E-2</c:v>
                </c:pt>
                <c:pt idx="20">
                  <c:v>1.4679773889911315E-2</c:v>
                </c:pt>
                <c:pt idx="21">
                  <c:v>1.4679773889911315E-2</c:v>
                </c:pt>
                <c:pt idx="22">
                  <c:v>1.4679773889911315E-2</c:v>
                </c:pt>
                <c:pt idx="23">
                  <c:v>1.4679773889911315E-2</c:v>
                </c:pt>
                <c:pt idx="24">
                  <c:v>1.4679773889911315E-2</c:v>
                </c:pt>
                <c:pt idx="25">
                  <c:v>1.4679773889911315E-2</c:v>
                </c:pt>
                <c:pt idx="26">
                  <c:v>1.4679773889911315E-2</c:v>
                </c:pt>
                <c:pt idx="27">
                  <c:v>1.4679773889911315E-2</c:v>
                </c:pt>
                <c:pt idx="28">
                  <c:v>1.4679773889911315E-2</c:v>
                </c:pt>
                <c:pt idx="29">
                  <c:v>1.4679773889911315E-2</c:v>
                </c:pt>
                <c:pt idx="30">
                  <c:v>1.4679773889911315E-2</c:v>
                </c:pt>
                <c:pt idx="31">
                  <c:v>1.4679773889911315E-2</c:v>
                </c:pt>
                <c:pt idx="32">
                  <c:v>1.4679773889911315E-2</c:v>
                </c:pt>
                <c:pt idx="33">
                  <c:v>1.4679773889911315E-2</c:v>
                </c:pt>
                <c:pt idx="34">
                  <c:v>1.4679773889911315E-2</c:v>
                </c:pt>
                <c:pt idx="35">
                  <c:v>1.4679773889911315E-2</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4"/>
          <c:order val="3"/>
          <c:tx>
            <c:v>Cooling</c:v>
          </c:tx>
          <c:xVal>
            <c:numRef>
              <c:f>'Drag Polar Clean'!$O$12:$O$47</c:f>
              <c:numCache>
                <c:formatCode>0.000000</c:formatCode>
                <c:ptCount val="36"/>
                <c:pt idx="0">
                  <c:v>2.725549506683393E-3</c:v>
                </c:pt>
                <c:pt idx="1">
                  <c:v>2.725549506683393E-3</c:v>
                </c:pt>
                <c:pt idx="2">
                  <c:v>2.725549506683393E-3</c:v>
                </c:pt>
                <c:pt idx="3">
                  <c:v>2.725549506683393E-3</c:v>
                </c:pt>
                <c:pt idx="4">
                  <c:v>2.725549506683393E-3</c:v>
                </c:pt>
                <c:pt idx="5">
                  <c:v>2.725549506683393E-3</c:v>
                </c:pt>
                <c:pt idx="6">
                  <c:v>2.725549506683393E-3</c:v>
                </c:pt>
                <c:pt idx="7">
                  <c:v>2.725549506683393E-3</c:v>
                </c:pt>
                <c:pt idx="8">
                  <c:v>2.725549506683393E-3</c:v>
                </c:pt>
                <c:pt idx="9">
                  <c:v>2.725549506683393E-3</c:v>
                </c:pt>
                <c:pt idx="10">
                  <c:v>2.725549506683393E-3</c:v>
                </c:pt>
                <c:pt idx="11">
                  <c:v>2.725549506683393E-3</c:v>
                </c:pt>
                <c:pt idx="12">
                  <c:v>2.725549506683393E-3</c:v>
                </c:pt>
                <c:pt idx="13">
                  <c:v>2.725549506683393E-3</c:v>
                </c:pt>
                <c:pt idx="14">
                  <c:v>2.725549506683393E-3</c:v>
                </c:pt>
                <c:pt idx="15">
                  <c:v>2.725549506683393E-3</c:v>
                </c:pt>
                <c:pt idx="16">
                  <c:v>2.725549506683393E-3</c:v>
                </c:pt>
                <c:pt idx="17">
                  <c:v>2.725549506683393E-3</c:v>
                </c:pt>
                <c:pt idx="18">
                  <c:v>2.725549506683393E-3</c:v>
                </c:pt>
                <c:pt idx="19">
                  <c:v>2.725549506683393E-3</c:v>
                </c:pt>
                <c:pt idx="20">
                  <c:v>2.725549506683393E-3</c:v>
                </c:pt>
                <c:pt idx="21">
                  <c:v>2.725549506683393E-3</c:v>
                </c:pt>
                <c:pt idx="22">
                  <c:v>2.725549506683393E-3</c:v>
                </c:pt>
                <c:pt idx="23">
                  <c:v>2.725549506683393E-3</c:v>
                </c:pt>
                <c:pt idx="24">
                  <c:v>2.725549506683393E-3</c:v>
                </c:pt>
                <c:pt idx="25">
                  <c:v>2.725549506683393E-3</c:v>
                </c:pt>
                <c:pt idx="26">
                  <c:v>2.725549506683393E-3</c:v>
                </c:pt>
                <c:pt idx="27">
                  <c:v>2.725549506683393E-3</c:v>
                </c:pt>
                <c:pt idx="28">
                  <c:v>2.725549506683393E-3</c:v>
                </c:pt>
                <c:pt idx="29">
                  <c:v>2.725549506683393E-3</c:v>
                </c:pt>
                <c:pt idx="30">
                  <c:v>2.725549506683393E-3</c:v>
                </c:pt>
                <c:pt idx="31">
                  <c:v>2.725549506683393E-3</c:v>
                </c:pt>
                <c:pt idx="32">
                  <c:v>2.725549506683393E-3</c:v>
                </c:pt>
                <c:pt idx="33">
                  <c:v>2.725549506683393E-3</c:v>
                </c:pt>
                <c:pt idx="34">
                  <c:v>2.725549506683393E-3</c:v>
                </c:pt>
                <c:pt idx="35">
                  <c:v>2.725549506683393E-3</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3"/>
          <c:order val="4"/>
          <c:tx>
            <c:v>Total</c:v>
          </c:tx>
          <c:xVal>
            <c:numRef>
              <c:f>'Drag Polar Clean'!$P$12:$P$47</c:f>
              <c:numCache>
                <c:formatCode>General</c:formatCode>
                <c:ptCount val="36"/>
                <c:pt idx="0">
                  <c:v>2.6019323396594709E-2</c:v>
                </c:pt>
                <c:pt idx="1">
                  <c:v>2.546532339659471E-2</c:v>
                </c:pt>
                <c:pt idx="2">
                  <c:v>2.5069323396594709E-2</c:v>
                </c:pt>
                <c:pt idx="3">
                  <c:v>2.4828323396594708E-2</c:v>
                </c:pt>
                <c:pt idx="4">
                  <c:v>2.4711323396594709E-2</c:v>
                </c:pt>
                <c:pt idx="5">
                  <c:v>2.473032339659471E-2</c:v>
                </c:pt>
                <c:pt idx="6">
                  <c:v>2.478532339659471E-2</c:v>
                </c:pt>
                <c:pt idx="7">
                  <c:v>2.4846323396594708E-2</c:v>
                </c:pt>
                <c:pt idx="8">
                  <c:v>2.4749323396594709E-2</c:v>
                </c:pt>
                <c:pt idx="9">
                  <c:v>2.5324323396594708E-2</c:v>
                </c:pt>
                <c:pt idx="10">
                  <c:v>2.6319323396594711E-2</c:v>
                </c:pt>
                <c:pt idx="11">
                  <c:v>2.760532339659471E-2</c:v>
                </c:pt>
                <c:pt idx="12">
                  <c:v>2.9334323396594707E-2</c:v>
                </c:pt>
                <c:pt idx="13">
                  <c:v>3.1721323396594704E-2</c:v>
                </c:pt>
                <c:pt idx="14">
                  <c:v>3.4382323396594701E-2</c:v>
                </c:pt>
                <c:pt idx="15">
                  <c:v>3.7075323396594702E-2</c:v>
                </c:pt>
                <c:pt idx="16">
                  <c:v>3.9812323396594705E-2</c:v>
                </c:pt>
                <c:pt idx="17">
                  <c:v>4.2649323396594704E-2</c:v>
                </c:pt>
                <c:pt idx="18">
                  <c:v>4.5604323396594704E-2</c:v>
                </c:pt>
                <c:pt idx="19">
                  <c:v>4.8851323396594711E-2</c:v>
                </c:pt>
                <c:pt idx="20">
                  <c:v>5.39193233965947E-2</c:v>
                </c:pt>
                <c:pt idx="21">
                  <c:v>5.2734323396594708E-2</c:v>
                </c:pt>
                <c:pt idx="22">
                  <c:v>5.90543233965947E-2</c:v>
                </c:pt>
                <c:pt idx="23">
                  <c:v>6.7059323396594706E-2</c:v>
                </c:pt>
                <c:pt idx="24">
                  <c:v>6.5805323396594714E-2</c:v>
                </c:pt>
                <c:pt idx="25">
                  <c:v>7.1572323396594709E-2</c:v>
                </c:pt>
                <c:pt idx="26">
                  <c:v>7.4975323396594712E-2</c:v>
                </c:pt>
                <c:pt idx="27">
                  <c:v>7.9513323396594712E-2</c:v>
                </c:pt>
                <c:pt idx="28">
                  <c:v>8.4220323396594715E-2</c:v>
                </c:pt>
                <c:pt idx="29">
                  <c:v>8.9237323396594709E-2</c:v>
                </c:pt>
                <c:pt idx="30">
                  <c:v>9.4423323396594719E-2</c:v>
                </c:pt>
                <c:pt idx="31">
                  <c:v>9.9843323396594713E-2</c:v>
                </c:pt>
                <c:pt idx="32">
                  <c:v>0.10546832339659472</c:v>
                </c:pt>
                <c:pt idx="33">
                  <c:v>0.11127932339659471</c:v>
                </c:pt>
                <c:pt idx="34">
                  <c:v>0.11728632339659471</c:v>
                </c:pt>
                <c:pt idx="35">
                  <c:v>0.12356532339659472</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5"/>
          <c:tx>
            <c:v>Analytical</c:v>
          </c:tx>
          <c:spPr>
            <a:ln>
              <a:prstDash val="dash"/>
            </a:ln>
          </c:spPr>
          <c:marker>
            <c:symbol val="none"/>
          </c:marker>
          <c:xVal>
            <c:numRef>
              <c:f>'Drag Polar Clean'!$T$12:$T$47</c:f>
              <c:numCache>
                <c:formatCode>General</c:formatCode>
                <c:ptCount val="36"/>
                <c:pt idx="0">
                  <c:v>2.2811160289377325E-2</c:v>
                </c:pt>
                <c:pt idx="1">
                  <c:v>2.2093206945901538E-2</c:v>
                </c:pt>
                <c:pt idx="2">
                  <c:v>2.1584832310327116E-2</c:v>
                </c:pt>
                <c:pt idx="3">
                  <c:v>2.1285937671217541E-2</c:v>
                </c:pt>
                <c:pt idx="4">
                  <c:v>2.1196406300879034E-2</c:v>
                </c:pt>
                <c:pt idx="5">
                  <c:v>2.1316071420504588E-2</c:v>
                </c:pt>
                <c:pt idx="6">
                  <c:v>2.1644739722383774E-2</c:v>
                </c:pt>
                <c:pt idx="7">
                  <c:v>2.2182192931933641E-2</c:v>
                </c:pt>
                <c:pt idx="8">
                  <c:v>2.2928160956688558E-2</c:v>
                </c:pt>
                <c:pt idx="9">
                  <c:v>2.3882365890545373E-2</c:v>
                </c:pt>
                <c:pt idx="10">
                  <c:v>2.5044486928167995E-2</c:v>
                </c:pt>
                <c:pt idx="11">
                  <c:v>2.641416926108988E-2</c:v>
                </c:pt>
                <c:pt idx="12">
                  <c:v>2.799102411966245E-2</c:v>
                </c:pt>
                <c:pt idx="13">
                  <c:v>2.9774667541154792E-2</c:v>
                </c:pt>
                <c:pt idx="14">
                  <c:v>3.1764569785049712E-2</c:v>
                </c:pt>
                <c:pt idx="15">
                  <c:v>3.3960322181409257E-2</c:v>
                </c:pt>
                <c:pt idx="16">
                  <c:v>3.636131038848394E-2</c:v>
                </c:pt>
                <c:pt idx="17">
                  <c:v>3.8967075294404421E-2</c:v>
                </c:pt>
                <c:pt idx="18">
                  <c:v>4.1777218104656108E-2</c:v>
                </c:pt>
                <c:pt idx="19">
                  <c:v>4.4792834402480039E-2</c:v>
                </c:pt>
                <c:pt idx="20">
                  <c:v>4.8063306738476516E-2</c:v>
                </c:pt>
                <c:pt idx="21">
                  <c:v>5.1333070825697186E-2</c:v>
                </c:pt>
                <c:pt idx="22">
                  <c:v>5.505104362734569E-2</c:v>
                </c:pt>
                <c:pt idx="23">
                  <c:v>5.8739282402115706E-2</c:v>
                </c:pt>
                <c:pt idx="24">
                  <c:v>6.2937610858199114E-2</c:v>
                </c:pt>
                <c:pt idx="25">
                  <c:v>6.7098818832099644E-2</c:v>
                </c:pt>
                <c:pt idx="26">
                  <c:v>7.1651440268300517E-2</c:v>
                </c:pt>
                <c:pt idx="27">
                  <c:v>7.6462514745680318E-2</c:v>
                </c:pt>
                <c:pt idx="28">
                  <c:v>8.1378330534642274E-2</c:v>
                </c:pt>
                <c:pt idx="29">
                  <c:v>8.6586490636508015E-2</c:v>
                </c:pt>
                <c:pt idx="30">
                  <c:v>9.1960475061577812E-2</c:v>
                </c:pt>
                <c:pt idx="31">
                  <c:v>9.7538449104840996E-2</c:v>
                </c:pt>
                <c:pt idx="32">
                  <c:v>0.10332392981347119</c:v>
                </c:pt>
                <c:pt idx="33">
                  <c:v>0.10931883690406885</c:v>
                </c:pt>
                <c:pt idx="34">
                  <c:v>0.1155232338698992</c:v>
                </c:pt>
                <c:pt idx="35">
                  <c:v>0.12193695321981858</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dLbls>
          <c:showLegendKey val="0"/>
          <c:showVal val="0"/>
          <c:showCatName val="0"/>
          <c:showSerName val="0"/>
          <c:showPercent val="0"/>
          <c:showBubbleSize val="0"/>
        </c:dLbls>
        <c:axId val="135722496"/>
        <c:axId val="135724416"/>
      </c:scatterChart>
      <c:valAx>
        <c:axId val="135722496"/>
        <c:scaling>
          <c:orientation val="minMax"/>
        </c:scaling>
        <c:delete val="0"/>
        <c:axPos val="b"/>
        <c:title>
          <c:tx>
            <c:rich>
              <a:bodyPr/>
              <a:lstStyle/>
              <a:p>
                <a:pPr>
                  <a:defRPr/>
                </a:pPr>
                <a:r>
                  <a:rPr lang="en-US" sz="1400"/>
                  <a:t>Drag Coefficient</a:t>
                </a:r>
              </a:p>
            </c:rich>
          </c:tx>
          <c:layout/>
          <c:overlay val="0"/>
        </c:title>
        <c:numFmt formatCode="General" sourceLinked="1"/>
        <c:majorTickMark val="out"/>
        <c:minorTickMark val="none"/>
        <c:tickLblPos val="nextTo"/>
        <c:crossAx val="135724416"/>
        <c:crosses val="autoZero"/>
        <c:crossBetween val="midCat"/>
      </c:valAx>
      <c:valAx>
        <c:axId val="135724416"/>
        <c:scaling>
          <c:orientation val="minMax"/>
          <c:max val="2"/>
        </c:scaling>
        <c:delete val="0"/>
        <c:axPos val="l"/>
        <c:majorGridlines/>
        <c:title>
          <c:tx>
            <c:rich>
              <a:bodyPr rot="-5400000" vert="horz"/>
              <a:lstStyle/>
              <a:p>
                <a:pPr>
                  <a:defRPr/>
                </a:pPr>
                <a:r>
                  <a:rPr lang="en-US" sz="1400"/>
                  <a:t>Lift Coefficient</a:t>
                </a:r>
              </a:p>
            </c:rich>
          </c:tx>
          <c:layout/>
          <c:overlay val="0"/>
        </c:title>
        <c:numFmt formatCode="General" sourceLinked="1"/>
        <c:majorTickMark val="out"/>
        <c:minorTickMark val="none"/>
        <c:tickLblPos val="nextTo"/>
        <c:crossAx val="135722496"/>
        <c:crosses val="autoZero"/>
        <c:crossBetween val="midCat"/>
      </c:valAx>
    </c:plotArea>
    <c:legend>
      <c:legendPos val="r"/>
      <c:legendEntry>
        <c:idx val="0"/>
        <c:txPr>
          <a:bodyPr/>
          <a:lstStyle/>
          <a:p>
            <a:pPr>
              <a:defRPr sz="1200"/>
            </a:pPr>
            <a:endParaRPr lang="en-US"/>
          </a:p>
        </c:txPr>
      </c:legendEntry>
      <c:legendEntry>
        <c:idx val="2"/>
        <c:txPr>
          <a:bodyPr/>
          <a:lstStyle/>
          <a:p>
            <a:pPr>
              <a:defRPr sz="1200"/>
            </a:pPr>
            <a:endParaRPr lang="en-US"/>
          </a:p>
        </c:txPr>
      </c:legendEntry>
      <c:legendEntry>
        <c:idx val="4"/>
        <c:txPr>
          <a:bodyPr/>
          <a:lstStyle/>
          <a:p>
            <a:pPr>
              <a:defRPr sz="1200"/>
            </a:pPr>
            <a:endParaRPr lang="en-US"/>
          </a:p>
        </c:txPr>
      </c:legendEntry>
      <c:layout>
        <c:manualLayout>
          <c:xMode val="edge"/>
          <c:yMode val="edge"/>
          <c:x val="0.78747982564960362"/>
          <c:y val="0.30789055477654331"/>
          <c:w val="0.169695052673762"/>
          <c:h val="0.44939273001833679"/>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Lift Curve</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693"/>
          <c:h val="0.71284909934204488"/>
        </c:manualLayout>
      </c:layout>
      <c:scatterChart>
        <c:scatterStyle val="lineMarker"/>
        <c:varyColors val="0"/>
        <c:ser>
          <c:idx val="0"/>
          <c:order val="0"/>
          <c:tx>
            <c:v>Numerical</c:v>
          </c:tx>
          <c:xVal>
            <c:numRef>
              <c:f>'Drag Polar Clean'!$B$12:$B$47</c:f>
              <c:numCache>
                <c:formatCode>General</c:formatCode>
                <c:ptCount val="36"/>
                <c:pt idx="0">
                  <c:v>-2.5</c:v>
                </c:pt>
                <c:pt idx="1">
                  <c:v>-2</c:v>
                </c:pt>
                <c:pt idx="2">
                  <c:v>-1.5</c:v>
                </c:pt>
                <c:pt idx="3">
                  <c:v>-1</c:v>
                </c:pt>
                <c:pt idx="4">
                  <c:v>-0.5</c:v>
                </c:pt>
                <c:pt idx="5">
                  <c:v>0</c:v>
                </c:pt>
                <c:pt idx="6">
                  <c:v>0.5</c:v>
                </c:pt>
                <c:pt idx="7">
                  <c:v>1</c:v>
                </c:pt>
                <c:pt idx="8">
                  <c:v>1.5</c:v>
                </c:pt>
                <c:pt idx="9">
                  <c:v>2</c:v>
                </c:pt>
                <c:pt idx="10">
                  <c:v>2.5</c:v>
                </c:pt>
                <c:pt idx="11">
                  <c:v>3</c:v>
                </c:pt>
                <c:pt idx="12">
                  <c:v>3.5</c:v>
                </c:pt>
                <c:pt idx="13">
                  <c:v>4</c:v>
                </c:pt>
                <c:pt idx="14">
                  <c:v>4.5</c:v>
                </c:pt>
                <c:pt idx="15">
                  <c:v>5</c:v>
                </c:pt>
                <c:pt idx="16">
                  <c:v>5.5</c:v>
                </c:pt>
                <c:pt idx="17">
                  <c:v>6</c:v>
                </c:pt>
                <c:pt idx="18">
                  <c:v>6.5</c:v>
                </c:pt>
                <c:pt idx="19">
                  <c:v>7</c:v>
                </c:pt>
                <c:pt idx="20">
                  <c:v>7.5</c:v>
                </c:pt>
                <c:pt idx="21">
                  <c:v>8</c:v>
                </c:pt>
                <c:pt idx="22">
                  <c:v>8.5</c:v>
                </c:pt>
                <c:pt idx="23">
                  <c:v>9</c:v>
                </c:pt>
                <c:pt idx="24">
                  <c:v>9.5</c:v>
                </c:pt>
                <c:pt idx="25">
                  <c:v>10</c:v>
                </c:pt>
                <c:pt idx="26">
                  <c:v>10.5</c:v>
                </c:pt>
                <c:pt idx="27">
                  <c:v>11</c:v>
                </c:pt>
                <c:pt idx="28">
                  <c:v>11.5</c:v>
                </c:pt>
                <c:pt idx="29">
                  <c:v>12</c:v>
                </c:pt>
                <c:pt idx="30">
                  <c:v>12.5</c:v>
                </c:pt>
                <c:pt idx="31">
                  <c:v>13</c:v>
                </c:pt>
                <c:pt idx="32">
                  <c:v>13.5</c:v>
                </c:pt>
                <c:pt idx="33">
                  <c:v>14</c:v>
                </c:pt>
                <c:pt idx="34">
                  <c:v>14.5</c:v>
                </c:pt>
                <c:pt idx="35">
                  <c:v>15</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1"/>
          <c:tx>
            <c:v>Analytical</c:v>
          </c:tx>
          <c:spPr>
            <a:ln>
              <a:prstDash val="dash"/>
            </a:ln>
          </c:spPr>
          <c:marker>
            <c:symbol val="none"/>
          </c:marker>
          <c:xVal>
            <c:numRef>
              <c:f>'Drag Polar Clean'!$B$12:$B$47</c:f>
              <c:numCache>
                <c:formatCode>General</c:formatCode>
                <c:ptCount val="36"/>
                <c:pt idx="0">
                  <c:v>-2.5</c:v>
                </c:pt>
                <c:pt idx="1">
                  <c:v>-2</c:v>
                </c:pt>
                <c:pt idx="2">
                  <c:v>-1.5</c:v>
                </c:pt>
                <c:pt idx="3">
                  <c:v>-1</c:v>
                </c:pt>
                <c:pt idx="4">
                  <c:v>-0.5</c:v>
                </c:pt>
                <c:pt idx="5">
                  <c:v>0</c:v>
                </c:pt>
                <c:pt idx="6">
                  <c:v>0.5</c:v>
                </c:pt>
                <c:pt idx="7">
                  <c:v>1</c:v>
                </c:pt>
                <c:pt idx="8">
                  <c:v>1.5</c:v>
                </c:pt>
                <c:pt idx="9">
                  <c:v>2</c:v>
                </c:pt>
                <c:pt idx="10">
                  <c:v>2.5</c:v>
                </c:pt>
                <c:pt idx="11">
                  <c:v>3</c:v>
                </c:pt>
                <c:pt idx="12">
                  <c:v>3.5</c:v>
                </c:pt>
                <c:pt idx="13">
                  <c:v>4</c:v>
                </c:pt>
                <c:pt idx="14">
                  <c:v>4.5</c:v>
                </c:pt>
                <c:pt idx="15">
                  <c:v>5</c:v>
                </c:pt>
                <c:pt idx="16">
                  <c:v>5.5</c:v>
                </c:pt>
                <c:pt idx="17">
                  <c:v>6</c:v>
                </c:pt>
                <c:pt idx="18">
                  <c:v>6.5</c:v>
                </c:pt>
                <c:pt idx="19">
                  <c:v>7</c:v>
                </c:pt>
                <c:pt idx="20">
                  <c:v>7.5</c:v>
                </c:pt>
                <c:pt idx="21">
                  <c:v>8</c:v>
                </c:pt>
                <c:pt idx="22">
                  <c:v>8.5</c:v>
                </c:pt>
                <c:pt idx="23">
                  <c:v>9</c:v>
                </c:pt>
                <c:pt idx="24">
                  <c:v>9.5</c:v>
                </c:pt>
                <c:pt idx="25">
                  <c:v>10</c:v>
                </c:pt>
                <c:pt idx="26">
                  <c:v>10.5</c:v>
                </c:pt>
                <c:pt idx="27">
                  <c:v>11</c:v>
                </c:pt>
                <c:pt idx="28">
                  <c:v>11.5</c:v>
                </c:pt>
                <c:pt idx="29">
                  <c:v>12</c:v>
                </c:pt>
                <c:pt idx="30">
                  <c:v>12.5</c:v>
                </c:pt>
                <c:pt idx="31">
                  <c:v>13</c:v>
                </c:pt>
                <c:pt idx="32">
                  <c:v>13.5</c:v>
                </c:pt>
                <c:pt idx="33">
                  <c:v>14</c:v>
                </c:pt>
                <c:pt idx="34">
                  <c:v>14.5</c:v>
                </c:pt>
                <c:pt idx="35">
                  <c:v>15</c:v>
                </c:pt>
              </c:numCache>
            </c:numRef>
          </c:xVal>
          <c:yVal>
            <c:numRef>
              <c:f>'Drag Polar Clean'!$Y$12:$Y$47</c:f>
              <c:numCache>
                <c:formatCode>General</c:formatCode>
                <c:ptCount val="36"/>
                <c:pt idx="0">
                  <c:v>-0.1003</c:v>
                </c:pt>
                <c:pt idx="1">
                  <c:v>-5.1300000000000012E-2</c:v>
                </c:pt>
                <c:pt idx="2">
                  <c:v>-2.3000000000000242E-3</c:v>
                </c:pt>
                <c:pt idx="3">
                  <c:v>4.6699999999999992E-2</c:v>
                </c:pt>
                <c:pt idx="4">
                  <c:v>9.5699999999999993E-2</c:v>
                </c:pt>
                <c:pt idx="5">
                  <c:v>0.1447</c:v>
                </c:pt>
                <c:pt idx="6">
                  <c:v>0.19369999999999998</c:v>
                </c:pt>
                <c:pt idx="7">
                  <c:v>0.2427</c:v>
                </c:pt>
                <c:pt idx="8">
                  <c:v>0.29170000000000001</c:v>
                </c:pt>
                <c:pt idx="9">
                  <c:v>0.3407</c:v>
                </c:pt>
                <c:pt idx="10">
                  <c:v>0.38969999999999999</c:v>
                </c:pt>
                <c:pt idx="11">
                  <c:v>0.43870000000000003</c:v>
                </c:pt>
                <c:pt idx="12">
                  <c:v>0.48770000000000002</c:v>
                </c:pt>
                <c:pt idx="13">
                  <c:v>0.53669999999999995</c:v>
                </c:pt>
                <c:pt idx="14">
                  <c:v>0.5857</c:v>
                </c:pt>
                <c:pt idx="15">
                  <c:v>0.63470000000000004</c:v>
                </c:pt>
                <c:pt idx="16">
                  <c:v>0.68369999999999997</c:v>
                </c:pt>
                <c:pt idx="17">
                  <c:v>0.73270000000000013</c:v>
                </c:pt>
                <c:pt idx="18">
                  <c:v>0.78170000000000006</c:v>
                </c:pt>
                <c:pt idx="19">
                  <c:v>0.83069999999999999</c:v>
                </c:pt>
                <c:pt idx="20">
                  <c:v>0.87969999999999993</c:v>
                </c:pt>
                <c:pt idx="21">
                  <c:v>0.92870000000000008</c:v>
                </c:pt>
                <c:pt idx="22">
                  <c:v>0.97770000000000001</c:v>
                </c:pt>
                <c:pt idx="23">
                  <c:v>1.0266999999999999</c:v>
                </c:pt>
                <c:pt idx="24">
                  <c:v>1.0757000000000001</c:v>
                </c:pt>
                <c:pt idx="25">
                  <c:v>1.1247</c:v>
                </c:pt>
                <c:pt idx="26">
                  <c:v>1.1737000000000002</c:v>
                </c:pt>
                <c:pt idx="27">
                  <c:v>1.2227000000000001</c:v>
                </c:pt>
                <c:pt idx="28">
                  <c:v>1.2717000000000001</c:v>
                </c:pt>
                <c:pt idx="29">
                  <c:v>1.3207000000000002</c:v>
                </c:pt>
                <c:pt idx="30">
                  <c:v>1.3697000000000001</c:v>
                </c:pt>
                <c:pt idx="31">
                  <c:v>1.4187000000000001</c:v>
                </c:pt>
                <c:pt idx="32">
                  <c:v>1.4677</c:v>
                </c:pt>
                <c:pt idx="33">
                  <c:v>1.5167000000000002</c:v>
                </c:pt>
                <c:pt idx="34">
                  <c:v>1.5657000000000001</c:v>
                </c:pt>
                <c:pt idx="35">
                  <c:v>1.6147</c:v>
                </c:pt>
              </c:numCache>
            </c:numRef>
          </c:yVal>
          <c:smooth val="0"/>
        </c:ser>
        <c:ser>
          <c:idx val="1"/>
          <c:order val="2"/>
          <c:tx>
            <c:v>CL_max</c:v>
          </c:tx>
          <c:marker>
            <c:symbol val="none"/>
          </c:marker>
          <c:xVal>
            <c:numRef>
              <c:f>'Drag Polar Clean'!$B$49:$B$50</c:f>
              <c:numCache>
                <c:formatCode>General</c:formatCode>
                <c:ptCount val="2"/>
                <c:pt idx="0">
                  <c:v>-2.5</c:v>
                </c:pt>
                <c:pt idx="1">
                  <c:v>15</c:v>
                </c:pt>
              </c:numCache>
            </c:numRef>
          </c:xVal>
          <c:yVal>
            <c:numRef>
              <c:f>('Drag Polar Clean'!$B$8,'Drag Polar Clean'!$B$8)</c:f>
              <c:numCache>
                <c:formatCode>General</c:formatCode>
                <c:ptCount val="2"/>
                <c:pt idx="0">
                  <c:v>1.5</c:v>
                </c:pt>
                <c:pt idx="1">
                  <c:v>1.5</c:v>
                </c:pt>
              </c:numCache>
            </c:numRef>
          </c:yVal>
          <c:smooth val="0"/>
        </c:ser>
        <c:dLbls>
          <c:showLegendKey val="0"/>
          <c:showVal val="0"/>
          <c:showCatName val="0"/>
          <c:showSerName val="0"/>
          <c:showPercent val="0"/>
          <c:showBubbleSize val="0"/>
        </c:dLbls>
        <c:axId val="183466624"/>
        <c:axId val="183472896"/>
      </c:scatterChart>
      <c:valAx>
        <c:axId val="183466624"/>
        <c:scaling>
          <c:orientation val="minMax"/>
        </c:scaling>
        <c:delete val="0"/>
        <c:axPos val="b"/>
        <c:title>
          <c:tx>
            <c:rich>
              <a:bodyPr/>
              <a:lstStyle/>
              <a:p>
                <a:pPr>
                  <a:defRPr/>
                </a:pPr>
                <a:r>
                  <a:rPr lang="en-US" sz="1400"/>
                  <a:t>Angle of Attack (degrees)</a:t>
                </a:r>
              </a:p>
            </c:rich>
          </c:tx>
          <c:overlay val="0"/>
        </c:title>
        <c:numFmt formatCode="General" sourceLinked="1"/>
        <c:majorTickMark val="out"/>
        <c:minorTickMark val="none"/>
        <c:tickLblPos val="nextTo"/>
        <c:crossAx val="183472896"/>
        <c:crosses val="autoZero"/>
        <c:crossBetween val="midCat"/>
      </c:valAx>
      <c:valAx>
        <c:axId val="183472896"/>
        <c:scaling>
          <c:orientation val="minMax"/>
        </c:scaling>
        <c:delete val="0"/>
        <c:axPos val="l"/>
        <c:majorGridlines/>
        <c:title>
          <c:tx>
            <c:rich>
              <a:bodyPr rot="-5400000" vert="horz"/>
              <a:lstStyle/>
              <a:p>
                <a:pPr>
                  <a:defRPr/>
                </a:pPr>
                <a:r>
                  <a:rPr lang="en-US" sz="1400"/>
                  <a:t>Lift Coefficient</a:t>
                </a:r>
              </a:p>
            </c:rich>
          </c:tx>
          <c:overlay val="0"/>
        </c:title>
        <c:numFmt formatCode="General" sourceLinked="1"/>
        <c:majorTickMark val="out"/>
        <c:minorTickMark val="none"/>
        <c:tickLblPos val="nextTo"/>
        <c:crossAx val="183466624"/>
        <c:crosses val="autoZero"/>
        <c:crossBetween val="midCat"/>
      </c:valAx>
    </c:plotArea>
    <c:legend>
      <c:legendPos val="r"/>
      <c:legendEntry>
        <c:idx val="0"/>
        <c:txPr>
          <a:bodyPr/>
          <a:lstStyle/>
          <a:p>
            <a:pPr>
              <a:defRPr sz="1200"/>
            </a:pPr>
            <a:endParaRPr lang="en-US"/>
          </a:p>
        </c:txPr>
      </c:legendEntry>
      <c:layout>
        <c:manualLayout>
          <c:xMode val="edge"/>
          <c:yMode val="edge"/>
          <c:x val="0.7724986240481877"/>
          <c:y val="0.36268507532449973"/>
          <c:w val="0.17111447281263023"/>
          <c:h val="0.22469636500916801"/>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Moment Curve</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693"/>
          <c:h val="0.71284909934204488"/>
        </c:manualLayout>
      </c:layout>
      <c:scatterChart>
        <c:scatterStyle val="lineMarker"/>
        <c:varyColors val="0"/>
        <c:ser>
          <c:idx val="0"/>
          <c:order val="0"/>
          <c:tx>
            <c:v>Numerical</c:v>
          </c:tx>
          <c:xVal>
            <c:numRef>
              <c:f>'Drag Polar Clean'!$B$12:$B$47</c:f>
              <c:numCache>
                <c:formatCode>General</c:formatCode>
                <c:ptCount val="36"/>
                <c:pt idx="0">
                  <c:v>-2.5</c:v>
                </c:pt>
                <c:pt idx="1">
                  <c:v>-2</c:v>
                </c:pt>
                <c:pt idx="2">
                  <c:v>-1.5</c:v>
                </c:pt>
                <c:pt idx="3">
                  <c:v>-1</c:v>
                </c:pt>
                <c:pt idx="4">
                  <c:v>-0.5</c:v>
                </c:pt>
                <c:pt idx="5">
                  <c:v>0</c:v>
                </c:pt>
                <c:pt idx="6">
                  <c:v>0.5</c:v>
                </c:pt>
                <c:pt idx="7">
                  <c:v>1</c:v>
                </c:pt>
                <c:pt idx="8">
                  <c:v>1.5</c:v>
                </c:pt>
                <c:pt idx="9">
                  <c:v>2</c:v>
                </c:pt>
                <c:pt idx="10">
                  <c:v>2.5</c:v>
                </c:pt>
                <c:pt idx="11">
                  <c:v>3</c:v>
                </c:pt>
                <c:pt idx="12">
                  <c:v>3.5</c:v>
                </c:pt>
                <c:pt idx="13">
                  <c:v>4</c:v>
                </c:pt>
                <c:pt idx="14">
                  <c:v>4.5</c:v>
                </c:pt>
                <c:pt idx="15">
                  <c:v>5</c:v>
                </c:pt>
                <c:pt idx="16">
                  <c:v>5.5</c:v>
                </c:pt>
                <c:pt idx="17">
                  <c:v>6</c:v>
                </c:pt>
                <c:pt idx="18">
                  <c:v>6.5</c:v>
                </c:pt>
                <c:pt idx="19">
                  <c:v>7</c:v>
                </c:pt>
                <c:pt idx="20">
                  <c:v>7.5</c:v>
                </c:pt>
                <c:pt idx="21">
                  <c:v>8</c:v>
                </c:pt>
                <c:pt idx="22">
                  <c:v>8.5</c:v>
                </c:pt>
                <c:pt idx="23">
                  <c:v>9</c:v>
                </c:pt>
                <c:pt idx="24">
                  <c:v>9.5</c:v>
                </c:pt>
                <c:pt idx="25">
                  <c:v>10</c:v>
                </c:pt>
                <c:pt idx="26">
                  <c:v>10.5</c:v>
                </c:pt>
                <c:pt idx="27">
                  <c:v>11</c:v>
                </c:pt>
                <c:pt idx="28">
                  <c:v>11.5</c:v>
                </c:pt>
                <c:pt idx="29">
                  <c:v>12</c:v>
                </c:pt>
                <c:pt idx="30">
                  <c:v>12.5</c:v>
                </c:pt>
                <c:pt idx="31">
                  <c:v>13</c:v>
                </c:pt>
                <c:pt idx="32">
                  <c:v>13.5</c:v>
                </c:pt>
                <c:pt idx="33">
                  <c:v>14</c:v>
                </c:pt>
                <c:pt idx="34">
                  <c:v>14.5</c:v>
                </c:pt>
                <c:pt idx="35">
                  <c:v>15</c:v>
                </c:pt>
              </c:numCache>
            </c:numRef>
          </c:xVal>
          <c:yVal>
            <c:numRef>
              <c:f>'Drag Polar Clean'!$H$12:$H$47</c:f>
              <c:numCache>
                <c:formatCode>General</c:formatCode>
                <c:ptCount val="36"/>
                <c:pt idx="0">
                  <c:v>0.131526</c:v>
                </c:pt>
                <c:pt idx="1">
                  <c:v>0.11279599999999999</c:v>
                </c:pt>
                <c:pt idx="2">
                  <c:v>9.4353999999999993E-2</c:v>
                </c:pt>
                <c:pt idx="3">
                  <c:v>7.6228000000000004E-2</c:v>
                </c:pt>
                <c:pt idx="4">
                  <c:v>5.8451000000000003E-2</c:v>
                </c:pt>
                <c:pt idx="5">
                  <c:v>4.1051999999999998E-2</c:v>
                </c:pt>
                <c:pt idx="6">
                  <c:v>2.4070999999999999E-2</c:v>
                </c:pt>
                <c:pt idx="7">
                  <c:v>7.5500000000000003E-3</c:v>
                </c:pt>
                <c:pt idx="8">
                  <c:v>-8.4510000000000002E-3</c:v>
                </c:pt>
                <c:pt idx="9">
                  <c:v>-2.4136999999999999E-2</c:v>
                </c:pt>
                <c:pt idx="10">
                  <c:v>-3.9383000000000001E-2</c:v>
                </c:pt>
                <c:pt idx="11">
                  <c:v>-5.4137999999999999E-2</c:v>
                </c:pt>
                <c:pt idx="12">
                  <c:v>-6.8432999999999994E-2</c:v>
                </c:pt>
                <c:pt idx="13">
                  <c:v>-8.2285999999999998E-2</c:v>
                </c:pt>
                <c:pt idx="14">
                  <c:v>-9.5568E-2</c:v>
                </c:pt>
                <c:pt idx="15">
                  <c:v>-0.108205</c:v>
                </c:pt>
                <c:pt idx="16">
                  <c:v>-0.12017799999999999</c:v>
                </c:pt>
                <c:pt idx="17">
                  <c:v>-0.13147900000000001</c:v>
                </c:pt>
                <c:pt idx="18">
                  <c:v>-0.142066</c:v>
                </c:pt>
                <c:pt idx="19">
                  <c:v>-0.151922</c:v>
                </c:pt>
                <c:pt idx="20">
                  <c:v>-0.16142000000000001</c:v>
                </c:pt>
                <c:pt idx="21">
                  <c:v>-0.17306099999999999</c:v>
                </c:pt>
                <c:pt idx="22">
                  <c:v>-0.182034</c:v>
                </c:pt>
                <c:pt idx="23">
                  <c:v>-0.18509900000000001</c:v>
                </c:pt>
                <c:pt idx="24">
                  <c:v>-0.19914399999999999</c:v>
                </c:pt>
                <c:pt idx="25">
                  <c:v>-0.201959</c:v>
                </c:pt>
                <c:pt idx="26">
                  <c:v>-0.21184600000000001</c:v>
                </c:pt>
                <c:pt idx="27">
                  <c:v>-0.222194</c:v>
                </c:pt>
                <c:pt idx="28">
                  <c:v>-0.228768</c:v>
                </c:pt>
                <c:pt idx="29">
                  <c:v>-0.23648</c:v>
                </c:pt>
                <c:pt idx="30">
                  <c:v>-0.242314</c:v>
                </c:pt>
                <c:pt idx="31">
                  <c:v>-0.24723700000000001</c:v>
                </c:pt>
                <c:pt idx="32">
                  <c:v>-0.25133299999999997</c:v>
                </c:pt>
                <c:pt idx="33">
                  <c:v>-0.25462299999999999</c:v>
                </c:pt>
                <c:pt idx="34">
                  <c:v>-0.25710300000000003</c:v>
                </c:pt>
                <c:pt idx="35">
                  <c:v>-0.258772</c:v>
                </c:pt>
              </c:numCache>
            </c:numRef>
          </c:yVal>
          <c:smooth val="0"/>
        </c:ser>
        <c:ser>
          <c:idx val="5"/>
          <c:order val="1"/>
          <c:tx>
            <c:v>Analytical</c:v>
          </c:tx>
          <c:spPr>
            <a:ln>
              <a:prstDash val="dash"/>
            </a:ln>
          </c:spPr>
          <c:marker>
            <c:symbol val="none"/>
          </c:marker>
          <c:xVal>
            <c:numRef>
              <c:f>'Drag Polar Clean'!$B$12:$B$47</c:f>
              <c:numCache>
                <c:formatCode>General</c:formatCode>
                <c:ptCount val="36"/>
                <c:pt idx="0">
                  <c:v>-2.5</c:v>
                </c:pt>
                <c:pt idx="1">
                  <c:v>-2</c:v>
                </c:pt>
                <c:pt idx="2">
                  <c:v>-1.5</c:v>
                </c:pt>
                <c:pt idx="3">
                  <c:v>-1</c:v>
                </c:pt>
                <c:pt idx="4">
                  <c:v>-0.5</c:v>
                </c:pt>
                <c:pt idx="5">
                  <c:v>0</c:v>
                </c:pt>
                <c:pt idx="6">
                  <c:v>0.5</c:v>
                </c:pt>
                <c:pt idx="7">
                  <c:v>1</c:v>
                </c:pt>
                <c:pt idx="8">
                  <c:v>1.5</c:v>
                </c:pt>
                <c:pt idx="9">
                  <c:v>2</c:v>
                </c:pt>
                <c:pt idx="10">
                  <c:v>2.5</c:v>
                </c:pt>
                <c:pt idx="11">
                  <c:v>3</c:v>
                </c:pt>
                <c:pt idx="12">
                  <c:v>3.5</c:v>
                </c:pt>
                <c:pt idx="13">
                  <c:v>4</c:v>
                </c:pt>
                <c:pt idx="14">
                  <c:v>4.5</c:v>
                </c:pt>
                <c:pt idx="15">
                  <c:v>5</c:v>
                </c:pt>
                <c:pt idx="16">
                  <c:v>5.5</c:v>
                </c:pt>
                <c:pt idx="17">
                  <c:v>6</c:v>
                </c:pt>
                <c:pt idx="18">
                  <c:v>6.5</c:v>
                </c:pt>
                <c:pt idx="19">
                  <c:v>7</c:v>
                </c:pt>
                <c:pt idx="20">
                  <c:v>7.5</c:v>
                </c:pt>
                <c:pt idx="21">
                  <c:v>8</c:v>
                </c:pt>
                <c:pt idx="22">
                  <c:v>8.5</c:v>
                </c:pt>
                <c:pt idx="23">
                  <c:v>9</c:v>
                </c:pt>
                <c:pt idx="24">
                  <c:v>9.5</c:v>
                </c:pt>
                <c:pt idx="25">
                  <c:v>10</c:v>
                </c:pt>
                <c:pt idx="26">
                  <c:v>10.5</c:v>
                </c:pt>
                <c:pt idx="27">
                  <c:v>11</c:v>
                </c:pt>
                <c:pt idx="28">
                  <c:v>11.5</c:v>
                </c:pt>
                <c:pt idx="29">
                  <c:v>12</c:v>
                </c:pt>
                <c:pt idx="30">
                  <c:v>12.5</c:v>
                </c:pt>
                <c:pt idx="31">
                  <c:v>13</c:v>
                </c:pt>
                <c:pt idx="32">
                  <c:v>13.5</c:v>
                </c:pt>
                <c:pt idx="33">
                  <c:v>14</c:v>
                </c:pt>
                <c:pt idx="34">
                  <c:v>14.5</c:v>
                </c:pt>
                <c:pt idx="35">
                  <c:v>15</c:v>
                </c:pt>
              </c:numCache>
            </c:numRef>
          </c:xVal>
          <c:yVal>
            <c:numRef>
              <c:f>'Drag Polar Clean'!$Z$12:$Z$47</c:f>
              <c:numCache>
                <c:formatCode>General</c:formatCode>
                <c:ptCount val="36"/>
                <c:pt idx="0">
                  <c:v>0.123552</c:v>
                </c:pt>
                <c:pt idx="1">
                  <c:v>0.10705200000000001</c:v>
                </c:pt>
                <c:pt idx="2">
                  <c:v>9.0551999999999994E-2</c:v>
                </c:pt>
                <c:pt idx="3">
                  <c:v>7.4052000000000007E-2</c:v>
                </c:pt>
                <c:pt idx="4">
                  <c:v>5.7551999999999999E-2</c:v>
                </c:pt>
                <c:pt idx="5">
                  <c:v>4.1051999999999998E-2</c:v>
                </c:pt>
                <c:pt idx="6">
                  <c:v>2.4551999999999997E-2</c:v>
                </c:pt>
                <c:pt idx="7">
                  <c:v>8.0519999999999967E-3</c:v>
                </c:pt>
                <c:pt idx="8">
                  <c:v>-8.4480000000000041E-3</c:v>
                </c:pt>
                <c:pt idx="9">
                  <c:v>-2.4948000000000005E-2</c:v>
                </c:pt>
                <c:pt idx="10">
                  <c:v>-4.1448000000000006E-2</c:v>
                </c:pt>
                <c:pt idx="11">
                  <c:v>-5.7948000000000006E-2</c:v>
                </c:pt>
                <c:pt idx="12">
                  <c:v>-7.4448000000000014E-2</c:v>
                </c:pt>
                <c:pt idx="13">
                  <c:v>-9.0948000000000001E-2</c:v>
                </c:pt>
                <c:pt idx="14">
                  <c:v>-0.10744800000000002</c:v>
                </c:pt>
                <c:pt idx="15">
                  <c:v>-0.123948</c:v>
                </c:pt>
                <c:pt idx="16">
                  <c:v>-0.14044799999999999</c:v>
                </c:pt>
                <c:pt idx="17">
                  <c:v>-0.156948</c:v>
                </c:pt>
                <c:pt idx="18">
                  <c:v>-0.17344800000000002</c:v>
                </c:pt>
                <c:pt idx="19">
                  <c:v>-0.18994800000000001</c:v>
                </c:pt>
                <c:pt idx="20">
                  <c:v>-0.20644799999999999</c:v>
                </c:pt>
                <c:pt idx="21">
                  <c:v>-0.22294800000000001</c:v>
                </c:pt>
                <c:pt idx="22">
                  <c:v>-0.23944800000000002</c:v>
                </c:pt>
                <c:pt idx="23">
                  <c:v>-0.25594800000000006</c:v>
                </c:pt>
                <c:pt idx="24">
                  <c:v>-0.27244800000000002</c:v>
                </c:pt>
                <c:pt idx="25">
                  <c:v>-0.28894800000000004</c:v>
                </c:pt>
                <c:pt idx="26">
                  <c:v>-0.30544800000000005</c:v>
                </c:pt>
                <c:pt idx="27">
                  <c:v>-0.32194800000000001</c:v>
                </c:pt>
                <c:pt idx="28">
                  <c:v>-0.33844800000000003</c:v>
                </c:pt>
                <c:pt idx="29">
                  <c:v>-0.35494800000000004</c:v>
                </c:pt>
                <c:pt idx="30">
                  <c:v>-0.37144800000000006</c:v>
                </c:pt>
                <c:pt idx="31">
                  <c:v>-0.38794800000000007</c:v>
                </c:pt>
                <c:pt idx="32">
                  <c:v>-0.40444800000000003</c:v>
                </c:pt>
                <c:pt idx="33">
                  <c:v>-0.42094800000000004</c:v>
                </c:pt>
                <c:pt idx="34">
                  <c:v>-0.43744800000000006</c:v>
                </c:pt>
                <c:pt idx="35">
                  <c:v>-0.45394800000000002</c:v>
                </c:pt>
              </c:numCache>
            </c:numRef>
          </c:yVal>
          <c:smooth val="0"/>
        </c:ser>
        <c:dLbls>
          <c:showLegendKey val="0"/>
          <c:showVal val="0"/>
          <c:showCatName val="0"/>
          <c:showSerName val="0"/>
          <c:showPercent val="0"/>
          <c:showBubbleSize val="0"/>
        </c:dLbls>
        <c:axId val="154278528"/>
        <c:axId val="154280704"/>
      </c:scatterChart>
      <c:valAx>
        <c:axId val="154278528"/>
        <c:scaling>
          <c:orientation val="minMax"/>
        </c:scaling>
        <c:delete val="0"/>
        <c:axPos val="b"/>
        <c:title>
          <c:tx>
            <c:rich>
              <a:bodyPr/>
              <a:lstStyle/>
              <a:p>
                <a:pPr>
                  <a:defRPr/>
                </a:pPr>
                <a:r>
                  <a:rPr lang="en-US" sz="1400"/>
                  <a:t>Angle of Attack (degrees)</a:t>
                </a:r>
              </a:p>
            </c:rich>
          </c:tx>
          <c:overlay val="0"/>
        </c:title>
        <c:numFmt formatCode="General" sourceLinked="1"/>
        <c:majorTickMark val="out"/>
        <c:minorTickMark val="none"/>
        <c:tickLblPos val="nextTo"/>
        <c:crossAx val="154280704"/>
        <c:crosses val="autoZero"/>
        <c:crossBetween val="midCat"/>
      </c:valAx>
      <c:valAx>
        <c:axId val="154280704"/>
        <c:scaling>
          <c:orientation val="minMax"/>
        </c:scaling>
        <c:delete val="0"/>
        <c:axPos val="l"/>
        <c:majorGridlines/>
        <c:title>
          <c:tx>
            <c:rich>
              <a:bodyPr rot="-5400000" vert="horz"/>
              <a:lstStyle/>
              <a:p>
                <a:pPr>
                  <a:defRPr/>
                </a:pPr>
                <a:r>
                  <a:rPr lang="en-US" sz="1400"/>
                  <a:t>Pitching Moment Coefficient</a:t>
                </a:r>
              </a:p>
            </c:rich>
          </c:tx>
          <c:overlay val="0"/>
        </c:title>
        <c:numFmt formatCode="General" sourceLinked="1"/>
        <c:majorTickMark val="out"/>
        <c:minorTickMark val="none"/>
        <c:tickLblPos val="nextTo"/>
        <c:crossAx val="154278528"/>
        <c:crosses val="autoZero"/>
        <c:crossBetween val="midCat"/>
      </c:valAx>
    </c:plotArea>
    <c:legend>
      <c:legendPos val="r"/>
      <c:legendEntry>
        <c:idx val="0"/>
        <c:txPr>
          <a:bodyPr/>
          <a:lstStyle/>
          <a:p>
            <a:pPr>
              <a:defRPr sz="1200"/>
            </a:pPr>
            <a:endParaRPr lang="en-US"/>
          </a:p>
        </c:txPr>
      </c:legendEntry>
      <c:layout>
        <c:manualLayout>
          <c:xMode val="edge"/>
          <c:yMode val="edge"/>
          <c:x val="0.7724986240481877"/>
          <c:y val="0.36268507532449973"/>
          <c:w val="0.197517422263356"/>
          <c:h val="0.18272606335167021"/>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Drag Polar</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593"/>
          <c:h val="0.71284909934204488"/>
        </c:manualLayout>
      </c:layout>
      <c:scatterChart>
        <c:scatterStyle val="lineMarker"/>
        <c:varyColors val="0"/>
        <c:ser>
          <c:idx val="0"/>
          <c:order val="0"/>
          <c:tx>
            <c:v>Induced</c:v>
          </c:tx>
          <c:xVal>
            <c:numRef>
              <c:f>'Drag Polar High Lift'!$F$14:$F$49</c:f>
              <c:numCache>
                <c:formatCode>General</c:formatCode>
                <c:ptCount val="36"/>
                <c:pt idx="0">
                  <c:v>8.6140000000000001E-3</c:v>
                </c:pt>
                <c:pt idx="1">
                  <c:v>8.0599999999999995E-3</c:v>
                </c:pt>
                <c:pt idx="2">
                  <c:v>7.6639999999999998E-3</c:v>
                </c:pt>
                <c:pt idx="3">
                  <c:v>7.4229999999999999E-3</c:v>
                </c:pt>
                <c:pt idx="4">
                  <c:v>7.306E-3</c:v>
                </c:pt>
                <c:pt idx="5">
                  <c:v>7.3249999999999999E-3</c:v>
                </c:pt>
                <c:pt idx="6">
                  <c:v>7.3800000000000003E-3</c:v>
                </c:pt>
                <c:pt idx="7">
                  <c:v>7.4409999999999997E-3</c:v>
                </c:pt>
                <c:pt idx="8">
                  <c:v>7.3439999999999998E-3</c:v>
                </c:pt>
                <c:pt idx="9">
                  <c:v>7.9190000000000007E-3</c:v>
                </c:pt>
                <c:pt idx="10">
                  <c:v>8.914E-3</c:v>
                </c:pt>
                <c:pt idx="11">
                  <c:v>1.0200000000000001E-2</c:v>
                </c:pt>
                <c:pt idx="12">
                  <c:v>1.1929E-2</c:v>
                </c:pt>
                <c:pt idx="13">
                  <c:v>1.4316000000000001E-2</c:v>
                </c:pt>
                <c:pt idx="14">
                  <c:v>1.6976999999999999E-2</c:v>
                </c:pt>
                <c:pt idx="15">
                  <c:v>1.967E-2</c:v>
                </c:pt>
                <c:pt idx="16">
                  <c:v>2.2407E-2</c:v>
                </c:pt>
                <c:pt idx="17">
                  <c:v>2.5243999999999999E-2</c:v>
                </c:pt>
                <c:pt idx="18">
                  <c:v>2.8198999999999998E-2</c:v>
                </c:pt>
                <c:pt idx="19">
                  <c:v>3.1446000000000002E-2</c:v>
                </c:pt>
                <c:pt idx="20">
                  <c:v>3.6513999999999998E-2</c:v>
                </c:pt>
                <c:pt idx="21">
                  <c:v>3.5328999999999999E-2</c:v>
                </c:pt>
                <c:pt idx="22">
                  <c:v>4.1648999999999999E-2</c:v>
                </c:pt>
                <c:pt idx="23">
                  <c:v>4.9653999999999997E-2</c:v>
                </c:pt>
                <c:pt idx="24">
                  <c:v>4.8399999999999999E-2</c:v>
                </c:pt>
                <c:pt idx="25">
                  <c:v>5.4167E-2</c:v>
                </c:pt>
                <c:pt idx="26">
                  <c:v>5.7570000000000003E-2</c:v>
                </c:pt>
                <c:pt idx="27">
                  <c:v>6.2107999999999997E-2</c:v>
                </c:pt>
                <c:pt idx="28">
                  <c:v>6.6814999999999999E-2</c:v>
                </c:pt>
                <c:pt idx="29">
                  <c:v>7.1831999999999993E-2</c:v>
                </c:pt>
                <c:pt idx="30">
                  <c:v>7.7018000000000003E-2</c:v>
                </c:pt>
                <c:pt idx="31">
                  <c:v>8.2437999999999997E-2</c:v>
                </c:pt>
                <c:pt idx="32">
                  <c:v>8.8063000000000002E-2</c:v>
                </c:pt>
                <c:pt idx="33">
                  <c:v>9.3873999999999999E-2</c:v>
                </c:pt>
                <c:pt idx="34">
                  <c:v>9.9880999999999998E-2</c:v>
                </c:pt>
                <c:pt idx="35">
                  <c:v>0.10616</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1"/>
          <c:order val="1"/>
          <c:tx>
            <c:v>Profile</c:v>
          </c:tx>
          <c:xVal>
            <c:numRef>
              <c:f>'Drag Polar High Lift'!$E$14:$E$49</c:f>
              <c:numCache>
                <c:formatCode>General</c:formatCode>
                <c:ptCount val="36"/>
                <c:pt idx="0">
                  <c:v>7.5950000000000002E-3</c:v>
                </c:pt>
                <c:pt idx="1">
                  <c:v>7.3790000000000001E-3</c:v>
                </c:pt>
                <c:pt idx="2">
                  <c:v>7.1640000000000002E-3</c:v>
                </c:pt>
                <c:pt idx="3">
                  <c:v>6.9470000000000001E-3</c:v>
                </c:pt>
                <c:pt idx="4">
                  <c:v>6.6959999999999997E-3</c:v>
                </c:pt>
                <c:pt idx="5">
                  <c:v>6.4229999999999999E-3</c:v>
                </c:pt>
                <c:pt idx="6">
                  <c:v>6.0289999999999996E-3</c:v>
                </c:pt>
                <c:pt idx="7">
                  <c:v>5.4819999999999999E-3</c:v>
                </c:pt>
                <c:pt idx="8">
                  <c:v>4.6189999999999998E-3</c:v>
                </c:pt>
                <c:pt idx="9">
                  <c:v>4.2690000000000002E-3</c:v>
                </c:pt>
                <c:pt idx="10">
                  <c:v>4.1809999999999998E-3</c:v>
                </c:pt>
                <c:pt idx="11">
                  <c:v>4.2259999999999997E-3</c:v>
                </c:pt>
                <c:pt idx="12">
                  <c:v>4.555E-3</c:v>
                </c:pt>
                <c:pt idx="13">
                  <c:v>5.3819999999999996E-3</c:v>
                </c:pt>
                <c:pt idx="14">
                  <c:v>6.326E-3</c:v>
                </c:pt>
                <c:pt idx="15">
                  <c:v>7.143E-3</c:v>
                </c:pt>
                <c:pt idx="16">
                  <c:v>7.8410000000000007E-3</c:v>
                </c:pt>
                <c:pt idx="17">
                  <c:v>8.4720000000000004E-3</c:v>
                </c:pt>
                <c:pt idx="18">
                  <c:v>9.025E-3</c:v>
                </c:pt>
                <c:pt idx="19">
                  <c:v>9.554E-3</c:v>
                </c:pt>
                <c:pt idx="20">
                  <c:v>1.0137E-2</c:v>
                </c:pt>
                <c:pt idx="21">
                  <c:v>1.0717000000000001E-2</c:v>
                </c:pt>
                <c:pt idx="22">
                  <c:v>1.1381E-2</c:v>
                </c:pt>
                <c:pt idx="23">
                  <c:v>1.1984E-2</c:v>
                </c:pt>
                <c:pt idx="24">
                  <c:v>1.261E-2</c:v>
                </c:pt>
                <c:pt idx="25">
                  <c:v>1.3245E-2</c:v>
                </c:pt>
                <c:pt idx="26">
                  <c:v>1.3929E-2</c:v>
                </c:pt>
                <c:pt idx="27">
                  <c:v>1.464E-2</c:v>
                </c:pt>
                <c:pt idx="28">
                  <c:v>1.541E-2</c:v>
                </c:pt>
                <c:pt idx="29">
                  <c:v>1.6239E-2</c:v>
                </c:pt>
                <c:pt idx="30">
                  <c:v>1.7131E-2</c:v>
                </c:pt>
                <c:pt idx="31">
                  <c:v>1.8110000000000001E-2</c:v>
                </c:pt>
                <c:pt idx="32">
                  <c:v>1.9141999999999999E-2</c:v>
                </c:pt>
                <c:pt idx="33">
                  <c:v>2.0205999999999998E-2</c:v>
                </c:pt>
                <c:pt idx="34">
                  <c:v>2.1314E-2</c:v>
                </c:pt>
                <c:pt idx="35">
                  <c:v>2.2540000000000001E-2</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2"/>
          <c:order val="2"/>
          <c:tx>
            <c:v>Parasite</c:v>
          </c:tx>
          <c:xVal>
            <c:numRef>
              <c:f>'Drag Polar High Lift'!$N$14:$N$49</c:f>
              <c:numCache>
                <c:formatCode>General</c:formatCode>
                <c:ptCount val="36"/>
                <c:pt idx="0">
                  <c:v>2.9179467107827168E-2</c:v>
                </c:pt>
                <c:pt idx="1">
                  <c:v>2.9179467107827168E-2</c:v>
                </c:pt>
                <c:pt idx="2">
                  <c:v>2.9179467107827168E-2</c:v>
                </c:pt>
                <c:pt idx="3">
                  <c:v>2.9179467107827168E-2</c:v>
                </c:pt>
                <c:pt idx="4">
                  <c:v>2.9179467107827168E-2</c:v>
                </c:pt>
                <c:pt idx="5">
                  <c:v>2.9179467107827168E-2</c:v>
                </c:pt>
                <c:pt idx="6">
                  <c:v>2.9179467107827168E-2</c:v>
                </c:pt>
                <c:pt idx="7">
                  <c:v>2.9179467107827168E-2</c:v>
                </c:pt>
                <c:pt idx="8">
                  <c:v>2.9179467107827168E-2</c:v>
                </c:pt>
                <c:pt idx="9">
                  <c:v>2.9179467107827168E-2</c:v>
                </c:pt>
                <c:pt idx="10">
                  <c:v>2.9179467107827168E-2</c:v>
                </c:pt>
                <c:pt idx="11">
                  <c:v>2.9179467107827168E-2</c:v>
                </c:pt>
                <c:pt idx="12">
                  <c:v>2.9179467107827168E-2</c:v>
                </c:pt>
                <c:pt idx="13">
                  <c:v>2.9179467107827168E-2</c:v>
                </c:pt>
                <c:pt idx="14">
                  <c:v>2.9179467107827168E-2</c:v>
                </c:pt>
                <c:pt idx="15">
                  <c:v>2.9179467107827168E-2</c:v>
                </c:pt>
                <c:pt idx="16">
                  <c:v>2.9179467107827168E-2</c:v>
                </c:pt>
                <c:pt idx="17">
                  <c:v>2.9179467107827168E-2</c:v>
                </c:pt>
                <c:pt idx="18">
                  <c:v>2.9179467107827168E-2</c:v>
                </c:pt>
                <c:pt idx="19">
                  <c:v>2.9179467107827168E-2</c:v>
                </c:pt>
                <c:pt idx="20">
                  <c:v>2.9179467107827168E-2</c:v>
                </c:pt>
                <c:pt idx="21">
                  <c:v>2.9179467107827168E-2</c:v>
                </c:pt>
                <c:pt idx="22">
                  <c:v>2.9179467107827168E-2</c:v>
                </c:pt>
                <c:pt idx="23">
                  <c:v>2.9179467107827168E-2</c:v>
                </c:pt>
                <c:pt idx="24">
                  <c:v>2.9179467107827168E-2</c:v>
                </c:pt>
                <c:pt idx="25">
                  <c:v>2.9179467107827168E-2</c:v>
                </c:pt>
                <c:pt idx="26">
                  <c:v>2.9179467107827168E-2</c:v>
                </c:pt>
                <c:pt idx="27">
                  <c:v>2.9179467107827168E-2</c:v>
                </c:pt>
                <c:pt idx="28">
                  <c:v>2.9179467107827168E-2</c:v>
                </c:pt>
                <c:pt idx="29">
                  <c:v>2.9179467107827168E-2</c:v>
                </c:pt>
                <c:pt idx="30">
                  <c:v>2.9179467107827168E-2</c:v>
                </c:pt>
                <c:pt idx="31">
                  <c:v>2.9179467107827168E-2</c:v>
                </c:pt>
                <c:pt idx="32">
                  <c:v>2.9179467107827168E-2</c:v>
                </c:pt>
                <c:pt idx="33">
                  <c:v>2.9179467107827168E-2</c:v>
                </c:pt>
                <c:pt idx="34">
                  <c:v>2.9179467107827168E-2</c:v>
                </c:pt>
                <c:pt idx="35">
                  <c:v>2.9179467107827168E-2</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4"/>
          <c:order val="3"/>
          <c:tx>
            <c:v>Cooling</c:v>
          </c:tx>
          <c:xVal>
            <c:numRef>
              <c:f>'Drag Polar High Lift'!$O$14:$O$49</c:f>
              <c:numCache>
                <c:formatCode>General</c:formatCode>
                <c:ptCount val="36"/>
                <c:pt idx="0">
                  <c:v>9.743869274026545E-3</c:v>
                </c:pt>
                <c:pt idx="1">
                  <c:v>9.743869274026545E-3</c:v>
                </c:pt>
                <c:pt idx="2">
                  <c:v>9.743869274026545E-3</c:v>
                </c:pt>
                <c:pt idx="3">
                  <c:v>9.743869274026545E-3</c:v>
                </c:pt>
                <c:pt idx="4">
                  <c:v>9.743869274026545E-3</c:v>
                </c:pt>
                <c:pt idx="5">
                  <c:v>9.743869274026545E-3</c:v>
                </c:pt>
                <c:pt idx="6">
                  <c:v>9.743869274026545E-3</c:v>
                </c:pt>
                <c:pt idx="7">
                  <c:v>9.743869274026545E-3</c:v>
                </c:pt>
                <c:pt idx="8">
                  <c:v>9.743869274026545E-3</c:v>
                </c:pt>
                <c:pt idx="9">
                  <c:v>9.743869274026545E-3</c:v>
                </c:pt>
                <c:pt idx="10">
                  <c:v>9.743869274026545E-3</c:v>
                </c:pt>
                <c:pt idx="11">
                  <c:v>9.743869274026545E-3</c:v>
                </c:pt>
                <c:pt idx="12">
                  <c:v>9.743869274026545E-3</c:v>
                </c:pt>
                <c:pt idx="13">
                  <c:v>9.743869274026545E-3</c:v>
                </c:pt>
                <c:pt idx="14">
                  <c:v>9.743869274026545E-3</c:v>
                </c:pt>
                <c:pt idx="15">
                  <c:v>9.743869274026545E-3</c:v>
                </c:pt>
                <c:pt idx="16">
                  <c:v>9.743869274026545E-3</c:v>
                </c:pt>
                <c:pt idx="17">
                  <c:v>9.743869274026545E-3</c:v>
                </c:pt>
                <c:pt idx="18">
                  <c:v>9.743869274026545E-3</c:v>
                </c:pt>
                <c:pt idx="19">
                  <c:v>9.743869274026545E-3</c:v>
                </c:pt>
                <c:pt idx="20">
                  <c:v>9.743869274026545E-3</c:v>
                </c:pt>
                <c:pt idx="21">
                  <c:v>9.743869274026545E-3</c:v>
                </c:pt>
                <c:pt idx="22">
                  <c:v>9.743869274026545E-3</c:v>
                </c:pt>
                <c:pt idx="23">
                  <c:v>9.743869274026545E-3</c:v>
                </c:pt>
                <c:pt idx="24">
                  <c:v>9.743869274026545E-3</c:v>
                </c:pt>
                <c:pt idx="25">
                  <c:v>9.743869274026545E-3</c:v>
                </c:pt>
                <c:pt idx="26">
                  <c:v>9.743869274026545E-3</c:v>
                </c:pt>
                <c:pt idx="27">
                  <c:v>9.743869274026545E-3</c:v>
                </c:pt>
                <c:pt idx="28">
                  <c:v>9.743869274026545E-3</c:v>
                </c:pt>
                <c:pt idx="29">
                  <c:v>9.743869274026545E-3</c:v>
                </c:pt>
                <c:pt idx="30">
                  <c:v>9.743869274026545E-3</c:v>
                </c:pt>
                <c:pt idx="31">
                  <c:v>9.743869274026545E-3</c:v>
                </c:pt>
                <c:pt idx="32">
                  <c:v>9.743869274026545E-3</c:v>
                </c:pt>
                <c:pt idx="33">
                  <c:v>9.743869274026545E-3</c:v>
                </c:pt>
                <c:pt idx="34">
                  <c:v>9.743869274026545E-3</c:v>
                </c:pt>
                <c:pt idx="35">
                  <c:v>9.743869274026545E-3</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3"/>
          <c:order val="4"/>
          <c:tx>
            <c:v>Total</c:v>
          </c:tx>
          <c:xVal>
            <c:numRef>
              <c:f>'Drag Polar High Lift'!$P$14:$P$49</c:f>
              <c:numCache>
                <c:formatCode>General</c:formatCode>
                <c:ptCount val="36"/>
                <c:pt idx="0">
                  <c:v>4.7537336381853715E-2</c:v>
                </c:pt>
                <c:pt idx="1">
                  <c:v>4.6983336381853716E-2</c:v>
                </c:pt>
                <c:pt idx="2">
                  <c:v>4.6587336381853715E-2</c:v>
                </c:pt>
                <c:pt idx="3">
                  <c:v>4.6346336381853717E-2</c:v>
                </c:pt>
                <c:pt idx="4">
                  <c:v>4.6229336381853718E-2</c:v>
                </c:pt>
                <c:pt idx="5">
                  <c:v>4.6248336381853716E-2</c:v>
                </c:pt>
                <c:pt idx="6">
                  <c:v>4.6303336381853716E-2</c:v>
                </c:pt>
                <c:pt idx="7">
                  <c:v>4.6364336381853714E-2</c:v>
                </c:pt>
                <c:pt idx="8">
                  <c:v>4.6267336381853714E-2</c:v>
                </c:pt>
                <c:pt idx="9">
                  <c:v>4.6842336381853714E-2</c:v>
                </c:pt>
                <c:pt idx="10">
                  <c:v>4.7837336381853716E-2</c:v>
                </c:pt>
                <c:pt idx="11">
                  <c:v>4.9123336381853712E-2</c:v>
                </c:pt>
                <c:pt idx="12">
                  <c:v>5.0852336381853713E-2</c:v>
                </c:pt>
                <c:pt idx="13">
                  <c:v>5.3239336381853714E-2</c:v>
                </c:pt>
                <c:pt idx="14">
                  <c:v>5.5900336381853717E-2</c:v>
                </c:pt>
                <c:pt idx="15">
                  <c:v>5.8593336381853718E-2</c:v>
                </c:pt>
                <c:pt idx="16">
                  <c:v>6.1330336381853715E-2</c:v>
                </c:pt>
                <c:pt idx="17">
                  <c:v>6.4167336381853707E-2</c:v>
                </c:pt>
                <c:pt idx="18">
                  <c:v>6.7122336381853706E-2</c:v>
                </c:pt>
                <c:pt idx="19">
                  <c:v>7.0369336381853706E-2</c:v>
                </c:pt>
                <c:pt idx="20">
                  <c:v>7.5437336381853709E-2</c:v>
                </c:pt>
                <c:pt idx="21">
                  <c:v>7.4252336381853704E-2</c:v>
                </c:pt>
                <c:pt idx="22">
                  <c:v>8.057233638185371E-2</c:v>
                </c:pt>
                <c:pt idx="23">
                  <c:v>8.8577336381853708E-2</c:v>
                </c:pt>
                <c:pt idx="24">
                  <c:v>8.7323336381853703E-2</c:v>
                </c:pt>
                <c:pt idx="25">
                  <c:v>9.3090336381853711E-2</c:v>
                </c:pt>
                <c:pt idx="26">
                  <c:v>9.6493336381853714E-2</c:v>
                </c:pt>
                <c:pt idx="27">
                  <c:v>0.1010313363818537</c:v>
                </c:pt>
                <c:pt idx="28">
                  <c:v>0.1057383363818537</c:v>
                </c:pt>
                <c:pt idx="29">
                  <c:v>0.1107553363818537</c:v>
                </c:pt>
                <c:pt idx="30">
                  <c:v>0.11594133638185371</c:v>
                </c:pt>
                <c:pt idx="31">
                  <c:v>0.1213613363818537</c:v>
                </c:pt>
                <c:pt idx="32">
                  <c:v>0.12698633638185372</c:v>
                </c:pt>
                <c:pt idx="33">
                  <c:v>0.1327973363818537</c:v>
                </c:pt>
                <c:pt idx="34">
                  <c:v>0.13880433638185372</c:v>
                </c:pt>
                <c:pt idx="35">
                  <c:v>0.14508333638185372</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5"/>
          <c:tx>
            <c:v>Analytical</c:v>
          </c:tx>
          <c:spPr>
            <a:ln>
              <a:prstDash val="dash"/>
            </a:ln>
          </c:spPr>
          <c:marker>
            <c:symbol val="none"/>
          </c:marker>
          <c:xVal>
            <c:numRef>
              <c:f>'Drag Polar High Lift'!$T$14:$T$49</c:f>
              <c:numCache>
                <c:formatCode>General</c:formatCode>
                <c:ptCount val="36"/>
                <c:pt idx="0">
                  <c:v>3.7539400367368435E-2</c:v>
                </c:pt>
                <c:pt idx="1">
                  <c:v>3.6816831784628704E-2</c:v>
                </c:pt>
                <c:pt idx="2">
                  <c:v>3.6306834969617507E-2</c:v>
                </c:pt>
                <c:pt idx="3">
                  <c:v>3.6009309685520657E-2</c:v>
                </c:pt>
                <c:pt idx="4">
                  <c:v>3.5924137076248738E-2</c:v>
                </c:pt>
                <c:pt idx="5">
                  <c:v>3.6051147980440373E-2</c:v>
                </c:pt>
                <c:pt idx="6">
                  <c:v>3.6390145983203538E-2</c:v>
                </c:pt>
                <c:pt idx="7">
                  <c:v>3.6940909576532691E-2</c:v>
                </c:pt>
                <c:pt idx="8">
                  <c:v>3.7703164463855542E-2</c:v>
                </c:pt>
                <c:pt idx="9">
                  <c:v>3.8676628653767454E-2</c:v>
                </c:pt>
                <c:pt idx="10">
                  <c:v>3.9860976527570396E-2</c:v>
                </c:pt>
                <c:pt idx="11">
                  <c:v>4.1255847977676882E-2</c:v>
                </c:pt>
                <c:pt idx="12">
                  <c:v>4.2860848450157633E-2</c:v>
                </c:pt>
                <c:pt idx="13">
                  <c:v>4.4675588381885574E-2</c:v>
                </c:pt>
                <c:pt idx="14">
                  <c:v>4.6699530003764714E-2</c:v>
                </c:pt>
                <c:pt idx="15">
                  <c:v>4.8932258807715109E-2</c:v>
                </c:pt>
                <c:pt idx="16">
                  <c:v>5.1373151214819432E-2</c:v>
                </c:pt>
                <c:pt idx="17">
                  <c:v>5.4021741554467345E-2</c:v>
                </c:pt>
                <c:pt idx="18">
                  <c:v>5.6877625450294053E-2</c:v>
                </c:pt>
                <c:pt idx="19">
                  <c:v>5.9941916901872609E-2</c:v>
                </c:pt>
                <c:pt idx="20">
                  <c:v>6.3264787224740465E-2</c:v>
                </c:pt>
                <c:pt idx="21">
                  <c:v>6.6586601833564282E-2</c:v>
                </c:pt>
                <c:pt idx="22">
                  <c:v>7.036341906052207E-2</c:v>
                </c:pt>
                <c:pt idx="23">
                  <c:v>7.4109728274288786E-2</c:v>
                </c:pt>
                <c:pt idx="24">
                  <c:v>7.8373845872744832E-2</c:v>
                </c:pt>
                <c:pt idx="25">
                  <c:v>8.2599979266272508E-2</c:v>
                </c:pt>
                <c:pt idx="26">
                  <c:v>8.722335566049054E-2</c:v>
                </c:pt>
                <c:pt idx="27">
                  <c:v>9.2108927976475755E-2</c:v>
                </c:pt>
                <c:pt idx="28">
                  <c:v>9.7100609559780005E-2</c:v>
                </c:pt>
                <c:pt idx="29">
                  <c:v>0.10238890120960099</c:v>
                </c:pt>
                <c:pt idx="30">
                  <c:v>0.10784533402467178</c:v>
                </c:pt>
                <c:pt idx="31">
                  <c:v>0.11350866241512443</c:v>
                </c:pt>
                <c:pt idx="32">
                  <c:v>0.11938245793459222</c:v>
                </c:pt>
                <c:pt idx="33">
                  <c:v>0.12546866991326985</c:v>
                </c:pt>
                <c:pt idx="34">
                  <c:v>0.13176736298189776</c:v>
                </c:pt>
                <c:pt idx="35">
                  <c:v>0.1382783672566017</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6"/>
          <c:order val="6"/>
          <c:tx>
            <c:v>Clean Total</c:v>
          </c:tx>
          <c:marker>
            <c:symbol val="none"/>
          </c:marker>
          <c:xVal>
            <c:numRef>
              <c:f>'Drag Polar Clean'!$P$12:$P$47</c:f>
              <c:numCache>
                <c:formatCode>General</c:formatCode>
                <c:ptCount val="36"/>
                <c:pt idx="0">
                  <c:v>2.6019323396594709E-2</c:v>
                </c:pt>
                <c:pt idx="1">
                  <c:v>2.546532339659471E-2</c:v>
                </c:pt>
                <c:pt idx="2">
                  <c:v>2.5069323396594709E-2</c:v>
                </c:pt>
                <c:pt idx="3">
                  <c:v>2.4828323396594708E-2</c:v>
                </c:pt>
                <c:pt idx="4">
                  <c:v>2.4711323396594709E-2</c:v>
                </c:pt>
                <c:pt idx="5">
                  <c:v>2.473032339659471E-2</c:v>
                </c:pt>
                <c:pt idx="6">
                  <c:v>2.478532339659471E-2</c:v>
                </c:pt>
                <c:pt idx="7">
                  <c:v>2.4846323396594708E-2</c:v>
                </c:pt>
                <c:pt idx="8">
                  <c:v>2.4749323396594709E-2</c:v>
                </c:pt>
                <c:pt idx="9">
                  <c:v>2.5324323396594708E-2</c:v>
                </c:pt>
                <c:pt idx="10">
                  <c:v>2.6319323396594711E-2</c:v>
                </c:pt>
                <c:pt idx="11">
                  <c:v>2.760532339659471E-2</c:v>
                </c:pt>
                <c:pt idx="12">
                  <c:v>2.9334323396594707E-2</c:v>
                </c:pt>
                <c:pt idx="13">
                  <c:v>3.1721323396594704E-2</c:v>
                </c:pt>
                <c:pt idx="14">
                  <c:v>3.4382323396594701E-2</c:v>
                </c:pt>
                <c:pt idx="15">
                  <c:v>3.7075323396594702E-2</c:v>
                </c:pt>
                <c:pt idx="16">
                  <c:v>3.9812323396594705E-2</c:v>
                </c:pt>
                <c:pt idx="17">
                  <c:v>4.2649323396594704E-2</c:v>
                </c:pt>
                <c:pt idx="18">
                  <c:v>4.5604323396594704E-2</c:v>
                </c:pt>
                <c:pt idx="19">
                  <c:v>4.8851323396594711E-2</c:v>
                </c:pt>
                <c:pt idx="20">
                  <c:v>5.39193233965947E-2</c:v>
                </c:pt>
                <c:pt idx="21">
                  <c:v>5.2734323396594708E-2</c:v>
                </c:pt>
                <c:pt idx="22">
                  <c:v>5.90543233965947E-2</c:v>
                </c:pt>
                <c:pt idx="23">
                  <c:v>6.7059323396594706E-2</c:v>
                </c:pt>
                <c:pt idx="24">
                  <c:v>6.5805323396594714E-2</c:v>
                </c:pt>
                <c:pt idx="25">
                  <c:v>7.1572323396594709E-2</c:v>
                </c:pt>
                <c:pt idx="26">
                  <c:v>7.4975323396594712E-2</c:v>
                </c:pt>
                <c:pt idx="27">
                  <c:v>7.9513323396594712E-2</c:v>
                </c:pt>
                <c:pt idx="28">
                  <c:v>8.4220323396594715E-2</c:v>
                </c:pt>
                <c:pt idx="29">
                  <c:v>8.9237323396594709E-2</c:v>
                </c:pt>
                <c:pt idx="30">
                  <c:v>9.4423323396594719E-2</c:v>
                </c:pt>
                <c:pt idx="31">
                  <c:v>9.9843323396594713E-2</c:v>
                </c:pt>
                <c:pt idx="32">
                  <c:v>0.10546832339659472</c:v>
                </c:pt>
                <c:pt idx="33">
                  <c:v>0.11127932339659471</c:v>
                </c:pt>
                <c:pt idx="34">
                  <c:v>0.11728632339659471</c:v>
                </c:pt>
                <c:pt idx="35">
                  <c:v>0.12356532339659472</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dLbls>
          <c:showLegendKey val="0"/>
          <c:showVal val="0"/>
          <c:showCatName val="0"/>
          <c:showSerName val="0"/>
          <c:showPercent val="0"/>
          <c:showBubbleSize val="0"/>
        </c:dLbls>
        <c:axId val="154844160"/>
        <c:axId val="154846336"/>
      </c:scatterChart>
      <c:valAx>
        <c:axId val="154844160"/>
        <c:scaling>
          <c:orientation val="minMax"/>
        </c:scaling>
        <c:delete val="0"/>
        <c:axPos val="b"/>
        <c:title>
          <c:tx>
            <c:rich>
              <a:bodyPr/>
              <a:lstStyle/>
              <a:p>
                <a:pPr>
                  <a:defRPr/>
                </a:pPr>
                <a:r>
                  <a:rPr lang="en-US" sz="1400"/>
                  <a:t>Drag Coefficient</a:t>
                </a:r>
              </a:p>
            </c:rich>
          </c:tx>
          <c:overlay val="0"/>
        </c:title>
        <c:numFmt formatCode="General" sourceLinked="1"/>
        <c:majorTickMark val="out"/>
        <c:minorTickMark val="none"/>
        <c:tickLblPos val="nextTo"/>
        <c:crossAx val="154846336"/>
        <c:crosses val="autoZero"/>
        <c:crossBetween val="midCat"/>
      </c:valAx>
      <c:valAx>
        <c:axId val="154846336"/>
        <c:scaling>
          <c:orientation val="minMax"/>
          <c:max val="2"/>
        </c:scaling>
        <c:delete val="0"/>
        <c:axPos val="l"/>
        <c:majorGridlines/>
        <c:title>
          <c:tx>
            <c:rich>
              <a:bodyPr rot="-5400000" vert="horz"/>
              <a:lstStyle/>
              <a:p>
                <a:pPr>
                  <a:defRPr/>
                </a:pPr>
                <a:r>
                  <a:rPr lang="en-US" sz="1400"/>
                  <a:t>Lift Coefficient</a:t>
                </a:r>
              </a:p>
            </c:rich>
          </c:tx>
          <c:overlay val="0"/>
        </c:title>
        <c:numFmt formatCode="General" sourceLinked="1"/>
        <c:majorTickMark val="out"/>
        <c:minorTickMark val="none"/>
        <c:tickLblPos val="nextTo"/>
        <c:crossAx val="154844160"/>
        <c:crosses val="autoZero"/>
        <c:crossBetween val="midCat"/>
      </c:valAx>
    </c:plotArea>
    <c:legend>
      <c:legendPos val="r"/>
      <c:legendEntry>
        <c:idx val="0"/>
        <c:txPr>
          <a:bodyPr/>
          <a:lstStyle/>
          <a:p>
            <a:pPr>
              <a:defRPr sz="1200"/>
            </a:pPr>
            <a:endParaRPr lang="en-US"/>
          </a:p>
        </c:txPr>
      </c:legendEntry>
      <c:legendEntry>
        <c:idx val="2"/>
        <c:txPr>
          <a:bodyPr/>
          <a:lstStyle/>
          <a:p>
            <a:pPr>
              <a:defRPr sz="1200"/>
            </a:pPr>
            <a:endParaRPr lang="en-US"/>
          </a:p>
        </c:txPr>
      </c:legendEntry>
      <c:legendEntry>
        <c:idx val="4"/>
        <c:txPr>
          <a:bodyPr/>
          <a:lstStyle/>
          <a:p>
            <a:pPr>
              <a:defRPr sz="1200"/>
            </a:pPr>
            <a:endParaRPr lang="en-US"/>
          </a:p>
        </c:txPr>
      </c:legendEntry>
      <c:layout>
        <c:manualLayout>
          <c:xMode val="edge"/>
          <c:yMode val="edge"/>
          <c:x val="0.78747982564960362"/>
          <c:y val="0.30789055477654331"/>
          <c:w val="0.17769308698256583"/>
          <c:h val="0.52429151835472865"/>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Lift Curve</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693"/>
          <c:h val="0.71284909934204488"/>
        </c:manualLayout>
      </c:layout>
      <c:scatterChart>
        <c:scatterStyle val="lineMarker"/>
        <c:varyColors val="0"/>
        <c:ser>
          <c:idx val="0"/>
          <c:order val="0"/>
          <c:tx>
            <c:v>Numerical</c:v>
          </c:tx>
          <c:xVal>
            <c:numRef>
              <c:f>'Drag Polar High Lift'!$B$14:$B$49</c:f>
              <c:numCache>
                <c:formatCode>General</c:formatCode>
                <c:ptCount val="36"/>
                <c:pt idx="0">
                  <c:v>-9.6871467801180575</c:v>
                </c:pt>
                <c:pt idx="1">
                  <c:v>-9.1871467801180575</c:v>
                </c:pt>
                <c:pt idx="2">
                  <c:v>-8.6871467801180575</c:v>
                </c:pt>
                <c:pt idx="3">
                  <c:v>-8.1871467801180575</c:v>
                </c:pt>
                <c:pt idx="4">
                  <c:v>-7.6871467801180575</c:v>
                </c:pt>
                <c:pt idx="5">
                  <c:v>-7.1871467801180575</c:v>
                </c:pt>
                <c:pt idx="6">
                  <c:v>-6.6871467801180575</c:v>
                </c:pt>
                <c:pt idx="7">
                  <c:v>-6.1871467801180575</c:v>
                </c:pt>
                <c:pt idx="8">
                  <c:v>-5.6871467801180575</c:v>
                </c:pt>
                <c:pt idx="9">
                  <c:v>-5.1871467801180575</c:v>
                </c:pt>
                <c:pt idx="10">
                  <c:v>-4.6871467801180575</c:v>
                </c:pt>
                <c:pt idx="11">
                  <c:v>-4.1871467801180575</c:v>
                </c:pt>
                <c:pt idx="12">
                  <c:v>-3.6871467801180575</c:v>
                </c:pt>
                <c:pt idx="13">
                  <c:v>-3.1871467801180575</c:v>
                </c:pt>
                <c:pt idx="14">
                  <c:v>-2.6871467801180575</c:v>
                </c:pt>
                <c:pt idx="15">
                  <c:v>-2.1871467801180575</c:v>
                </c:pt>
                <c:pt idx="16">
                  <c:v>-1.6871467801180575</c:v>
                </c:pt>
                <c:pt idx="17">
                  <c:v>-1.1871467801180575</c:v>
                </c:pt>
                <c:pt idx="18">
                  <c:v>-0.68714678011805752</c:v>
                </c:pt>
                <c:pt idx="19">
                  <c:v>-0.18714678011805752</c:v>
                </c:pt>
                <c:pt idx="20">
                  <c:v>0.31285321988194248</c:v>
                </c:pt>
                <c:pt idx="21">
                  <c:v>0.81285321988194248</c:v>
                </c:pt>
                <c:pt idx="22">
                  <c:v>1.3128532198819425</c:v>
                </c:pt>
                <c:pt idx="23">
                  <c:v>1.8128532198819425</c:v>
                </c:pt>
                <c:pt idx="24">
                  <c:v>2.3128532198819425</c:v>
                </c:pt>
                <c:pt idx="25">
                  <c:v>2.8128532198819425</c:v>
                </c:pt>
                <c:pt idx="26">
                  <c:v>3.3128532198819425</c:v>
                </c:pt>
                <c:pt idx="27">
                  <c:v>3.8128532198819425</c:v>
                </c:pt>
                <c:pt idx="28">
                  <c:v>4.3128532198819425</c:v>
                </c:pt>
                <c:pt idx="29">
                  <c:v>4.8128532198819425</c:v>
                </c:pt>
                <c:pt idx="30">
                  <c:v>5.3128532198819425</c:v>
                </c:pt>
                <c:pt idx="31">
                  <c:v>5.8128532198819425</c:v>
                </c:pt>
                <c:pt idx="32">
                  <c:v>6.3128532198819425</c:v>
                </c:pt>
                <c:pt idx="33">
                  <c:v>6.8128532198819425</c:v>
                </c:pt>
                <c:pt idx="34">
                  <c:v>7.3128532198819425</c:v>
                </c:pt>
                <c:pt idx="35">
                  <c:v>7.8128532198819425</c:v>
                </c:pt>
              </c:numCache>
            </c:numRef>
          </c:xVal>
          <c:yVal>
            <c:numRef>
              <c:f>'Drag Polar High Lift'!$C$14:$C$49</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1"/>
          <c:tx>
            <c:v>Analytical</c:v>
          </c:tx>
          <c:spPr>
            <a:ln>
              <a:prstDash val="dash"/>
            </a:ln>
          </c:spPr>
          <c:marker>
            <c:symbol val="none"/>
          </c:marker>
          <c:xVal>
            <c:numRef>
              <c:f>'Drag Polar High Lift'!$B$14:$B$49</c:f>
              <c:numCache>
                <c:formatCode>General</c:formatCode>
                <c:ptCount val="36"/>
                <c:pt idx="0">
                  <c:v>-9.6871467801180575</c:v>
                </c:pt>
                <c:pt idx="1">
                  <c:v>-9.1871467801180575</c:v>
                </c:pt>
                <c:pt idx="2">
                  <c:v>-8.6871467801180575</c:v>
                </c:pt>
                <c:pt idx="3">
                  <c:v>-8.1871467801180575</c:v>
                </c:pt>
                <c:pt idx="4">
                  <c:v>-7.6871467801180575</c:v>
                </c:pt>
                <c:pt idx="5">
                  <c:v>-7.1871467801180575</c:v>
                </c:pt>
                <c:pt idx="6">
                  <c:v>-6.6871467801180575</c:v>
                </c:pt>
                <c:pt idx="7">
                  <c:v>-6.1871467801180575</c:v>
                </c:pt>
                <c:pt idx="8">
                  <c:v>-5.6871467801180575</c:v>
                </c:pt>
                <c:pt idx="9">
                  <c:v>-5.1871467801180575</c:v>
                </c:pt>
                <c:pt idx="10">
                  <c:v>-4.6871467801180575</c:v>
                </c:pt>
                <c:pt idx="11">
                  <c:v>-4.1871467801180575</c:v>
                </c:pt>
                <c:pt idx="12">
                  <c:v>-3.6871467801180575</c:v>
                </c:pt>
                <c:pt idx="13">
                  <c:v>-3.1871467801180575</c:v>
                </c:pt>
                <c:pt idx="14">
                  <c:v>-2.6871467801180575</c:v>
                </c:pt>
                <c:pt idx="15">
                  <c:v>-2.1871467801180575</c:v>
                </c:pt>
                <c:pt idx="16">
                  <c:v>-1.6871467801180575</c:v>
                </c:pt>
                <c:pt idx="17">
                  <c:v>-1.1871467801180575</c:v>
                </c:pt>
                <c:pt idx="18">
                  <c:v>-0.68714678011805752</c:v>
                </c:pt>
                <c:pt idx="19">
                  <c:v>-0.18714678011805752</c:v>
                </c:pt>
                <c:pt idx="20">
                  <c:v>0.31285321988194248</c:v>
                </c:pt>
                <c:pt idx="21">
                  <c:v>0.81285321988194248</c:v>
                </c:pt>
                <c:pt idx="22">
                  <c:v>1.3128532198819425</c:v>
                </c:pt>
                <c:pt idx="23">
                  <c:v>1.8128532198819425</c:v>
                </c:pt>
                <c:pt idx="24">
                  <c:v>2.3128532198819425</c:v>
                </c:pt>
                <c:pt idx="25">
                  <c:v>2.8128532198819425</c:v>
                </c:pt>
                <c:pt idx="26">
                  <c:v>3.3128532198819425</c:v>
                </c:pt>
                <c:pt idx="27">
                  <c:v>3.8128532198819425</c:v>
                </c:pt>
                <c:pt idx="28">
                  <c:v>4.3128532198819425</c:v>
                </c:pt>
                <c:pt idx="29">
                  <c:v>4.8128532198819425</c:v>
                </c:pt>
                <c:pt idx="30">
                  <c:v>5.3128532198819425</c:v>
                </c:pt>
                <c:pt idx="31">
                  <c:v>5.8128532198819425</c:v>
                </c:pt>
                <c:pt idx="32">
                  <c:v>6.3128532198819425</c:v>
                </c:pt>
                <c:pt idx="33">
                  <c:v>6.8128532198819425</c:v>
                </c:pt>
                <c:pt idx="34">
                  <c:v>7.3128532198819425</c:v>
                </c:pt>
                <c:pt idx="35">
                  <c:v>7.8128532198819425</c:v>
                </c:pt>
              </c:numCache>
            </c:numRef>
          </c:xVal>
          <c:yVal>
            <c:numRef>
              <c:f>'Drag Polar High Lift'!$Y$14:$Y$49</c:f>
              <c:numCache>
                <c:formatCode>General</c:formatCode>
                <c:ptCount val="36"/>
                <c:pt idx="0">
                  <c:v>-0.41734038445156962</c:v>
                </c:pt>
                <c:pt idx="1">
                  <c:v>-0.36834038445156969</c:v>
                </c:pt>
                <c:pt idx="2">
                  <c:v>-0.31934038445156965</c:v>
                </c:pt>
                <c:pt idx="3">
                  <c:v>-0.2703403844515696</c:v>
                </c:pt>
                <c:pt idx="4">
                  <c:v>-0.22134038445156967</c:v>
                </c:pt>
                <c:pt idx="5">
                  <c:v>-0.17234038445156963</c:v>
                </c:pt>
                <c:pt idx="6">
                  <c:v>-0.12334038445156958</c:v>
                </c:pt>
                <c:pt idx="7">
                  <c:v>-7.4340384451569652E-2</c:v>
                </c:pt>
                <c:pt idx="8">
                  <c:v>-2.5340384451569609E-2</c:v>
                </c:pt>
                <c:pt idx="9">
                  <c:v>2.3659615548430324E-2</c:v>
                </c:pt>
                <c:pt idx="10">
                  <c:v>7.2659615548430367E-2</c:v>
                </c:pt>
                <c:pt idx="11">
                  <c:v>0.12165961554843036</c:v>
                </c:pt>
                <c:pt idx="12">
                  <c:v>0.1706596155484304</c:v>
                </c:pt>
                <c:pt idx="13">
                  <c:v>0.21965961554843039</c:v>
                </c:pt>
                <c:pt idx="14">
                  <c:v>0.26865961554843037</c:v>
                </c:pt>
                <c:pt idx="15">
                  <c:v>0.31765961554843036</c:v>
                </c:pt>
                <c:pt idx="16">
                  <c:v>0.36665961554843041</c:v>
                </c:pt>
                <c:pt idx="17">
                  <c:v>0.41565961554843039</c:v>
                </c:pt>
                <c:pt idx="18">
                  <c:v>0.46465961554843038</c:v>
                </c:pt>
                <c:pt idx="19">
                  <c:v>0.51365961554843043</c:v>
                </c:pt>
                <c:pt idx="20">
                  <c:v>0.56265961554843036</c:v>
                </c:pt>
                <c:pt idx="21">
                  <c:v>0.6116596155484304</c:v>
                </c:pt>
                <c:pt idx="22">
                  <c:v>0.66065961554843033</c:v>
                </c:pt>
                <c:pt idx="23">
                  <c:v>0.70965961554843038</c:v>
                </c:pt>
                <c:pt idx="24">
                  <c:v>0.75865961554843042</c:v>
                </c:pt>
                <c:pt idx="25">
                  <c:v>0.80765961554843035</c:v>
                </c:pt>
                <c:pt idx="26">
                  <c:v>0.8566596155484304</c:v>
                </c:pt>
                <c:pt idx="27">
                  <c:v>0.90565961554843044</c:v>
                </c:pt>
                <c:pt idx="28">
                  <c:v>0.95465961554843037</c:v>
                </c:pt>
                <c:pt idx="29">
                  <c:v>1.0036596155484303</c:v>
                </c:pt>
                <c:pt idx="30">
                  <c:v>1.0526596155484305</c:v>
                </c:pt>
                <c:pt idx="31">
                  <c:v>1.1016596155484304</c:v>
                </c:pt>
                <c:pt idx="32">
                  <c:v>1.1506596155484305</c:v>
                </c:pt>
                <c:pt idx="33">
                  <c:v>1.1996596155484305</c:v>
                </c:pt>
                <c:pt idx="34">
                  <c:v>1.2486596155484304</c:v>
                </c:pt>
                <c:pt idx="35">
                  <c:v>1.2976596155484303</c:v>
                </c:pt>
              </c:numCache>
            </c:numRef>
          </c:yVal>
          <c:smooth val="0"/>
        </c:ser>
        <c:ser>
          <c:idx val="1"/>
          <c:order val="2"/>
          <c:tx>
            <c:v>CL_max</c:v>
          </c:tx>
          <c:marker>
            <c:symbol val="none"/>
          </c:marker>
          <c:xVal>
            <c:numRef>
              <c:f>'Drag Polar High Lift'!$B$51:$B$52</c:f>
              <c:numCache>
                <c:formatCode>General</c:formatCode>
                <c:ptCount val="2"/>
                <c:pt idx="0">
                  <c:v>-9.6871467801180575</c:v>
                </c:pt>
                <c:pt idx="1">
                  <c:v>7.8128532198819425</c:v>
                </c:pt>
              </c:numCache>
            </c:numRef>
          </c:xVal>
          <c:yVal>
            <c:numRef>
              <c:f>('Drag Polar High Lift'!$B$9,'Drag Polar High Lift'!$B$9)</c:f>
              <c:numCache>
                <c:formatCode>General</c:formatCode>
                <c:ptCount val="2"/>
                <c:pt idx="0">
                  <c:v>1.75</c:v>
                </c:pt>
                <c:pt idx="1">
                  <c:v>1.75</c:v>
                </c:pt>
              </c:numCache>
            </c:numRef>
          </c:yVal>
          <c:smooth val="0"/>
        </c:ser>
        <c:ser>
          <c:idx val="2"/>
          <c:order val="3"/>
          <c:tx>
            <c:v>Clean</c:v>
          </c:tx>
          <c:marker>
            <c:symbol val="none"/>
          </c:marker>
          <c:xVal>
            <c:numRef>
              <c:f>'Drag Polar Clean'!$B$12:$B$47</c:f>
              <c:numCache>
                <c:formatCode>General</c:formatCode>
                <c:ptCount val="36"/>
                <c:pt idx="0">
                  <c:v>-2.5</c:v>
                </c:pt>
                <c:pt idx="1">
                  <c:v>-2</c:v>
                </c:pt>
                <c:pt idx="2">
                  <c:v>-1.5</c:v>
                </c:pt>
                <c:pt idx="3">
                  <c:v>-1</c:v>
                </c:pt>
                <c:pt idx="4">
                  <c:v>-0.5</c:v>
                </c:pt>
                <c:pt idx="5">
                  <c:v>0</c:v>
                </c:pt>
                <c:pt idx="6">
                  <c:v>0.5</c:v>
                </c:pt>
                <c:pt idx="7">
                  <c:v>1</c:v>
                </c:pt>
                <c:pt idx="8">
                  <c:v>1.5</c:v>
                </c:pt>
                <c:pt idx="9">
                  <c:v>2</c:v>
                </c:pt>
                <c:pt idx="10">
                  <c:v>2.5</c:v>
                </c:pt>
                <c:pt idx="11">
                  <c:v>3</c:v>
                </c:pt>
                <c:pt idx="12">
                  <c:v>3.5</c:v>
                </c:pt>
                <c:pt idx="13">
                  <c:v>4</c:v>
                </c:pt>
                <c:pt idx="14">
                  <c:v>4.5</c:v>
                </c:pt>
                <c:pt idx="15">
                  <c:v>5</c:v>
                </c:pt>
                <c:pt idx="16">
                  <c:v>5.5</c:v>
                </c:pt>
                <c:pt idx="17">
                  <c:v>6</c:v>
                </c:pt>
                <c:pt idx="18">
                  <c:v>6.5</c:v>
                </c:pt>
                <c:pt idx="19">
                  <c:v>7</c:v>
                </c:pt>
                <c:pt idx="20">
                  <c:v>7.5</c:v>
                </c:pt>
                <c:pt idx="21">
                  <c:v>8</c:v>
                </c:pt>
                <c:pt idx="22">
                  <c:v>8.5</c:v>
                </c:pt>
                <c:pt idx="23">
                  <c:v>9</c:v>
                </c:pt>
                <c:pt idx="24">
                  <c:v>9.5</c:v>
                </c:pt>
                <c:pt idx="25">
                  <c:v>10</c:v>
                </c:pt>
                <c:pt idx="26">
                  <c:v>10.5</c:v>
                </c:pt>
                <c:pt idx="27">
                  <c:v>11</c:v>
                </c:pt>
                <c:pt idx="28">
                  <c:v>11.5</c:v>
                </c:pt>
                <c:pt idx="29">
                  <c:v>12</c:v>
                </c:pt>
                <c:pt idx="30">
                  <c:v>12.5</c:v>
                </c:pt>
                <c:pt idx="31">
                  <c:v>13</c:v>
                </c:pt>
                <c:pt idx="32">
                  <c:v>13.5</c:v>
                </c:pt>
                <c:pt idx="33">
                  <c:v>14</c:v>
                </c:pt>
                <c:pt idx="34">
                  <c:v>14.5</c:v>
                </c:pt>
                <c:pt idx="35">
                  <c:v>15</c:v>
                </c:pt>
              </c:numCache>
            </c:numRef>
          </c:xVal>
          <c:yVal>
            <c:numRef>
              <c:f>'Drag Polar Clean'!$C$12:$C$47</c:f>
              <c:numCache>
                <c:formatCode>General</c:formatCode>
                <c:ptCount val="36"/>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dLbls>
          <c:showLegendKey val="0"/>
          <c:showVal val="0"/>
          <c:showCatName val="0"/>
          <c:showSerName val="0"/>
          <c:showPercent val="0"/>
          <c:showBubbleSize val="0"/>
        </c:dLbls>
        <c:axId val="154698880"/>
        <c:axId val="154700800"/>
      </c:scatterChart>
      <c:valAx>
        <c:axId val="154698880"/>
        <c:scaling>
          <c:orientation val="minMax"/>
        </c:scaling>
        <c:delete val="0"/>
        <c:axPos val="b"/>
        <c:title>
          <c:tx>
            <c:rich>
              <a:bodyPr/>
              <a:lstStyle/>
              <a:p>
                <a:pPr>
                  <a:defRPr/>
                </a:pPr>
                <a:r>
                  <a:rPr lang="en-US" sz="1400"/>
                  <a:t>Angle of Attack (degrees)</a:t>
                </a:r>
              </a:p>
            </c:rich>
          </c:tx>
          <c:overlay val="0"/>
        </c:title>
        <c:numFmt formatCode="General" sourceLinked="1"/>
        <c:majorTickMark val="out"/>
        <c:minorTickMark val="none"/>
        <c:tickLblPos val="nextTo"/>
        <c:crossAx val="154700800"/>
        <c:crosses val="autoZero"/>
        <c:crossBetween val="midCat"/>
      </c:valAx>
      <c:valAx>
        <c:axId val="154700800"/>
        <c:scaling>
          <c:orientation val="minMax"/>
        </c:scaling>
        <c:delete val="0"/>
        <c:axPos val="l"/>
        <c:majorGridlines/>
        <c:title>
          <c:tx>
            <c:rich>
              <a:bodyPr rot="-5400000" vert="horz"/>
              <a:lstStyle/>
              <a:p>
                <a:pPr>
                  <a:defRPr/>
                </a:pPr>
                <a:r>
                  <a:rPr lang="en-US" sz="1400"/>
                  <a:t>Lift Coefficient</a:t>
                </a:r>
              </a:p>
            </c:rich>
          </c:tx>
          <c:overlay val="0"/>
        </c:title>
        <c:numFmt formatCode="General" sourceLinked="1"/>
        <c:majorTickMark val="out"/>
        <c:minorTickMark val="none"/>
        <c:tickLblPos val="nextTo"/>
        <c:crossAx val="154698880"/>
        <c:crosses val="autoZero"/>
        <c:crossBetween val="midCat"/>
      </c:valAx>
    </c:plotArea>
    <c:legend>
      <c:legendPos val="r"/>
      <c:legendEntry>
        <c:idx val="0"/>
        <c:txPr>
          <a:bodyPr/>
          <a:lstStyle/>
          <a:p>
            <a:pPr>
              <a:defRPr sz="1200"/>
            </a:pPr>
            <a:endParaRPr lang="en-US"/>
          </a:p>
        </c:txPr>
      </c:legendEntry>
      <c:layout>
        <c:manualLayout>
          <c:xMode val="edge"/>
          <c:yMode val="edge"/>
          <c:x val="0.7724986240481877"/>
          <c:y val="0.36268507532449973"/>
          <c:w val="0.17111447281263023"/>
          <c:h val="0.29959515334555831"/>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2000" baseline="0"/>
              <a:t>Moment Curve</a:t>
            </a:r>
            <a:endParaRPr lang="en-US" sz="2000"/>
          </a:p>
        </c:rich>
      </c:tx>
      <c:layout>
        <c:manualLayout>
          <c:xMode val="edge"/>
          <c:yMode val="edge"/>
          <c:x val="0.37718591895337938"/>
          <c:y val="2.7340041709287805E-2"/>
        </c:manualLayout>
      </c:layout>
      <c:overlay val="0"/>
    </c:title>
    <c:autoTitleDeleted val="0"/>
    <c:plotArea>
      <c:layout>
        <c:manualLayout>
          <c:layoutTarget val="inner"/>
          <c:xMode val="edge"/>
          <c:yMode val="edge"/>
          <c:x val="0.12313104835909312"/>
          <c:y val="0.16262122029266887"/>
          <c:w val="0.64249003661735693"/>
          <c:h val="0.71284909934204488"/>
        </c:manualLayout>
      </c:layout>
      <c:scatterChart>
        <c:scatterStyle val="lineMarker"/>
        <c:varyColors val="0"/>
        <c:ser>
          <c:idx val="0"/>
          <c:order val="0"/>
          <c:tx>
            <c:v>Numerical</c:v>
          </c:tx>
          <c:xVal>
            <c:numRef>
              <c:f>'Drag Polar High Lift'!$B$14:$B$49</c:f>
              <c:numCache>
                <c:formatCode>General</c:formatCode>
                <c:ptCount val="36"/>
                <c:pt idx="0">
                  <c:v>-9.6871467801180575</c:v>
                </c:pt>
                <c:pt idx="1">
                  <c:v>-9.1871467801180575</c:v>
                </c:pt>
                <c:pt idx="2">
                  <c:v>-8.6871467801180575</c:v>
                </c:pt>
                <c:pt idx="3">
                  <c:v>-8.1871467801180575</c:v>
                </c:pt>
                <c:pt idx="4">
                  <c:v>-7.6871467801180575</c:v>
                </c:pt>
                <c:pt idx="5">
                  <c:v>-7.1871467801180575</c:v>
                </c:pt>
                <c:pt idx="6">
                  <c:v>-6.6871467801180575</c:v>
                </c:pt>
                <c:pt idx="7">
                  <c:v>-6.1871467801180575</c:v>
                </c:pt>
                <c:pt idx="8">
                  <c:v>-5.6871467801180575</c:v>
                </c:pt>
                <c:pt idx="9">
                  <c:v>-5.1871467801180575</c:v>
                </c:pt>
                <c:pt idx="10">
                  <c:v>-4.6871467801180575</c:v>
                </c:pt>
                <c:pt idx="11">
                  <c:v>-4.1871467801180575</c:v>
                </c:pt>
                <c:pt idx="12">
                  <c:v>-3.6871467801180575</c:v>
                </c:pt>
                <c:pt idx="13">
                  <c:v>-3.1871467801180575</c:v>
                </c:pt>
                <c:pt idx="14">
                  <c:v>-2.6871467801180575</c:v>
                </c:pt>
                <c:pt idx="15">
                  <c:v>-2.1871467801180575</c:v>
                </c:pt>
                <c:pt idx="16">
                  <c:v>-1.6871467801180575</c:v>
                </c:pt>
                <c:pt idx="17">
                  <c:v>-1.1871467801180575</c:v>
                </c:pt>
                <c:pt idx="18">
                  <c:v>-0.68714678011805752</c:v>
                </c:pt>
                <c:pt idx="19">
                  <c:v>-0.18714678011805752</c:v>
                </c:pt>
                <c:pt idx="20">
                  <c:v>0.31285321988194248</c:v>
                </c:pt>
                <c:pt idx="21">
                  <c:v>0.81285321988194248</c:v>
                </c:pt>
                <c:pt idx="22">
                  <c:v>1.3128532198819425</c:v>
                </c:pt>
                <c:pt idx="23">
                  <c:v>1.8128532198819425</c:v>
                </c:pt>
                <c:pt idx="24">
                  <c:v>2.3128532198819425</c:v>
                </c:pt>
                <c:pt idx="25">
                  <c:v>2.8128532198819425</c:v>
                </c:pt>
                <c:pt idx="26">
                  <c:v>3.3128532198819425</c:v>
                </c:pt>
                <c:pt idx="27">
                  <c:v>3.8128532198819425</c:v>
                </c:pt>
                <c:pt idx="28">
                  <c:v>4.3128532198819425</c:v>
                </c:pt>
                <c:pt idx="29">
                  <c:v>4.8128532198819425</c:v>
                </c:pt>
                <c:pt idx="30">
                  <c:v>5.3128532198819425</c:v>
                </c:pt>
                <c:pt idx="31">
                  <c:v>5.8128532198819425</c:v>
                </c:pt>
                <c:pt idx="32">
                  <c:v>6.3128532198819425</c:v>
                </c:pt>
                <c:pt idx="33">
                  <c:v>6.8128532198819425</c:v>
                </c:pt>
                <c:pt idx="34">
                  <c:v>7.3128532198819425</c:v>
                </c:pt>
                <c:pt idx="35">
                  <c:v>7.8128532198819425</c:v>
                </c:pt>
              </c:numCache>
            </c:numRef>
          </c:xVal>
          <c:yVal>
            <c:numRef>
              <c:f>'Drag Polar High Lift'!$H$14:$H$49</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yVal>
          <c:smooth val="0"/>
        </c:ser>
        <c:ser>
          <c:idx val="5"/>
          <c:order val="1"/>
          <c:tx>
            <c:v>Analytical</c:v>
          </c:tx>
          <c:spPr>
            <a:ln>
              <a:prstDash val="dash"/>
            </a:ln>
          </c:spPr>
          <c:marker>
            <c:symbol val="none"/>
          </c:marker>
          <c:xVal>
            <c:numRef>
              <c:f>'Drag Polar High Lift'!$B$14:$B$49</c:f>
              <c:numCache>
                <c:formatCode>General</c:formatCode>
                <c:ptCount val="36"/>
                <c:pt idx="0">
                  <c:v>-9.6871467801180575</c:v>
                </c:pt>
                <c:pt idx="1">
                  <c:v>-9.1871467801180575</c:v>
                </c:pt>
                <c:pt idx="2">
                  <c:v>-8.6871467801180575</c:v>
                </c:pt>
                <c:pt idx="3">
                  <c:v>-8.1871467801180575</c:v>
                </c:pt>
                <c:pt idx="4">
                  <c:v>-7.6871467801180575</c:v>
                </c:pt>
                <c:pt idx="5">
                  <c:v>-7.1871467801180575</c:v>
                </c:pt>
                <c:pt idx="6">
                  <c:v>-6.6871467801180575</c:v>
                </c:pt>
                <c:pt idx="7">
                  <c:v>-6.1871467801180575</c:v>
                </c:pt>
                <c:pt idx="8">
                  <c:v>-5.6871467801180575</c:v>
                </c:pt>
                <c:pt idx="9">
                  <c:v>-5.1871467801180575</c:v>
                </c:pt>
                <c:pt idx="10">
                  <c:v>-4.6871467801180575</c:v>
                </c:pt>
                <c:pt idx="11">
                  <c:v>-4.1871467801180575</c:v>
                </c:pt>
                <c:pt idx="12">
                  <c:v>-3.6871467801180575</c:v>
                </c:pt>
                <c:pt idx="13">
                  <c:v>-3.1871467801180575</c:v>
                </c:pt>
                <c:pt idx="14">
                  <c:v>-2.6871467801180575</c:v>
                </c:pt>
                <c:pt idx="15">
                  <c:v>-2.1871467801180575</c:v>
                </c:pt>
                <c:pt idx="16">
                  <c:v>-1.6871467801180575</c:v>
                </c:pt>
                <c:pt idx="17">
                  <c:v>-1.1871467801180575</c:v>
                </c:pt>
                <c:pt idx="18">
                  <c:v>-0.68714678011805752</c:v>
                </c:pt>
                <c:pt idx="19">
                  <c:v>-0.18714678011805752</c:v>
                </c:pt>
                <c:pt idx="20">
                  <c:v>0.31285321988194248</c:v>
                </c:pt>
                <c:pt idx="21">
                  <c:v>0.81285321988194248</c:v>
                </c:pt>
                <c:pt idx="22">
                  <c:v>1.3128532198819425</c:v>
                </c:pt>
                <c:pt idx="23">
                  <c:v>1.8128532198819425</c:v>
                </c:pt>
                <c:pt idx="24">
                  <c:v>2.3128532198819425</c:v>
                </c:pt>
                <c:pt idx="25">
                  <c:v>2.8128532198819425</c:v>
                </c:pt>
                <c:pt idx="26">
                  <c:v>3.3128532198819425</c:v>
                </c:pt>
                <c:pt idx="27">
                  <c:v>3.8128532198819425</c:v>
                </c:pt>
                <c:pt idx="28">
                  <c:v>4.3128532198819425</c:v>
                </c:pt>
                <c:pt idx="29">
                  <c:v>4.8128532198819425</c:v>
                </c:pt>
                <c:pt idx="30">
                  <c:v>5.3128532198819425</c:v>
                </c:pt>
                <c:pt idx="31">
                  <c:v>5.8128532198819425</c:v>
                </c:pt>
                <c:pt idx="32">
                  <c:v>6.3128532198819425</c:v>
                </c:pt>
                <c:pt idx="33">
                  <c:v>6.8128532198819425</c:v>
                </c:pt>
                <c:pt idx="34">
                  <c:v>7.3128532198819425</c:v>
                </c:pt>
                <c:pt idx="35">
                  <c:v>7.8128532198819425</c:v>
                </c:pt>
              </c:numCache>
            </c:numRef>
          </c:xVal>
          <c:yVal>
            <c:numRef>
              <c:f>'Drag Polar High Lift'!$Z$14:$Z$49</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yVal>
          <c:smooth val="0"/>
        </c:ser>
        <c:dLbls>
          <c:showLegendKey val="0"/>
          <c:showVal val="0"/>
          <c:showCatName val="0"/>
          <c:showSerName val="0"/>
          <c:showPercent val="0"/>
          <c:showBubbleSize val="0"/>
        </c:dLbls>
        <c:axId val="154866048"/>
        <c:axId val="154867968"/>
      </c:scatterChart>
      <c:valAx>
        <c:axId val="154866048"/>
        <c:scaling>
          <c:orientation val="minMax"/>
        </c:scaling>
        <c:delete val="0"/>
        <c:axPos val="b"/>
        <c:title>
          <c:tx>
            <c:rich>
              <a:bodyPr/>
              <a:lstStyle/>
              <a:p>
                <a:pPr>
                  <a:defRPr/>
                </a:pPr>
                <a:r>
                  <a:rPr lang="en-US" sz="1400"/>
                  <a:t>Angle of Attack (degrees)</a:t>
                </a:r>
              </a:p>
            </c:rich>
          </c:tx>
          <c:overlay val="0"/>
        </c:title>
        <c:numFmt formatCode="General" sourceLinked="1"/>
        <c:majorTickMark val="out"/>
        <c:minorTickMark val="none"/>
        <c:tickLblPos val="nextTo"/>
        <c:crossAx val="154867968"/>
        <c:crosses val="autoZero"/>
        <c:crossBetween val="midCat"/>
      </c:valAx>
      <c:valAx>
        <c:axId val="154867968"/>
        <c:scaling>
          <c:orientation val="minMax"/>
        </c:scaling>
        <c:delete val="0"/>
        <c:axPos val="l"/>
        <c:majorGridlines/>
        <c:title>
          <c:tx>
            <c:rich>
              <a:bodyPr rot="-5400000" vert="horz"/>
              <a:lstStyle/>
              <a:p>
                <a:pPr>
                  <a:defRPr/>
                </a:pPr>
                <a:r>
                  <a:rPr lang="en-US" sz="1400"/>
                  <a:t>Pitching Moment Coefficient</a:t>
                </a:r>
              </a:p>
            </c:rich>
          </c:tx>
          <c:overlay val="0"/>
        </c:title>
        <c:numFmt formatCode="General" sourceLinked="1"/>
        <c:majorTickMark val="out"/>
        <c:minorTickMark val="none"/>
        <c:tickLblPos val="nextTo"/>
        <c:crossAx val="154866048"/>
        <c:crosses val="autoZero"/>
        <c:crossBetween val="midCat"/>
      </c:valAx>
    </c:plotArea>
    <c:legend>
      <c:legendPos val="r"/>
      <c:legendEntry>
        <c:idx val="0"/>
        <c:txPr>
          <a:bodyPr/>
          <a:lstStyle/>
          <a:p>
            <a:pPr>
              <a:defRPr sz="1200"/>
            </a:pPr>
            <a:endParaRPr lang="en-US"/>
          </a:p>
        </c:txPr>
      </c:legendEntry>
      <c:layout>
        <c:manualLayout>
          <c:xMode val="edge"/>
          <c:yMode val="edge"/>
          <c:x val="0.7724986240481877"/>
          <c:y val="0.36268507532449973"/>
          <c:w val="0.197517422263356"/>
          <c:h val="0.18272606335167021"/>
        </c:manualLayout>
      </c:layout>
      <c:overlay val="0"/>
      <c:txPr>
        <a:bodyPr/>
        <a:lstStyle/>
        <a:p>
          <a:pPr>
            <a:defRPr sz="12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aseline="0"/>
              <a:t>Drag Polar Comparisons</a:t>
            </a:r>
            <a:endParaRPr lang="en-US" sz="1600"/>
          </a:p>
        </c:rich>
      </c:tx>
      <c:layout>
        <c:manualLayout>
          <c:xMode val="edge"/>
          <c:yMode val="edge"/>
          <c:x val="0.31298042457846814"/>
          <c:y val="2.734002085355771E-2"/>
        </c:manualLayout>
      </c:layout>
      <c:overlay val="0"/>
    </c:title>
    <c:autoTitleDeleted val="0"/>
    <c:plotArea>
      <c:layout>
        <c:manualLayout>
          <c:layoutTarget val="inner"/>
          <c:xMode val="edge"/>
          <c:yMode val="edge"/>
          <c:x val="0.12313104835909312"/>
          <c:y val="0.11878560385431312"/>
          <c:w val="0.81156436539212407"/>
          <c:h val="0.78956142810915697"/>
        </c:manualLayout>
      </c:layout>
      <c:scatterChart>
        <c:scatterStyle val="lineMarker"/>
        <c:varyColors val="0"/>
        <c:ser>
          <c:idx val="0"/>
          <c:order val="0"/>
          <c:tx>
            <c:v>Numerical XFLR5 / Handbook Method</c:v>
          </c:tx>
          <c:xVal>
            <c:numRef>
              <c:f>Comparison!$D$6:$D$60</c:f>
              <c:numCache>
                <c:formatCode>General</c:formatCode>
                <c:ptCount val="55"/>
                <c:pt idx="0">
                  <c:v>2.6019323396594709E-2</c:v>
                </c:pt>
                <c:pt idx="1">
                  <c:v>2.546532339659471E-2</c:v>
                </c:pt>
                <c:pt idx="2">
                  <c:v>2.5069323396594709E-2</c:v>
                </c:pt>
                <c:pt idx="3">
                  <c:v>2.4828323396594708E-2</c:v>
                </c:pt>
                <c:pt idx="4">
                  <c:v>2.4711323396594709E-2</c:v>
                </c:pt>
                <c:pt idx="5">
                  <c:v>2.473032339659471E-2</c:v>
                </c:pt>
                <c:pt idx="6">
                  <c:v>2.478532339659471E-2</c:v>
                </c:pt>
                <c:pt idx="7">
                  <c:v>2.4846323396594708E-2</c:v>
                </c:pt>
                <c:pt idx="8">
                  <c:v>2.4749323396594709E-2</c:v>
                </c:pt>
                <c:pt idx="9">
                  <c:v>2.5324323396594708E-2</c:v>
                </c:pt>
                <c:pt idx="10">
                  <c:v>2.6319323396594711E-2</c:v>
                </c:pt>
                <c:pt idx="11">
                  <c:v>2.760532339659471E-2</c:v>
                </c:pt>
                <c:pt idx="12">
                  <c:v>2.9334323396594707E-2</c:v>
                </c:pt>
                <c:pt idx="13">
                  <c:v>3.1721323396594704E-2</c:v>
                </c:pt>
                <c:pt idx="14">
                  <c:v>3.4382323396594701E-2</c:v>
                </c:pt>
                <c:pt idx="15">
                  <c:v>3.7075323396594702E-2</c:v>
                </c:pt>
                <c:pt idx="16">
                  <c:v>3.9812323396594705E-2</c:v>
                </c:pt>
                <c:pt idx="17">
                  <c:v>4.2649323396594704E-2</c:v>
                </c:pt>
                <c:pt idx="18">
                  <c:v>4.5604323396594704E-2</c:v>
                </c:pt>
                <c:pt idx="19">
                  <c:v>4.8851323396594711E-2</c:v>
                </c:pt>
                <c:pt idx="20">
                  <c:v>5.39193233965947E-2</c:v>
                </c:pt>
                <c:pt idx="21">
                  <c:v>5.2734323396594708E-2</c:v>
                </c:pt>
                <c:pt idx="22">
                  <c:v>5.90543233965947E-2</c:v>
                </c:pt>
                <c:pt idx="23">
                  <c:v>6.7059323396594706E-2</c:v>
                </c:pt>
                <c:pt idx="24">
                  <c:v>6.5805323396594714E-2</c:v>
                </c:pt>
                <c:pt idx="25">
                  <c:v>7.1572323396594709E-2</c:v>
                </c:pt>
                <c:pt idx="26">
                  <c:v>7.4975323396594712E-2</c:v>
                </c:pt>
                <c:pt idx="27">
                  <c:v>7.9513323396594712E-2</c:v>
                </c:pt>
                <c:pt idx="28">
                  <c:v>8.4220323396594715E-2</c:v>
                </c:pt>
                <c:pt idx="29">
                  <c:v>8.9237323396594709E-2</c:v>
                </c:pt>
                <c:pt idx="30">
                  <c:v>9.4423323396594719E-2</c:v>
                </c:pt>
                <c:pt idx="31">
                  <c:v>9.9843323396594713E-2</c:v>
                </c:pt>
                <c:pt idx="32">
                  <c:v>0.10546832339659472</c:v>
                </c:pt>
                <c:pt idx="33">
                  <c:v>0.11127932339659471</c:v>
                </c:pt>
                <c:pt idx="34">
                  <c:v>0.11728632339659471</c:v>
                </c:pt>
                <c:pt idx="35">
                  <c:v>0.12356532339659472</c:v>
                </c:pt>
              </c:numCache>
            </c:numRef>
          </c:xVal>
          <c:yVal>
            <c:numRef>
              <c:f>Comparison!$B$6:$B$60</c:f>
              <c:numCache>
                <c:formatCode>General</c:formatCode>
                <c:ptCount val="55"/>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1"/>
          <c:tx>
            <c:v>FLOPS</c:v>
          </c:tx>
          <c:spPr>
            <a:ln>
              <a:prstDash val="dash"/>
            </a:ln>
          </c:spPr>
          <c:marker>
            <c:symbol val="square"/>
            <c:size val="4"/>
          </c:marker>
          <c:xVal>
            <c:numRef>
              <c:f>Comparison!$J$6:$J$60</c:f>
              <c:numCache>
                <c:formatCode>General</c:formatCode>
                <c:ptCount val="55"/>
                <c:pt idx="3">
                  <c:v>2.3369476366372322E-2</c:v>
                </c:pt>
                <c:pt idx="4">
                  <c:v>2.2384404610542433E-2</c:v>
                </c:pt>
                <c:pt idx="5">
                  <c:v>2.1830621801964413E-2</c:v>
                </c:pt>
                <c:pt idx="6">
                  <c:v>2.1486715710014773E-2</c:v>
                </c:pt>
                <c:pt idx="7">
                  <c:v>2.1554311498171906E-2</c:v>
                </c:pt>
                <c:pt idx="8">
                  <c:v>2.1832304077109552E-2</c:v>
                </c:pt>
                <c:pt idx="9">
                  <c:v>2.2501968279646404E-2</c:v>
                </c:pt>
                <c:pt idx="10">
                  <c:v>2.3387420800352197E-2</c:v>
                </c:pt>
                <c:pt idx="11">
                  <c:v>2.4662457908363539E-2</c:v>
                </c:pt>
                <c:pt idx="12">
                  <c:v>2.616876041589802E-2</c:v>
                </c:pt>
                <c:pt idx="13">
                  <c:v>2.8028098440707964E-2</c:v>
                </c:pt>
                <c:pt idx="14">
                  <c:v>3.012312810414447E-2</c:v>
                </c:pt>
                <c:pt idx="15">
                  <c:v>3.232432282699322E-2</c:v>
                </c:pt>
                <c:pt idx="16">
                  <c:v>3.4816863945964449E-2</c:v>
                </c:pt>
                <c:pt idx="17">
                  <c:v>3.7883982681087523E-2</c:v>
                </c:pt>
                <c:pt idx="18">
                  <c:v>4.1316063738623704E-2</c:v>
                </c:pt>
                <c:pt idx="19">
                  <c:v>4.4977157676419792E-2</c:v>
                </c:pt>
                <c:pt idx="20">
                  <c:v>4.9041226735184087E-2</c:v>
                </c:pt>
                <c:pt idx="21">
                  <c:v>5.3282303717333834E-2</c:v>
                </c:pt>
                <c:pt idx="22">
                  <c:v>5.8952274633386606E-2</c:v>
                </c:pt>
                <c:pt idx="23">
                  <c:v>6.5206488650273425E-2</c:v>
                </c:pt>
                <c:pt idx="24">
                  <c:v>7.2068317194935047E-2</c:v>
                </c:pt>
                <c:pt idx="25">
                  <c:v>7.8653303485687442E-2</c:v>
                </c:pt>
                <c:pt idx="26">
                  <c:v>8.5661942413375991E-2</c:v>
                </c:pt>
                <c:pt idx="27">
                  <c:v>9.2892766577752792E-2</c:v>
                </c:pt>
              </c:numCache>
            </c:numRef>
          </c:xVal>
          <c:yVal>
            <c:numRef>
              <c:f>Comparison!$I$6:$I$60</c:f>
              <c:numCache>
                <c:formatCode>General</c:formatCode>
                <c:ptCount val="55"/>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numCache>
            </c:numRef>
          </c:yVal>
          <c:smooth val="0"/>
        </c:ser>
        <c:dLbls>
          <c:showLegendKey val="0"/>
          <c:showVal val="0"/>
          <c:showCatName val="0"/>
          <c:showSerName val="0"/>
          <c:showPercent val="0"/>
          <c:showBubbleSize val="0"/>
        </c:dLbls>
        <c:axId val="154948352"/>
        <c:axId val="154950272"/>
      </c:scatterChart>
      <c:valAx>
        <c:axId val="154948352"/>
        <c:scaling>
          <c:orientation val="minMax"/>
        </c:scaling>
        <c:delete val="0"/>
        <c:axPos val="b"/>
        <c:title>
          <c:tx>
            <c:rich>
              <a:bodyPr/>
              <a:lstStyle/>
              <a:p>
                <a:pPr>
                  <a:defRPr sz="1200"/>
                </a:pPr>
                <a:r>
                  <a:rPr lang="en-US" sz="1200"/>
                  <a:t>Drag Coefficient</a:t>
                </a:r>
              </a:p>
            </c:rich>
          </c:tx>
          <c:overlay val="0"/>
        </c:title>
        <c:numFmt formatCode="General" sourceLinked="1"/>
        <c:majorTickMark val="out"/>
        <c:minorTickMark val="none"/>
        <c:tickLblPos val="nextTo"/>
        <c:crossAx val="154950272"/>
        <c:crosses val="autoZero"/>
        <c:crossBetween val="midCat"/>
      </c:valAx>
      <c:valAx>
        <c:axId val="154950272"/>
        <c:scaling>
          <c:orientation val="minMax"/>
        </c:scaling>
        <c:delete val="0"/>
        <c:axPos val="l"/>
        <c:majorGridlines/>
        <c:title>
          <c:tx>
            <c:rich>
              <a:bodyPr rot="-5400000" vert="horz"/>
              <a:lstStyle/>
              <a:p>
                <a:pPr>
                  <a:defRPr sz="1200"/>
                </a:pPr>
                <a:r>
                  <a:rPr lang="en-US" sz="1200"/>
                  <a:t>Lift Coefficient</a:t>
                </a:r>
              </a:p>
            </c:rich>
          </c:tx>
          <c:overlay val="0"/>
        </c:title>
        <c:numFmt formatCode="General" sourceLinked="1"/>
        <c:majorTickMark val="out"/>
        <c:minorTickMark val="none"/>
        <c:tickLblPos val="nextTo"/>
        <c:crossAx val="154948352"/>
        <c:crosses val="autoZero"/>
        <c:crossBetween val="midCat"/>
      </c:valAx>
    </c:plotArea>
    <c:legend>
      <c:legendPos val="r"/>
      <c:legendEntry>
        <c:idx val="0"/>
        <c:txPr>
          <a:bodyPr/>
          <a:lstStyle/>
          <a:p>
            <a:pPr>
              <a:defRPr sz="1000"/>
            </a:pPr>
            <a:endParaRPr lang="en-US"/>
          </a:p>
        </c:txPr>
      </c:legendEntry>
      <c:layout>
        <c:manualLayout>
          <c:xMode val="edge"/>
          <c:yMode val="edge"/>
          <c:x val="0.48999456359999177"/>
          <c:y val="0.70241110272174456"/>
          <c:w val="0.41432867200510942"/>
          <c:h val="9.8707798511490655E-2"/>
        </c:manualLayout>
      </c:layout>
      <c:overlay val="0"/>
      <c:spPr>
        <a:solidFill>
          <a:sysClr val="window" lastClr="FFFFFF"/>
        </a:solidFill>
      </c:spPr>
      <c:txPr>
        <a:bodyPr/>
        <a:lstStyle/>
        <a:p>
          <a:pPr>
            <a:defRPr sz="10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baseline="0"/>
              <a:t>Drag Polar Comparisons</a:t>
            </a:r>
            <a:endParaRPr lang="en-US" sz="1600"/>
          </a:p>
        </c:rich>
      </c:tx>
      <c:layout>
        <c:manualLayout>
          <c:xMode val="edge"/>
          <c:yMode val="edge"/>
          <c:x val="0.31298042457846914"/>
          <c:y val="2.734002085355771E-2"/>
        </c:manualLayout>
      </c:layout>
      <c:overlay val="0"/>
    </c:title>
    <c:autoTitleDeleted val="0"/>
    <c:plotArea>
      <c:layout>
        <c:manualLayout>
          <c:layoutTarget val="inner"/>
          <c:xMode val="edge"/>
          <c:yMode val="edge"/>
          <c:x val="0.12313104835909312"/>
          <c:y val="0.11878560385431312"/>
          <c:w val="0.81156436539212307"/>
          <c:h val="0.78956142810915697"/>
        </c:manualLayout>
      </c:layout>
      <c:scatterChart>
        <c:scatterStyle val="lineMarker"/>
        <c:varyColors val="0"/>
        <c:ser>
          <c:idx val="0"/>
          <c:order val="0"/>
          <c:tx>
            <c:v>Analytical XFLR5 / Handbook Method</c:v>
          </c:tx>
          <c:xVal>
            <c:numRef>
              <c:f>Comparison!$C$6:$C$60</c:f>
              <c:numCache>
                <c:formatCode>General</c:formatCode>
                <c:ptCount val="55"/>
                <c:pt idx="0">
                  <c:v>2.2811160289377325E-2</c:v>
                </c:pt>
                <c:pt idx="1">
                  <c:v>2.2093206945901538E-2</c:v>
                </c:pt>
                <c:pt idx="2">
                  <c:v>2.1584832310327116E-2</c:v>
                </c:pt>
                <c:pt idx="3">
                  <c:v>2.1285937671217541E-2</c:v>
                </c:pt>
                <c:pt idx="4">
                  <c:v>2.1196406300879034E-2</c:v>
                </c:pt>
                <c:pt idx="5">
                  <c:v>2.1316071420504588E-2</c:v>
                </c:pt>
                <c:pt idx="6">
                  <c:v>2.1644739722383774E-2</c:v>
                </c:pt>
                <c:pt idx="7">
                  <c:v>2.2182192931933641E-2</c:v>
                </c:pt>
                <c:pt idx="8">
                  <c:v>2.2928160956688558E-2</c:v>
                </c:pt>
                <c:pt idx="9">
                  <c:v>2.3882365890545373E-2</c:v>
                </c:pt>
                <c:pt idx="10">
                  <c:v>2.5044486928167995E-2</c:v>
                </c:pt>
                <c:pt idx="11">
                  <c:v>2.641416926108988E-2</c:v>
                </c:pt>
                <c:pt idx="12">
                  <c:v>2.799102411966245E-2</c:v>
                </c:pt>
                <c:pt idx="13">
                  <c:v>2.9774667541154792E-2</c:v>
                </c:pt>
                <c:pt idx="14">
                  <c:v>3.1764569785049712E-2</c:v>
                </c:pt>
                <c:pt idx="15">
                  <c:v>3.3960322181409257E-2</c:v>
                </c:pt>
                <c:pt idx="16">
                  <c:v>3.636131038848394E-2</c:v>
                </c:pt>
                <c:pt idx="17">
                  <c:v>3.8967075294404421E-2</c:v>
                </c:pt>
                <c:pt idx="18">
                  <c:v>4.1777218104656108E-2</c:v>
                </c:pt>
                <c:pt idx="19">
                  <c:v>4.4792834402480039E-2</c:v>
                </c:pt>
                <c:pt idx="20">
                  <c:v>4.8063306738476516E-2</c:v>
                </c:pt>
                <c:pt idx="21">
                  <c:v>5.1333070825697186E-2</c:v>
                </c:pt>
                <c:pt idx="22">
                  <c:v>5.505104362734569E-2</c:v>
                </c:pt>
                <c:pt idx="23">
                  <c:v>5.8739282402115706E-2</c:v>
                </c:pt>
                <c:pt idx="24">
                  <c:v>6.2937610858199114E-2</c:v>
                </c:pt>
                <c:pt idx="25">
                  <c:v>6.7098818832099644E-2</c:v>
                </c:pt>
                <c:pt idx="26">
                  <c:v>7.1651440268300517E-2</c:v>
                </c:pt>
                <c:pt idx="27">
                  <c:v>7.6462514745680318E-2</c:v>
                </c:pt>
                <c:pt idx="28">
                  <c:v>8.1378330534642274E-2</c:v>
                </c:pt>
                <c:pt idx="29">
                  <c:v>8.6586490636508015E-2</c:v>
                </c:pt>
                <c:pt idx="30">
                  <c:v>9.1960475061577812E-2</c:v>
                </c:pt>
                <c:pt idx="31">
                  <c:v>9.7538449104840996E-2</c:v>
                </c:pt>
                <c:pt idx="32">
                  <c:v>0.10332392981347119</c:v>
                </c:pt>
                <c:pt idx="33">
                  <c:v>0.10931883690406885</c:v>
                </c:pt>
                <c:pt idx="34">
                  <c:v>0.1155232338698992</c:v>
                </c:pt>
                <c:pt idx="35">
                  <c:v>0.12193695321981858</c:v>
                </c:pt>
              </c:numCache>
            </c:numRef>
          </c:xVal>
          <c:yVal>
            <c:numRef>
              <c:f>Comparison!$B$6:$B$60</c:f>
              <c:numCache>
                <c:formatCode>General</c:formatCode>
                <c:ptCount val="55"/>
                <c:pt idx="0">
                  <c:v>-9.9982000000000001E-2</c:v>
                </c:pt>
                <c:pt idx="1">
                  <c:v>-5.1019000000000002E-2</c:v>
                </c:pt>
                <c:pt idx="2">
                  <c:v>-2.0639999999999999E-3</c:v>
                </c:pt>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pt idx="28">
                  <c:v>1.265865</c:v>
                </c:pt>
                <c:pt idx="29">
                  <c:v>1.3155920000000001</c:v>
                </c:pt>
                <c:pt idx="30">
                  <c:v>1.3648670000000001</c:v>
                </c:pt>
                <c:pt idx="31">
                  <c:v>1.4140710000000001</c:v>
                </c:pt>
                <c:pt idx="32">
                  <c:v>1.463241</c:v>
                </c:pt>
                <c:pt idx="33">
                  <c:v>1.5123960000000001</c:v>
                </c:pt>
                <c:pt idx="34">
                  <c:v>1.5615380000000001</c:v>
                </c:pt>
                <c:pt idx="35">
                  <c:v>1.6106670000000001</c:v>
                </c:pt>
              </c:numCache>
            </c:numRef>
          </c:yVal>
          <c:smooth val="0"/>
        </c:ser>
        <c:ser>
          <c:idx val="5"/>
          <c:order val="1"/>
          <c:tx>
            <c:v>FLOPS</c:v>
          </c:tx>
          <c:spPr>
            <a:ln>
              <a:prstDash val="dash"/>
            </a:ln>
          </c:spPr>
          <c:marker>
            <c:symbol val="square"/>
            <c:size val="4"/>
          </c:marker>
          <c:xVal>
            <c:numRef>
              <c:f>Comparison!$J$6:$J$60</c:f>
              <c:numCache>
                <c:formatCode>General</c:formatCode>
                <c:ptCount val="55"/>
                <c:pt idx="3">
                  <c:v>2.3369476366372322E-2</c:v>
                </c:pt>
                <c:pt idx="4">
                  <c:v>2.2384404610542433E-2</c:v>
                </c:pt>
                <c:pt idx="5">
                  <c:v>2.1830621801964413E-2</c:v>
                </c:pt>
                <c:pt idx="6">
                  <c:v>2.1486715710014773E-2</c:v>
                </c:pt>
                <c:pt idx="7">
                  <c:v>2.1554311498171906E-2</c:v>
                </c:pt>
                <c:pt idx="8">
                  <c:v>2.1832304077109552E-2</c:v>
                </c:pt>
                <c:pt idx="9">
                  <c:v>2.2501968279646404E-2</c:v>
                </c:pt>
                <c:pt idx="10">
                  <c:v>2.3387420800352197E-2</c:v>
                </c:pt>
                <c:pt idx="11">
                  <c:v>2.4662457908363539E-2</c:v>
                </c:pt>
                <c:pt idx="12">
                  <c:v>2.616876041589802E-2</c:v>
                </c:pt>
                <c:pt idx="13">
                  <c:v>2.8028098440707964E-2</c:v>
                </c:pt>
                <c:pt idx="14">
                  <c:v>3.012312810414447E-2</c:v>
                </c:pt>
                <c:pt idx="15">
                  <c:v>3.232432282699322E-2</c:v>
                </c:pt>
                <c:pt idx="16">
                  <c:v>3.4816863945964449E-2</c:v>
                </c:pt>
                <c:pt idx="17">
                  <c:v>3.7883982681087523E-2</c:v>
                </c:pt>
                <c:pt idx="18">
                  <c:v>4.1316063738623704E-2</c:v>
                </c:pt>
                <c:pt idx="19">
                  <c:v>4.4977157676419792E-2</c:v>
                </c:pt>
                <c:pt idx="20">
                  <c:v>4.9041226735184087E-2</c:v>
                </c:pt>
                <c:pt idx="21">
                  <c:v>5.3282303717333834E-2</c:v>
                </c:pt>
                <c:pt idx="22">
                  <c:v>5.8952274633386606E-2</c:v>
                </c:pt>
                <c:pt idx="23">
                  <c:v>6.5206488650273425E-2</c:v>
                </c:pt>
                <c:pt idx="24">
                  <c:v>7.2068317194935047E-2</c:v>
                </c:pt>
                <c:pt idx="25">
                  <c:v>7.8653303485687442E-2</c:v>
                </c:pt>
                <c:pt idx="26">
                  <c:v>8.5661942413375991E-2</c:v>
                </c:pt>
                <c:pt idx="27">
                  <c:v>9.2892766577752792E-2</c:v>
                </c:pt>
              </c:numCache>
            </c:numRef>
          </c:xVal>
          <c:yVal>
            <c:numRef>
              <c:f>Comparison!$I$6:$I$60</c:f>
              <c:numCache>
                <c:formatCode>General</c:formatCode>
                <c:ptCount val="55"/>
                <c:pt idx="3">
                  <c:v>4.6882E-2</c:v>
                </c:pt>
                <c:pt idx="4">
                  <c:v>9.5814999999999997E-2</c:v>
                </c:pt>
                <c:pt idx="5">
                  <c:v>0.144735</c:v>
                </c:pt>
                <c:pt idx="6">
                  <c:v>0.19363900000000001</c:v>
                </c:pt>
                <c:pt idx="7">
                  <c:v>0.24252599999999999</c:v>
                </c:pt>
                <c:pt idx="8">
                  <c:v>0.29139300000000001</c:v>
                </c:pt>
                <c:pt idx="9">
                  <c:v>0.34023900000000001</c:v>
                </c:pt>
                <c:pt idx="10">
                  <c:v>0.38906200000000002</c:v>
                </c:pt>
                <c:pt idx="11">
                  <c:v>0.43786000000000003</c:v>
                </c:pt>
                <c:pt idx="12">
                  <c:v>0.48663099999999998</c:v>
                </c:pt>
                <c:pt idx="13">
                  <c:v>0.53537400000000002</c:v>
                </c:pt>
                <c:pt idx="14">
                  <c:v>0.58408499999999997</c:v>
                </c:pt>
                <c:pt idx="15">
                  <c:v>0.63276399999999999</c:v>
                </c:pt>
                <c:pt idx="16">
                  <c:v>0.68140699999999998</c:v>
                </c:pt>
                <c:pt idx="17">
                  <c:v>0.73001400000000005</c:v>
                </c:pt>
                <c:pt idx="18">
                  <c:v>0.778586</c:v>
                </c:pt>
                <c:pt idx="19">
                  <c:v>0.82714699999999997</c:v>
                </c:pt>
                <c:pt idx="20">
                  <c:v>0.87641999999999998</c:v>
                </c:pt>
                <c:pt idx="21">
                  <c:v>0.92276499999999995</c:v>
                </c:pt>
                <c:pt idx="22">
                  <c:v>0.97250300000000001</c:v>
                </c:pt>
                <c:pt idx="23">
                  <c:v>1.0192099999999999</c:v>
                </c:pt>
                <c:pt idx="24">
                  <c:v>1.0696639999999999</c:v>
                </c:pt>
                <c:pt idx="25">
                  <c:v>1.117224</c:v>
                </c:pt>
                <c:pt idx="26">
                  <c:v>1.166849</c:v>
                </c:pt>
                <c:pt idx="27">
                  <c:v>1.2169140000000001</c:v>
                </c:pt>
              </c:numCache>
            </c:numRef>
          </c:yVal>
          <c:smooth val="0"/>
        </c:ser>
        <c:dLbls>
          <c:showLegendKey val="0"/>
          <c:showVal val="0"/>
          <c:showCatName val="0"/>
          <c:showSerName val="0"/>
          <c:showPercent val="0"/>
          <c:showBubbleSize val="0"/>
        </c:dLbls>
        <c:axId val="154976640"/>
        <c:axId val="154978560"/>
      </c:scatterChart>
      <c:valAx>
        <c:axId val="154976640"/>
        <c:scaling>
          <c:orientation val="minMax"/>
        </c:scaling>
        <c:delete val="0"/>
        <c:axPos val="b"/>
        <c:title>
          <c:tx>
            <c:rich>
              <a:bodyPr/>
              <a:lstStyle/>
              <a:p>
                <a:pPr>
                  <a:defRPr sz="1200"/>
                </a:pPr>
                <a:r>
                  <a:rPr lang="en-US" sz="1200"/>
                  <a:t>Drag Coefficient</a:t>
                </a:r>
              </a:p>
            </c:rich>
          </c:tx>
          <c:overlay val="0"/>
        </c:title>
        <c:numFmt formatCode="General" sourceLinked="1"/>
        <c:majorTickMark val="out"/>
        <c:minorTickMark val="none"/>
        <c:tickLblPos val="nextTo"/>
        <c:crossAx val="154978560"/>
        <c:crosses val="autoZero"/>
        <c:crossBetween val="midCat"/>
      </c:valAx>
      <c:valAx>
        <c:axId val="154978560"/>
        <c:scaling>
          <c:orientation val="minMax"/>
        </c:scaling>
        <c:delete val="0"/>
        <c:axPos val="l"/>
        <c:majorGridlines/>
        <c:title>
          <c:tx>
            <c:rich>
              <a:bodyPr rot="-5400000" vert="horz"/>
              <a:lstStyle/>
              <a:p>
                <a:pPr>
                  <a:defRPr sz="1200"/>
                </a:pPr>
                <a:r>
                  <a:rPr lang="en-US" sz="1200"/>
                  <a:t>Lift Coefficient</a:t>
                </a:r>
              </a:p>
            </c:rich>
          </c:tx>
          <c:overlay val="0"/>
        </c:title>
        <c:numFmt formatCode="General" sourceLinked="1"/>
        <c:majorTickMark val="out"/>
        <c:minorTickMark val="none"/>
        <c:tickLblPos val="nextTo"/>
        <c:crossAx val="154976640"/>
        <c:crosses val="autoZero"/>
        <c:crossBetween val="midCat"/>
      </c:valAx>
    </c:plotArea>
    <c:legend>
      <c:legendPos val="r"/>
      <c:legendEntry>
        <c:idx val="0"/>
        <c:txPr>
          <a:bodyPr/>
          <a:lstStyle/>
          <a:p>
            <a:pPr>
              <a:defRPr sz="1000"/>
            </a:pPr>
            <a:endParaRPr lang="en-US"/>
          </a:p>
        </c:txPr>
      </c:legendEntry>
      <c:layout>
        <c:manualLayout>
          <c:xMode val="edge"/>
          <c:yMode val="edge"/>
          <c:x val="0.48999456359999177"/>
          <c:y val="0.70971703879480963"/>
          <c:w val="0.41432867200511025"/>
          <c:h val="9.1401862438428225E-2"/>
        </c:manualLayout>
      </c:layout>
      <c:overlay val="0"/>
      <c:spPr>
        <a:solidFill>
          <a:sysClr val="window" lastClr="FFFFFF"/>
        </a:solidFill>
      </c:spPr>
      <c:txPr>
        <a:bodyPr/>
        <a:lstStyle/>
        <a:p>
          <a:pPr>
            <a:defRPr sz="1000"/>
          </a:pPr>
          <a:endParaRPr lang="en-US"/>
        </a:p>
      </c:txPr>
    </c:legend>
    <c:plotVisOnly val="1"/>
    <c:dispBlanksAs val="gap"/>
    <c:showDLblsOverMax val="0"/>
  </c:chart>
  <c:printSettings>
    <c:headerFooter/>
    <c:pageMargins b="0.75000000000001465" l="0.70000000000000362" r="0.700000000000003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28574</xdr:colOff>
      <xdr:row>1</xdr:row>
      <xdr:rowOff>38100</xdr:rowOff>
    </xdr:from>
    <xdr:to>
      <xdr:col>11</xdr:col>
      <xdr:colOff>552449</xdr:colOff>
      <xdr:row>20</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38100</xdr:colOff>
          <xdr:row>2</xdr:row>
          <xdr:rowOff>22860</xdr:rowOff>
        </xdr:from>
        <xdr:to>
          <xdr:col>14</xdr:col>
          <xdr:colOff>579120</xdr:colOff>
          <xdr:row>4</xdr:row>
          <xdr:rowOff>76200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Generate Wing + Tail Combined Data</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784860</xdr:colOff>
      <xdr:row>4</xdr:row>
      <xdr:rowOff>95250</xdr:rowOff>
    </xdr:from>
    <xdr:to>
      <xdr:col>19</xdr:col>
      <xdr:colOff>982980</xdr:colOff>
      <xdr:row>20</xdr:row>
      <xdr:rowOff>64770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28575</xdr:colOff>
      <xdr:row>53</xdr:row>
      <xdr:rowOff>19050</xdr:rowOff>
    </xdr:from>
    <xdr:to>
      <xdr:col>9</xdr:col>
      <xdr:colOff>571499</xdr:colOff>
      <xdr:row>74</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76</xdr:row>
      <xdr:rowOff>0</xdr:rowOff>
    </xdr:from>
    <xdr:to>
      <xdr:col>9</xdr:col>
      <xdr:colOff>542924</xdr:colOff>
      <xdr:row>97</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99</xdr:row>
      <xdr:rowOff>0</xdr:rowOff>
    </xdr:from>
    <xdr:to>
      <xdr:col>9</xdr:col>
      <xdr:colOff>542924</xdr:colOff>
      <xdr:row>120</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28575</xdr:colOff>
      <xdr:row>55</xdr:row>
      <xdr:rowOff>19050</xdr:rowOff>
    </xdr:from>
    <xdr:to>
      <xdr:col>9</xdr:col>
      <xdr:colOff>571499</xdr:colOff>
      <xdr:row>76</xdr:row>
      <xdr:rowOff>95250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78</xdr:row>
      <xdr:rowOff>0</xdr:rowOff>
    </xdr:from>
    <xdr:to>
      <xdr:col>9</xdr:col>
      <xdr:colOff>542924</xdr:colOff>
      <xdr:row>99</xdr:row>
      <xdr:rowOff>76200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101</xdr:row>
      <xdr:rowOff>0</xdr:rowOff>
    </xdr:from>
    <xdr:to>
      <xdr:col>9</xdr:col>
      <xdr:colOff>542924</xdr:colOff>
      <xdr:row>122</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23</xdr:col>
      <xdr:colOff>57150</xdr:colOff>
      <xdr:row>2</xdr:row>
      <xdr:rowOff>0</xdr:rowOff>
    </xdr:from>
    <xdr:to>
      <xdr:col>32</xdr:col>
      <xdr:colOff>504824</xdr:colOff>
      <xdr:row>23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66675</xdr:colOff>
      <xdr:row>24</xdr:row>
      <xdr:rowOff>9525</xdr:rowOff>
    </xdr:from>
    <xdr:to>
      <xdr:col>32</xdr:col>
      <xdr:colOff>514349</xdr:colOff>
      <xdr:row>45</xdr:row>
      <xdr:rowOff>85725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N364"/>
  <sheetViews>
    <sheetView workbookViewId="0">
      <selection activeCell="A3" sqref="A3"/>
    </sheetView>
  </sheetViews>
  <sheetFormatPr defaultColWidth="8.88671875" defaultRowHeight="13.2" x14ac:dyDescent="0.25"/>
  <cols>
    <col min="1" max="1" width="17" style="1" customWidth="1"/>
    <col min="2" max="12" width="8.88671875" style="1"/>
    <col min="13" max="13" width="4" style="1" customWidth="1"/>
    <col min="14" max="16384" width="8.88671875" style="1"/>
  </cols>
  <sheetData>
    <row r="1" spans="1:14" x14ac:dyDescent="0.25">
      <c r="A1" s="1" t="s">
        <v>20</v>
      </c>
      <c r="B1" s="8">
        <v>3400</v>
      </c>
      <c r="C1" s="1" t="s">
        <v>87</v>
      </c>
      <c r="E1" s="21" t="s">
        <v>474</v>
      </c>
      <c r="F1" s="1">
        <v>7</v>
      </c>
      <c r="N1" s="1" t="s">
        <v>148</v>
      </c>
    </row>
    <row r="2" spans="1:14" x14ac:dyDescent="0.25">
      <c r="A2" s="1" t="s">
        <v>187</v>
      </c>
      <c r="B2" s="8">
        <v>10.26</v>
      </c>
      <c r="E2" s="21" t="s">
        <v>2</v>
      </c>
      <c r="F2" s="1">
        <f ca="1">B282</f>
        <v>0.97934103412659035</v>
      </c>
      <c r="N2" s="13" t="s">
        <v>159</v>
      </c>
    </row>
    <row r="3" spans="1:14" x14ac:dyDescent="0.25">
      <c r="A3" s="1" t="str">
        <f>CD0!A2</f>
        <v>Altitude</v>
      </c>
      <c r="B3" s="1">
        <f>CD0!B2</f>
        <v>8000</v>
      </c>
      <c r="C3" s="1" t="str">
        <f>CD0!C2</f>
        <v>ft</v>
      </c>
      <c r="N3" s="37" t="s">
        <v>136</v>
      </c>
    </row>
    <row r="4" spans="1:14" x14ac:dyDescent="0.25">
      <c r="A4" s="1" t="str">
        <f>CD0!A3</f>
        <v>Velocity</v>
      </c>
      <c r="B4" s="1">
        <f>CD0!B4</f>
        <v>219.4153</v>
      </c>
      <c r="C4" s="1" t="str">
        <f>CD0!C4</f>
        <v>ft / sec</v>
      </c>
      <c r="N4" s="37" t="s">
        <v>137</v>
      </c>
    </row>
    <row r="5" spans="1:14" x14ac:dyDescent="0.25">
      <c r="A5" s="1" t="str">
        <f>CD0!A6</f>
        <v>Density</v>
      </c>
      <c r="B5" s="1">
        <f>CD0!B6</f>
        <v>1.868460058481886E-3</v>
      </c>
      <c r="C5" s="1" t="str">
        <f>CD0!C6</f>
        <v>slugs / ft^3</v>
      </c>
      <c r="N5" s="37" t="s">
        <v>138</v>
      </c>
    </row>
    <row r="6" spans="1:14" x14ac:dyDescent="0.25">
      <c r="A6" s="1" t="str">
        <f>CD0!A12</f>
        <v>Ref Area</v>
      </c>
      <c r="B6" s="1">
        <f>CD0!B12</f>
        <v>144.9</v>
      </c>
      <c r="C6" s="1" t="str">
        <f>CD0!C12</f>
        <v>ft^2</v>
      </c>
      <c r="N6" s="37" t="s">
        <v>135</v>
      </c>
    </row>
    <row r="7" spans="1:14" x14ac:dyDescent="0.25">
      <c r="A7" s="13" t="s">
        <v>185</v>
      </c>
      <c r="B7" s="13">
        <f>2*B1/(B5*B4^2*B6)</f>
        <v>0.52170246983857627</v>
      </c>
      <c r="N7" s="37" t="s">
        <v>139</v>
      </c>
    </row>
    <row r="8" spans="1:14" x14ac:dyDescent="0.25">
      <c r="N8" s="37" t="s">
        <v>140</v>
      </c>
    </row>
    <row r="9" spans="1:14" x14ac:dyDescent="0.25">
      <c r="A9" s="13" t="s">
        <v>188</v>
      </c>
      <c r="B9" s="1" t="s">
        <v>189</v>
      </c>
      <c r="N9" s="37" t="s">
        <v>141</v>
      </c>
    </row>
    <row r="10" spans="1:14" x14ac:dyDescent="0.25">
      <c r="A10" s="44" t="s">
        <v>119</v>
      </c>
      <c r="B10">
        <f>MATCH($B$7,B15:B51,1)+ROW()+4</f>
        <v>27</v>
      </c>
      <c r="F10" s="21" t="s">
        <v>736</v>
      </c>
      <c r="G10">
        <f>MATCH(0,G15:G51,-1)+ROW()+4</f>
        <v>18</v>
      </c>
      <c r="N10" s="37" t="s">
        <v>142</v>
      </c>
    </row>
    <row r="11" spans="1:14" x14ac:dyDescent="0.25">
      <c r="A11" s="45" t="s">
        <v>186</v>
      </c>
      <c r="B11">
        <f ca="1">INDIRECT(CONCATENATE("C",B10+1)) - (INDIRECT(CONCATENATE("B",B10+1))-$B$7) / (INDIRECT(CONCATENATE("B",B10+1))-INDIRECT(CONCATENATE("B",B10))) * (INDIRECT(CONCATENATE("C",B10+1)) - INDIRECT(CONCATENATE("C",B10)) )</f>
        <v>8.5392445387684653E-3</v>
      </c>
      <c r="F11" s="21" t="s">
        <v>737</v>
      </c>
      <c r="G11" s="1">
        <f ca="1">INDIRECT(CONCATENATE("B",G10+1)) - (INDIRECT(CONCATENATE("B",G10+1))-INDIRECT(CONCATENATE("B",G10))) / (INDIRECT(CONCATENATE("G",G10+1))-INDIRECT(CONCATENATE("G",G10))) * (INDIRECT(CONCATENATE("G",G10+1)) - 0)</f>
        <v>0.10509838127640894</v>
      </c>
      <c r="N11" s="37" t="s">
        <v>143</v>
      </c>
    </row>
    <row r="12" spans="1:14" x14ac:dyDescent="0.25">
      <c r="A12" s="13" t="s">
        <v>2</v>
      </c>
      <c r="B12" s="13">
        <f ca="1">$B$7^2/(PI()*$B$2*B11)</f>
        <v>0.98884700251727398</v>
      </c>
      <c r="N12" s="37" t="s">
        <v>162</v>
      </c>
    </row>
    <row r="13" spans="1:14" x14ac:dyDescent="0.25">
      <c r="N13" s="37" t="s">
        <v>144</v>
      </c>
    </row>
    <row r="14" spans="1:14" x14ac:dyDescent="0.25">
      <c r="A14" s="1" t="s">
        <v>128</v>
      </c>
      <c r="B14" s="1" t="s">
        <v>118</v>
      </c>
      <c r="C14" s="1" t="s">
        <v>149</v>
      </c>
      <c r="D14" s="1" t="s">
        <v>150</v>
      </c>
      <c r="E14" s="1" t="s">
        <v>151</v>
      </c>
      <c r="F14" s="1" t="s">
        <v>152</v>
      </c>
      <c r="G14" s="1" t="s">
        <v>153</v>
      </c>
      <c r="H14" s="1" t="s">
        <v>154</v>
      </c>
      <c r="I14" s="1" t="s">
        <v>155</v>
      </c>
      <c r="J14" s="1" t="s">
        <v>156</v>
      </c>
      <c r="K14" s="1" t="s">
        <v>157</v>
      </c>
      <c r="L14" s="1" t="s">
        <v>158</v>
      </c>
      <c r="N14" s="37" t="s">
        <v>145</v>
      </c>
    </row>
    <row r="15" spans="1:14" x14ac:dyDescent="0.25">
      <c r="A15" s="1">
        <v>-3</v>
      </c>
      <c r="B15" s="1">
        <v>-8.5833999999999994E-2</v>
      </c>
      <c r="C15" s="1">
        <v>6.4000000000000005E-4</v>
      </c>
      <c r="D15" s="1">
        <v>7.5160000000000001E-3</v>
      </c>
      <c r="E15" s="1">
        <v>8.1560000000000001E-3</v>
      </c>
      <c r="F15" s="1">
        <v>0</v>
      </c>
      <c r="G15" s="1">
        <v>7.2890999999999997E-2</v>
      </c>
      <c r="H15" s="1">
        <v>0</v>
      </c>
      <c r="I15" s="1">
        <v>0</v>
      </c>
      <c r="J15" s="1">
        <v>0</v>
      </c>
      <c r="K15" s="1">
        <v>92.601299999999995</v>
      </c>
      <c r="L15" s="1">
        <v>1.3526</v>
      </c>
      <c r="N15" s="37" t="s">
        <v>190</v>
      </c>
    </row>
    <row r="16" spans="1:14" x14ac:dyDescent="0.25">
      <c r="A16" s="1">
        <v>-2.5</v>
      </c>
      <c r="B16" s="1">
        <v>-3.6764999999999999E-2</v>
      </c>
      <c r="C16" s="1">
        <v>3.7399999999999998E-4</v>
      </c>
      <c r="D16" s="1">
        <v>7.306E-3</v>
      </c>
      <c r="E16" s="1">
        <v>7.6800000000000002E-3</v>
      </c>
      <c r="F16" s="1">
        <v>0</v>
      </c>
      <c r="G16" s="1">
        <v>5.3716E-2</v>
      </c>
      <c r="H16" s="1">
        <v>0</v>
      </c>
      <c r="I16" s="1">
        <v>0</v>
      </c>
      <c r="J16" s="1">
        <v>0</v>
      </c>
      <c r="K16" s="1">
        <v>92.601299999999995</v>
      </c>
      <c r="L16" s="1">
        <v>2.1175999999999999</v>
      </c>
      <c r="N16" s="37" t="s">
        <v>146</v>
      </c>
    </row>
    <row r="17" spans="1:14" x14ac:dyDescent="0.25">
      <c r="A17" s="1">
        <v>-2</v>
      </c>
      <c r="B17" s="1">
        <v>1.2297000000000001E-2</v>
      </c>
      <c r="C17" s="1">
        <v>2.6400000000000002E-4</v>
      </c>
      <c r="D17" s="1">
        <v>7.0879999999999997E-3</v>
      </c>
      <c r="E17" s="1">
        <v>7.352E-3</v>
      </c>
      <c r="F17" s="1">
        <v>0</v>
      </c>
      <c r="G17" s="1">
        <v>3.4827999999999998E-2</v>
      </c>
      <c r="H17" s="1">
        <v>0</v>
      </c>
      <c r="I17" s="1">
        <v>0</v>
      </c>
      <c r="J17" s="1">
        <v>0</v>
      </c>
      <c r="K17" s="1">
        <v>92.601299999999995</v>
      </c>
      <c r="L17" s="1">
        <v>-3.2425000000000002</v>
      </c>
      <c r="N17" s="37" t="s">
        <v>147</v>
      </c>
    </row>
    <row r="18" spans="1:14" x14ac:dyDescent="0.25">
      <c r="A18" s="1">
        <v>-1.5</v>
      </c>
      <c r="B18" s="1">
        <v>6.1350000000000002E-2</v>
      </c>
      <c r="C18" s="1">
        <v>3.1300000000000002E-4</v>
      </c>
      <c r="D18" s="1">
        <v>6.8950000000000001E-3</v>
      </c>
      <c r="E18" s="1">
        <v>7.208E-3</v>
      </c>
      <c r="F18" s="1">
        <v>0</v>
      </c>
      <c r="G18" s="1">
        <v>1.6256E-2</v>
      </c>
      <c r="H18" s="1">
        <v>0</v>
      </c>
      <c r="I18" s="1">
        <v>0</v>
      </c>
      <c r="J18" s="1">
        <v>0</v>
      </c>
      <c r="K18" s="1">
        <v>92.601299999999995</v>
      </c>
      <c r="L18" s="1">
        <v>-3.5400000000000001E-2</v>
      </c>
      <c r="N18" s="37" t="s">
        <v>191</v>
      </c>
    </row>
    <row r="19" spans="1:14" x14ac:dyDescent="0.25">
      <c r="A19" s="1">
        <v>-1</v>
      </c>
      <c r="B19" s="1">
        <v>0.110392</v>
      </c>
      <c r="C19" s="1">
        <v>5.1999999999999995E-4</v>
      </c>
      <c r="D19" s="1">
        <v>6.6699999999999997E-3</v>
      </c>
      <c r="E19" s="1">
        <v>7.1900000000000002E-3</v>
      </c>
      <c r="F19" s="1">
        <v>0</v>
      </c>
      <c r="G19" s="1">
        <v>-1.967E-3</v>
      </c>
      <c r="H19" s="1">
        <v>0</v>
      </c>
      <c r="I19" s="1">
        <v>0</v>
      </c>
      <c r="J19" s="1">
        <v>0</v>
      </c>
      <c r="K19" s="1">
        <v>92.601299999999995</v>
      </c>
      <c r="L19" s="1">
        <v>0.31929999999999997</v>
      </c>
      <c r="N19" s="37" t="s">
        <v>192</v>
      </c>
    </row>
    <row r="20" spans="1:14" x14ac:dyDescent="0.25">
      <c r="A20" s="1">
        <v>-0.5</v>
      </c>
      <c r="B20" s="1">
        <v>0.15942000000000001</v>
      </c>
      <c r="C20" s="1">
        <v>8.8500000000000004E-4</v>
      </c>
      <c r="D20" s="1">
        <v>6.4019999999999997E-3</v>
      </c>
      <c r="E20" s="1">
        <v>7.2870000000000001E-3</v>
      </c>
      <c r="F20" s="1">
        <v>0</v>
      </c>
      <c r="G20" s="1">
        <v>-1.9810999999999999E-2</v>
      </c>
      <c r="H20" s="1">
        <v>0</v>
      </c>
      <c r="I20" s="1">
        <v>0</v>
      </c>
      <c r="J20" s="1">
        <v>0</v>
      </c>
      <c r="K20" s="1">
        <v>92.601299999999995</v>
      </c>
      <c r="L20" s="1">
        <v>0.45400000000000001</v>
      </c>
      <c r="N20" s="37" t="s">
        <v>193</v>
      </c>
    </row>
    <row r="21" spans="1:14" x14ac:dyDescent="0.25">
      <c r="A21" s="1">
        <v>0</v>
      </c>
      <c r="B21" s="1">
        <v>0.20843300000000001</v>
      </c>
      <c r="C21" s="1">
        <v>1.408E-3</v>
      </c>
      <c r="D21" s="1">
        <v>6.0800000000000003E-3</v>
      </c>
      <c r="E21" s="1">
        <v>7.4879999999999999E-3</v>
      </c>
      <c r="F21" s="1">
        <v>0</v>
      </c>
      <c r="G21" s="1">
        <v>-3.7247000000000002E-2</v>
      </c>
      <c r="H21" s="1">
        <v>0</v>
      </c>
      <c r="I21" s="1">
        <v>0</v>
      </c>
      <c r="J21" s="1">
        <v>0</v>
      </c>
      <c r="K21" s="1">
        <v>92.601299999999995</v>
      </c>
      <c r="L21" s="1">
        <v>0.52390000000000003</v>
      </c>
      <c r="N21" s="37" t="s">
        <v>194</v>
      </c>
    </row>
    <row r="22" spans="1:14" x14ac:dyDescent="0.25">
      <c r="A22" s="1">
        <v>0.5</v>
      </c>
      <c r="B22" s="1">
        <v>0.25742999999999999</v>
      </c>
      <c r="C22" s="1">
        <v>2.0899999999999998E-3</v>
      </c>
      <c r="D22" s="1">
        <v>5.5589999999999997E-3</v>
      </c>
      <c r="E22" s="1">
        <v>7.6490000000000004E-3</v>
      </c>
      <c r="F22" s="1">
        <v>0</v>
      </c>
      <c r="G22" s="1">
        <v>-5.4218000000000002E-2</v>
      </c>
      <c r="H22" s="1">
        <v>0</v>
      </c>
      <c r="I22" s="1">
        <v>0</v>
      </c>
      <c r="J22" s="1">
        <v>0</v>
      </c>
      <c r="K22" s="1">
        <v>92.601299999999995</v>
      </c>
      <c r="L22" s="1">
        <v>0.56599999999999995</v>
      </c>
      <c r="N22" s="37" t="s">
        <v>195</v>
      </c>
    </row>
    <row r="23" spans="1:14" x14ac:dyDescent="0.25">
      <c r="A23" s="1">
        <v>1</v>
      </c>
      <c r="B23" s="1">
        <v>0.30640800000000001</v>
      </c>
      <c r="C23" s="1">
        <v>2.931E-3</v>
      </c>
      <c r="D23" s="1">
        <v>4.7099999999999998E-3</v>
      </c>
      <c r="E23" s="1">
        <v>7.6410000000000002E-3</v>
      </c>
      <c r="F23" s="1">
        <v>0</v>
      </c>
      <c r="G23" s="1">
        <v>-7.0669999999999997E-2</v>
      </c>
      <c r="H23" s="1">
        <v>0</v>
      </c>
      <c r="I23" s="1">
        <v>0</v>
      </c>
      <c r="J23" s="1">
        <v>0</v>
      </c>
      <c r="K23" s="1">
        <v>92.601299999999995</v>
      </c>
      <c r="L23" s="1">
        <v>0.59360000000000002</v>
      </c>
      <c r="N23" s="37" t="s">
        <v>196</v>
      </c>
    </row>
    <row r="24" spans="1:14" x14ac:dyDescent="0.25">
      <c r="A24" s="1">
        <v>1.5</v>
      </c>
      <c r="B24" s="1">
        <v>0.35536499999999999</v>
      </c>
      <c r="C24" s="1">
        <v>3.9300000000000003E-3</v>
      </c>
      <c r="D24" s="1">
        <v>4.1489999999999999E-3</v>
      </c>
      <c r="E24" s="1">
        <v>8.0789999999999994E-3</v>
      </c>
      <c r="F24" s="1">
        <v>0</v>
      </c>
      <c r="G24" s="1">
        <v>-8.6713999999999999E-2</v>
      </c>
      <c r="H24" s="1">
        <v>0</v>
      </c>
      <c r="I24" s="1">
        <v>0</v>
      </c>
      <c r="J24" s="1">
        <v>0</v>
      </c>
      <c r="K24" s="1">
        <v>92.601299999999995</v>
      </c>
      <c r="L24" s="1">
        <v>0.61270000000000002</v>
      </c>
      <c r="N24" s="37" t="s">
        <v>197</v>
      </c>
    </row>
    <row r="25" spans="1:14" x14ac:dyDescent="0.25">
      <c r="A25" s="1">
        <v>2</v>
      </c>
      <c r="B25" s="1">
        <v>0.40429900000000002</v>
      </c>
      <c r="C25" s="1">
        <v>5.0889999999999998E-3</v>
      </c>
      <c r="D25" s="1">
        <v>4.1190000000000003E-3</v>
      </c>
      <c r="E25" s="1">
        <v>9.2069999999999999E-3</v>
      </c>
      <c r="F25" s="1">
        <v>0</v>
      </c>
      <c r="G25" s="1">
        <v>-0.10238800000000001</v>
      </c>
      <c r="H25" s="1">
        <v>0</v>
      </c>
      <c r="I25" s="1">
        <v>0</v>
      </c>
      <c r="J25" s="1">
        <v>0</v>
      </c>
      <c r="K25" s="1">
        <v>92.601299999999995</v>
      </c>
      <c r="L25" s="1">
        <v>0.62639999999999996</v>
      </c>
      <c r="N25" s="37" t="s">
        <v>198</v>
      </c>
    </row>
    <row r="26" spans="1:14" x14ac:dyDescent="0.25">
      <c r="A26" s="1">
        <v>2.5</v>
      </c>
      <c r="B26" s="1">
        <v>0.45320899999999997</v>
      </c>
      <c r="C26" s="1">
        <v>6.4060000000000002E-3</v>
      </c>
      <c r="D26" s="1">
        <v>4.143E-3</v>
      </c>
      <c r="E26" s="1">
        <v>1.0548999999999999E-2</v>
      </c>
      <c r="F26" s="1">
        <v>0</v>
      </c>
      <c r="G26" s="1">
        <v>-0.117553</v>
      </c>
      <c r="H26" s="1">
        <v>0</v>
      </c>
      <c r="I26" s="1">
        <v>0</v>
      </c>
      <c r="J26" s="1">
        <v>0</v>
      </c>
      <c r="K26" s="1">
        <v>92.601299999999995</v>
      </c>
      <c r="L26" s="1">
        <v>0.63639999999999997</v>
      </c>
      <c r="N26" s="37" t="s">
        <v>199</v>
      </c>
    </row>
    <row r="27" spans="1:14" x14ac:dyDescent="0.25">
      <c r="A27" s="1">
        <v>3</v>
      </c>
      <c r="B27" s="1">
        <v>0.50209300000000001</v>
      </c>
      <c r="C27" s="1">
        <v>7.8829999999999994E-3</v>
      </c>
      <c r="D27" s="1">
        <v>4.398E-3</v>
      </c>
      <c r="E27" s="1">
        <v>1.2279999999999999E-2</v>
      </c>
      <c r="F27" s="1">
        <v>0</v>
      </c>
      <c r="G27" s="1">
        <v>-0.13223299999999999</v>
      </c>
      <c r="H27" s="1">
        <v>0</v>
      </c>
      <c r="I27" s="1">
        <v>0</v>
      </c>
      <c r="J27" s="1">
        <v>0</v>
      </c>
      <c r="K27" s="1">
        <v>92.601299999999995</v>
      </c>
      <c r="L27" s="1">
        <v>0.64370000000000005</v>
      </c>
      <c r="N27" s="37" t="s">
        <v>200</v>
      </c>
    </row>
    <row r="28" spans="1:14" x14ac:dyDescent="0.25">
      <c r="A28" s="1">
        <v>3.5</v>
      </c>
      <c r="B28" s="1">
        <v>0.55094900000000002</v>
      </c>
      <c r="C28" s="1">
        <v>9.5180000000000004E-3</v>
      </c>
      <c r="D28" s="1">
        <v>5.156E-3</v>
      </c>
      <c r="E28" s="1">
        <v>1.4674E-2</v>
      </c>
      <c r="F28" s="1">
        <v>0</v>
      </c>
      <c r="G28" s="1">
        <v>-0.14646500000000001</v>
      </c>
      <c r="H28" s="1">
        <v>0</v>
      </c>
      <c r="I28" s="1">
        <v>0</v>
      </c>
      <c r="J28" s="1">
        <v>0</v>
      </c>
      <c r="K28" s="1">
        <v>92.601299999999995</v>
      </c>
      <c r="L28" s="1">
        <v>0.64910000000000001</v>
      </c>
      <c r="N28" s="37" t="s">
        <v>201</v>
      </c>
    </row>
    <row r="29" spans="1:14" x14ac:dyDescent="0.25">
      <c r="A29" s="1">
        <v>4</v>
      </c>
      <c r="B29" s="1">
        <v>0.59977499999999995</v>
      </c>
      <c r="C29" s="1">
        <v>1.1313E-2</v>
      </c>
      <c r="D29" s="1">
        <v>6.1970000000000003E-3</v>
      </c>
      <c r="E29" s="1">
        <v>1.7510000000000001E-2</v>
      </c>
      <c r="F29" s="1">
        <v>0</v>
      </c>
      <c r="G29" s="1">
        <v>-0.160164</v>
      </c>
      <c r="H29" s="1">
        <v>0</v>
      </c>
      <c r="I29" s="1">
        <v>0</v>
      </c>
      <c r="J29" s="1">
        <v>0</v>
      </c>
      <c r="K29" s="1">
        <v>92.601299999999995</v>
      </c>
      <c r="L29" s="1">
        <v>0.65310000000000001</v>
      </c>
      <c r="N29" s="37" t="s">
        <v>202</v>
      </c>
    </row>
    <row r="30" spans="1:14" x14ac:dyDescent="0.25">
      <c r="A30" s="1">
        <v>4.5</v>
      </c>
      <c r="B30" s="1">
        <v>0.64856800000000003</v>
      </c>
      <c r="C30" s="1">
        <v>1.3268E-2</v>
      </c>
      <c r="D30" s="1">
        <v>7.0990000000000003E-3</v>
      </c>
      <c r="E30" s="1">
        <v>2.0367E-2</v>
      </c>
      <c r="F30" s="1">
        <v>0</v>
      </c>
      <c r="G30" s="1">
        <v>-0.17322000000000001</v>
      </c>
      <c r="H30" s="1">
        <v>0</v>
      </c>
      <c r="I30" s="1">
        <v>0</v>
      </c>
      <c r="J30" s="1">
        <v>0</v>
      </c>
      <c r="K30" s="1">
        <v>92.601299999999995</v>
      </c>
      <c r="L30" s="1">
        <v>0.65590000000000004</v>
      </c>
      <c r="N30" s="37" t="s">
        <v>203</v>
      </c>
    </row>
    <row r="31" spans="1:14" x14ac:dyDescent="0.25">
      <c r="A31" s="1">
        <v>5</v>
      </c>
      <c r="B31" s="1">
        <v>0.69732799999999995</v>
      </c>
      <c r="C31" s="1">
        <v>1.5384999999999999E-2</v>
      </c>
      <c r="D31" s="1">
        <v>7.8370000000000002E-3</v>
      </c>
      <c r="E31" s="1">
        <v>2.3222E-2</v>
      </c>
      <c r="F31" s="1">
        <v>0</v>
      </c>
      <c r="G31" s="1">
        <v>-0.18559800000000001</v>
      </c>
      <c r="H31" s="1">
        <v>0</v>
      </c>
      <c r="I31" s="1">
        <v>0</v>
      </c>
      <c r="J31" s="1">
        <v>0</v>
      </c>
      <c r="K31" s="1">
        <v>92.601299999999995</v>
      </c>
      <c r="L31" s="1">
        <v>0.65769999999999995</v>
      </c>
      <c r="N31" s="37" t="s">
        <v>204</v>
      </c>
    </row>
    <row r="32" spans="1:14" x14ac:dyDescent="0.25">
      <c r="A32" s="1">
        <v>5.5</v>
      </c>
      <c r="B32" s="1">
        <v>0.74605399999999999</v>
      </c>
      <c r="C32" s="1">
        <v>1.7670999999999999E-2</v>
      </c>
      <c r="D32" s="1">
        <v>8.4960000000000001E-3</v>
      </c>
      <c r="E32" s="1">
        <v>2.6166999999999999E-2</v>
      </c>
      <c r="F32" s="1">
        <v>0</v>
      </c>
      <c r="G32" s="1">
        <v>-0.197299</v>
      </c>
      <c r="H32" s="1">
        <v>0</v>
      </c>
      <c r="I32" s="1">
        <v>0</v>
      </c>
      <c r="J32" s="1">
        <v>0</v>
      </c>
      <c r="K32" s="1">
        <v>92.601299999999995</v>
      </c>
      <c r="L32" s="1">
        <v>0.65880000000000005</v>
      </c>
      <c r="N32" s="37" t="s">
        <v>205</v>
      </c>
    </row>
    <row r="33" spans="1:14" x14ac:dyDescent="0.25">
      <c r="A33" s="1">
        <v>6</v>
      </c>
      <c r="B33" s="1">
        <v>0.79474800000000001</v>
      </c>
      <c r="C33" s="1">
        <v>2.0149E-2</v>
      </c>
      <c r="D33" s="1">
        <v>9.0659999999999994E-3</v>
      </c>
      <c r="E33" s="1">
        <v>2.9215000000000001E-2</v>
      </c>
      <c r="F33" s="1">
        <v>0</v>
      </c>
      <c r="G33" s="1">
        <v>-0.208291</v>
      </c>
      <c r="H33" s="1">
        <v>0</v>
      </c>
      <c r="I33" s="1">
        <v>0</v>
      </c>
      <c r="J33" s="1">
        <v>0</v>
      </c>
      <c r="K33" s="1">
        <v>92.601299999999995</v>
      </c>
      <c r="L33" s="1">
        <v>0.6593</v>
      </c>
      <c r="N33" s="37" t="s">
        <v>206</v>
      </c>
    </row>
    <row r="34" spans="1:14" x14ac:dyDescent="0.25">
      <c r="A34" s="1">
        <v>6.5</v>
      </c>
      <c r="B34" s="1">
        <v>0.84342600000000001</v>
      </c>
      <c r="C34" s="1">
        <v>2.2908000000000001E-2</v>
      </c>
      <c r="D34" s="1">
        <v>9.5820000000000002E-3</v>
      </c>
      <c r="E34" s="1">
        <v>3.2489999999999998E-2</v>
      </c>
      <c r="F34" s="1">
        <v>0</v>
      </c>
      <c r="G34" s="1">
        <v>-0.21854699999999999</v>
      </c>
      <c r="H34" s="1">
        <v>0</v>
      </c>
      <c r="I34" s="1">
        <v>0</v>
      </c>
      <c r="J34" s="1">
        <v>0</v>
      </c>
      <c r="K34" s="1">
        <v>92.601299999999995</v>
      </c>
      <c r="L34" s="1">
        <v>0.65910000000000002</v>
      </c>
      <c r="N34" s="37" t="s">
        <v>207</v>
      </c>
    </row>
    <row r="35" spans="1:14" x14ac:dyDescent="0.25">
      <c r="A35" s="1">
        <v>7</v>
      </c>
      <c r="B35" s="1">
        <v>0.89218299999999995</v>
      </c>
      <c r="C35" s="1">
        <v>2.6290000000000001E-2</v>
      </c>
      <c r="D35" s="1">
        <v>1.0134000000000001E-2</v>
      </c>
      <c r="E35" s="1">
        <v>3.6424999999999999E-2</v>
      </c>
      <c r="F35" s="1">
        <v>0</v>
      </c>
      <c r="G35" s="1">
        <v>-0.22812399999999999</v>
      </c>
      <c r="H35" s="1">
        <v>0</v>
      </c>
      <c r="I35" s="1">
        <v>0</v>
      </c>
      <c r="J35" s="1">
        <v>0</v>
      </c>
      <c r="K35" s="1">
        <v>92.601299999999995</v>
      </c>
      <c r="L35" s="1">
        <v>0.65849999999999997</v>
      </c>
      <c r="N35" s="37" t="s">
        <v>208</v>
      </c>
    </row>
    <row r="36" spans="1:14" x14ac:dyDescent="0.25">
      <c r="A36" s="1">
        <v>7.5</v>
      </c>
      <c r="B36" s="1">
        <v>0.94040100000000004</v>
      </c>
      <c r="C36" s="1">
        <v>2.8074000000000002E-2</v>
      </c>
      <c r="D36" s="1">
        <v>1.0732999999999999E-2</v>
      </c>
      <c r="E36" s="1">
        <v>3.8807000000000001E-2</v>
      </c>
      <c r="F36" s="1">
        <v>0</v>
      </c>
      <c r="G36" s="1">
        <v>-0.23801900000000001</v>
      </c>
      <c r="H36" s="1">
        <v>0</v>
      </c>
      <c r="I36" s="1">
        <v>0</v>
      </c>
      <c r="J36" s="1">
        <v>0</v>
      </c>
      <c r="K36" s="1">
        <v>92.601299999999995</v>
      </c>
      <c r="L36" s="1">
        <v>0.6593</v>
      </c>
      <c r="N36" s="37" t="s">
        <v>209</v>
      </c>
    </row>
    <row r="37" spans="1:14" x14ac:dyDescent="0.25">
      <c r="A37" s="1">
        <v>8</v>
      </c>
      <c r="B37" s="1">
        <v>0.988846</v>
      </c>
      <c r="C37" s="1">
        <v>2.9465000000000002E-2</v>
      </c>
      <c r="D37" s="1">
        <v>1.1361E-2</v>
      </c>
      <c r="E37" s="1">
        <v>4.0826000000000001E-2</v>
      </c>
      <c r="F37" s="1">
        <v>0</v>
      </c>
      <c r="G37" s="1">
        <v>-0.25156200000000001</v>
      </c>
      <c r="H37" s="1">
        <v>0</v>
      </c>
      <c r="I37" s="1">
        <v>0</v>
      </c>
      <c r="J37" s="1">
        <v>0</v>
      </c>
      <c r="K37" s="1">
        <v>92.601299999999995</v>
      </c>
      <c r="L37" s="1">
        <v>0.66539999999999999</v>
      </c>
      <c r="N37" s="37" t="s">
        <v>210</v>
      </c>
    </row>
    <row r="38" spans="1:14" x14ac:dyDescent="0.25">
      <c r="A38" s="1">
        <v>8.5</v>
      </c>
      <c r="B38" s="1">
        <v>1.0352870000000001</v>
      </c>
      <c r="C38" s="1">
        <v>3.6829000000000001E-2</v>
      </c>
      <c r="D38" s="1">
        <v>1.1981E-2</v>
      </c>
      <c r="E38" s="1">
        <v>4.8809999999999999E-2</v>
      </c>
      <c r="F38" s="1">
        <v>0</v>
      </c>
      <c r="G38" s="1">
        <v>-0.25070999999999999</v>
      </c>
      <c r="H38" s="1">
        <v>0</v>
      </c>
      <c r="I38" s="1">
        <v>0</v>
      </c>
      <c r="J38" s="1">
        <v>0</v>
      </c>
      <c r="K38" s="1">
        <v>92.601299999999995</v>
      </c>
      <c r="L38" s="1">
        <v>0.6542</v>
      </c>
      <c r="N38" s="37" t="s">
        <v>211</v>
      </c>
    </row>
    <row r="39" spans="1:14" x14ac:dyDescent="0.25">
      <c r="A39" s="1">
        <v>9</v>
      </c>
      <c r="B39" s="1">
        <v>1.084805</v>
      </c>
      <c r="C39" s="1">
        <v>3.6914000000000002E-2</v>
      </c>
      <c r="D39" s="1">
        <v>1.2604000000000001E-2</v>
      </c>
      <c r="E39" s="1">
        <v>4.9519000000000001E-2</v>
      </c>
      <c r="F39" s="1">
        <v>0</v>
      </c>
      <c r="G39" s="1">
        <v>-0.26430199999999998</v>
      </c>
      <c r="H39" s="1">
        <v>0</v>
      </c>
      <c r="I39" s="1">
        <v>0</v>
      </c>
      <c r="J39" s="1">
        <v>0</v>
      </c>
      <c r="K39" s="1">
        <v>92.601299999999995</v>
      </c>
      <c r="L39" s="1">
        <v>0.66049999999999998</v>
      </c>
      <c r="N39" s="37" t="s">
        <v>212</v>
      </c>
    </row>
    <row r="40" spans="1:14" x14ac:dyDescent="0.25">
      <c r="A40" s="1">
        <v>9.5</v>
      </c>
      <c r="B40" s="1">
        <v>1.1314519999999999</v>
      </c>
      <c r="C40" s="1">
        <v>4.3068000000000002E-2</v>
      </c>
      <c r="D40" s="1">
        <v>1.3240999999999999E-2</v>
      </c>
      <c r="E40" s="1">
        <v>5.6308999999999998E-2</v>
      </c>
      <c r="F40" s="1">
        <v>0</v>
      </c>
      <c r="G40" s="1">
        <v>-0.26419399999999998</v>
      </c>
      <c r="H40" s="1">
        <v>0</v>
      </c>
      <c r="I40" s="1">
        <v>0</v>
      </c>
      <c r="J40" s="1">
        <v>0</v>
      </c>
      <c r="K40" s="1">
        <v>92.601299999999995</v>
      </c>
      <c r="L40" s="1">
        <v>0.6522</v>
      </c>
      <c r="N40" s="37" t="s">
        <v>213</v>
      </c>
    </row>
    <row r="41" spans="1:14" x14ac:dyDescent="0.25">
      <c r="A41" s="1">
        <v>10</v>
      </c>
      <c r="B41" s="1">
        <v>1.1823950000000001</v>
      </c>
      <c r="C41" s="1">
        <v>4.5344000000000002E-2</v>
      </c>
      <c r="D41" s="1">
        <v>1.3927E-2</v>
      </c>
      <c r="E41" s="1">
        <v>5.9270999999999997E-2</v>
      </c>
      <c r="F41" s="1">
        <v>0</v>
      </c>
      <c r="G41" s="1">
        <v>-0.278582</v>
      </c>
      <c r="H41" s="1">
        <v>0</v>
      </c>
      <c r="I41" s="1">
        <v>0</v>
      </c>
      <c r="J41" s="1">
        <v>0</v>
      </c>
      <c r="K41" s="1">
        <v>92.601299999999995</v>
      </c>
      <c r="L41" s="1">
        <v>0.6593</v>
      </c>
      <c r="N41" s="37" t="s">
        <v>214</v>
      </c>
    </row>
    <row r="42" spans="1:14" x14ac:dyDescent="0.25">
      <c r="A42" s="1">
        <v>10.5</v>
      </c>
      <c r="B42" s="1">
        <v>1.231889</v>
      </c>
      <c r="C42" s="1">
        <v>4.9035000000000002E-2</v>
      </c>
      <c r="D42" s="1">
        <v>1.4641E-2</v>
      </c>
      <c r="E42" s="1">
        <v>6.3675999999999996E-2</v>
      </c>
      <c r="F42" s="1">
        <v>0</v>
      </c>
      <c r="G42" s="1">
        <v>-0.28720000000000001</v>
      </c>
      <c r="H42" s="1">
        <v>0</v>
      </c>
      <c r="I42" s="1">
        <v>0</v>
      </c>
      <c r="J42" s="1">
        <v>0</v>
      </c>
      <c r="K42" s="1">
        <v>92.601299999999995</v>
      </c>
      <c r="L42" s="1">
        <v>0.66080000000000005</v>
      </c>
      <c r="N42" s="37" t="s">
        <v>215</v>
      </c>
    </row>
    <row r="43" spans="1:14" x14ac:dyDescent="0.25">
      <c r="A43" s="1">
        <v>11</v>
      </c>
      <c r="B43" s="1">
        <v>1.280511</v>
      </c>
      <c r="C43" s="1">
        <v>5.2988E-2</v>
      </c>
      <c r="D43" s="1">
        <v>1.5393E-2</v>
      </c>
      <c r="E43" s="1">
        <v>6.8380999999999997E-2</v>
      </c>
      <c r="F43" s="1">
        <v>0</v>
      </c>
      <c r="G43" s="1">
        <v>-0.292902</v>
      </c>
      <c r="H43" s="1">
        <v>0</v>
      </c>
      <c r="I43" s="1">
        <v>0</v>
      </c>
      <c r="J43" s="1">
        <v>0</v>
      </c>
      <c r="K43" s="1">
        <v>92.601299999999995</v>
      </c>
      <c r="L43" s="1">
        <v>0.66010000000000002</v>
      </c>
      <c r="N43" s="37" t="s">
        <v>216</v>
      </c>
    </row>
    <row r="44" spans="1:14" x14ac:dyDescent="0.25">
      <c r="A44" s="1">
        <v>11.5</v>
      </c>
      <c r="B44" s="1">
        <v>1.3304860000000001</v>
      </c>
      <c r="C44" s="1">
        <v>5.7272999999999998E-2</v>
      </c>
      <c r="D44" s="1">
        <v>1.6222E-2</v>
      </c>
      <c r="E44" s="1">
        <v>7.3495000000000005E-2</v>
      </c>
      <c r="F44" s="1">
        <v>0</v>
      </c>
      <c r="G44" s="1">
        <v>-0.30140699999999998</v>
      </c>
      <c r="H44" s="1">
        <v>0</v>
      </c>
      <c r="I44" s="1">
        <v>0</v>
      </c>
      <c r="J44" s="1">
        <v>0</v>
      </c>
      <c r="K44" s="1">
        <v>92.601299999999995</v>
      </c>
      <c r="L44" s="1">
        <v>0.6623</v>
      </c>
      <c r="N44" s="37" t="s">
        <v>217</v>
      </c>
    </row>
    <row r="45" spans="1:14" x14ac:dyDescent="0.25">
      <c r="A45" s="1">
        <v>12</v>
      </c>
      <c r="B45" s="1">
        <v>1.379813</v>
      </c>
      <c r="C45" s="1">
        <v>6.164E-2</v>
      </c>
      <c r="D45" s="1">
        <v>1.7108000000000002E-2</v>
      </c>
      <c r="E45" s="1">
        <v>7.8747999999999999E-2</v>
      </c>
      <c r="F45" s="1">
        <v>0</v>
      </c>
      <c r="G45" s="1">
        <v>-0.30740899999999999</v>
      </c>
      <c r="H45" s="1">
        <v>0</v>
      </c>
      <c r="I45" s="1">
        <v>0</v>
      </c>
      <c r="J45" s="1">
        <v>0</v>
      </c>
      <c r="K45" s="1">
        <v>92.601299999999995</v>
      </c>
      <c r="L45" s="1">
        <v>0.66269999999999996</v>
      </c>
      <c r="N45" s="37" t="s">
        <v>218</v>
      </c>
    </row>
    <row r="46" spans="1:14" x14ac:dyDescent="0.25">
      <c r="A46" s="1">
        <v>12.5</v>
      </c>
      <c r="B46" s="1">
        <v>1.4290119999999999</v>
      </c>
      <c r="C46" s="1">
        <v>6.6145999999999996E-2</v>
      </c>
      <c r="D46" s="1">
        <v>1.8072999999999999E-2</v>
      </c>
      <c r="E46" s="1">
        <v>8.4219000000000002E-2</v>
      </c>
      <c r="F46" s="1">
        <v>0</v>
      </c>
      <c r="G46" s="1">
        <v>-0.31233699999999998</v>
      </c>
      <c r="H46" s="1">
        <v>0</v>
      </c>
      <c r="I46" s="1">
        <v>0</v>
      </c>
      <c r="J46" s="1">
        <v>0</v>
      </c>
      <c r="K46" s="1">
        <v>92.601299999999995</v>
      </c>
      <c r="L46" s="1">
        <v>0.66259999999999997</v>
      </c>
      <c r="N46" s="37" t="s">
        <v>219</v>
      </c>
    </row>
    <row r="47" spans="1:14" x14ac:dyDescent="0.25">
      <c r="A47" s="1">
        <v>13</v>
      </c>
      <c r="B47" s="1">
        <v>1.4781569999999999</v>
      </c>
      <c r="C47" s="1">
        <v>7.0801000000000003E-2</v>
      </c>
      <c r="D47" s="1">
        <v>1.9105E-2</v>
      </c>
      <c r="E47" s="1">
        <v>8.9907000000000001E-2</v>
      </c>
      <c r="F47" s="1">
        <v>0</v>
      </c>
      <c r="G47" s="1">
        <v>-0.31637999999999999</v>
      </c>
      <c r="H47" s="1">
        <v>0</v>
      </c>
      <c r="I47" s="1">
        <v>0</v>
      </c>
      <c r="J47" s="1">
        <v>0</v>
      </c>
      <c r="K47" s="1">
        <v>92.601299999999995</v>
      </c>
      <c r="L47" s="1">
        <v>0.66220000000000001</v>
      </c>
      <c r="N47" s="37" t="s">
        <v>220</v>
      </c>
    </row>
    <row r="48" spans="1:14" x14ac:dyDescent="0.25">
      <c r="A48" s="1">
        <v>13.5</v>
      </c>
      <c r="B48" s="1">
        <v>1.5272730000000001</v>
      </c>
      <c r="C48" s="1">
        <v>7.5607999999999995E-2</v>
      </c>
      <c r="D48" s="1">
        <v>2.0160999999999998E-2</v>
      </c>
      <c r="E48" s="1">
        <v>9.5769000000000007E-2</v>
      </c>
      <c r="F48" s="1">
        <v>0</v>
      </c>
      <c r="G48" s="1">
        <v>-0.31958300000000001</v>
      </c>
      <c r="H48" s="1">
        <v>0</v>
      </c>
      <c r="I48" s="1">
        <v>0</v>
      </c>
      <c r="J48" s="1">
        <v>0</v>
      </c>
      <c r="K48" s="1">
        <v>92.601299999999995</v>
      </c>
      <c r="L48" s="1">
        <v>0.66169999999999995</v>
      </c>
      <c r="N48" s="37" t="s">
        <v>221</v>
      </c>
    </row>
    <row r="49" spans="1:14" x14ac:dyDescent="0.25">
      <c r="A49" s="1">
        <v>14</v>
      </c>
      <c r="B49" s="1">
        <v>1.5763739999999999</v>
      </c>
      <c r="C49" s="1">
        <v>8.0567E-2</v>
      </c>
      <c r="D49" s="1">
        <v>2.1274000000000001E-2</v>
      </c>
      <c r="E49" s="1">
        <v>0.101841</v>
      </c>
      <c r="F49" s="1">
        <v>0</v>
      </c>
      <c r="G49" s="1">
        <v>-0.32196599999999997</v>
      </c>
      <c r="H49" s="1">
        <v>0</v>
      </c>
      <c r="I49" s="1">
        <v>0</v>
      </c>
      <c r="J49" s="1">
        <v>0</v>
      </c>
      <c r="K49" s="1">
        <v>92.601299999999995</v>
      </c>
      <c r="L49" s="1">
        <v>0.66100000000000003</v>
      </c>
      <c r="N49" s="37" t="s">
        <v>222</v>
      </c>
    </row>
    <row r="50" spans="1:14" x14ac:dyDescent="0.25">
      <c r="A50" s="1">
        <v>14.5</v>
      </c>
      <c r="B50" s="1">
        <v>1.6254599999999999</v>
      </c>
      <c r="C50" s="1">
        <v>8.5679000000000005E-2</v>
      </c>
      <c r="D50" s="1">
        <v>2.2485000000000002E-2</v>
      </c>
      <c r="E50" s="1">
        <v>0.108164</v>
      </c>
      <c r="F50" s="1">
        <v>0</v>
      </c>
      <c r="G50" s="1">
        <v>-0.32352599999999998</v>
      </c>
      <c r="H50" s="1">
        <v>0</v>
      </c>
      <c r="I50" s="1">
        <v>0</v>
      </c>
      <c r="J50" s="1">
        <v>0</v>
      </c>
      <c r="K50" s="1">
        <v>92.601299999999995</v>
      </c>
      <c r="L50" s="1">
        <v>0.66010000000000002</v>
      </c>
      <c r="N50" s="37" t="s">
        <v>223</v>
      </c>
    </row>
    <row r="51" spans="1:14" x14ac:dyDescent="0.25">
      <c r="A51" s="1">
        <v>15</v>
      </c>
      <c r="B51" s="1">
        <v>1.674531</v>
      </c>
      <c r="C51" s="1">
        <v>9.0941999999999995E-2</v>
      </c>
      <c r="D51" s="1">
        <v>2.3904999999999999E-2</v>
      </c>
      <c r="E51" s="1">
        <v>0.114847</v>
      </c>
      <c r="F51" s="1">
        <v>0</v>
      </c>
      <c r="G51" s="1">
        <v>-0.324272</v>
      </c>
      <c r="H51" s="1">
        <v>0</v>
      </c>
      <c r="I51" s="1">
        <v>0</v>
      </c>
      <c r="J51" s="1">
        <v>0</v>
      </c>
      <c r="K51" s="1">
        <v>92.601299999999995</v>
      </c>
      <c r="L51" s="1">
        <v>0.65920000000000001</v>
      </c>
      <c r="N51" s="37" t="s">
        <v>224</v>
      </c>
    </row>
    <row r="52" spans="1:14" x14ac:dyDescent="0.25">
      <c r="N52" s="37" t="s">
        <v>225</v>
      </c>
    </row>
    <row r="53" spans="1:14" x14ac:dyDescent="0.25">
      <c r="N53" s="37" t="s">
        <v>226</v>
      </c>
    </row>
    <row r="54" spans="1:14" x14ac:dyDescent="0.25">
      <c r="N54" s="37" t="s">
        <v>227</v>
      </c>
    </row>
    <row r="57" spans="1:14" x14ac:dyDescent="0.25">
      <c r="A57" s="13" t="s">
        <v>228</v>
      </c>
      <c r="N57" s="37" t="s">
        <v>146</v>
      </c>
    </row>
    <row r="58" spans="1:14" x14ac:dyDescent="0.25">
      <c r="A58" s="44" t="s">
        <v>119</v>
      </c>
      <c r="B58">
        <f>MATCH($B$7,B63:B99,1)+ROW()+4</f>
        <v>75</v>
      </c>
      <c r="F58" s="21" t="s">
        <v>736</v>
      </c>
      <c r="G58">
        <f>MATCH(0,G63:G99,-1)+ROW()+4</f>
        <v>66</v>
      </c>
      <c r="N58" s="37" t="s">
        <v>147</v>
      </c>
    </row>
    <row r="59" spans="1:14" x14ac:dyDescent="0.25">
      <c r="A59" s="45" t="s">
        <v>186</v>
      </c>
      <c r="B59">
        <f ca="1">INDIRECT(CONCATENATE("C",B58+1)) - (INDIRECT(CONCATENATE("B",B58+1))-$B$7) / (INDIRECT(CONCATENATE("B",B58+1))-INDIRECT(CONCATENATE("B",B58))) * (INDIRECT(CONCATENATE("C",B58+1)) - INDIRECT(CONCATENATE("C",B58)) )</f>
        <v>8.5446123624722727E-3</v>
      </c>
      <c r="F59" s="21" t="s">
        <v>737</v>
      </c>
      <c r="G59" s="1">
        <f ca="1">INDIRECT(CONCATENATE("B",G58+1)) - (INDIRECT(CONCATENATE("B",G58+1))-INDIRECT(CONCATENATE("B",G58))) / (INDIRECT(CONCATENATE("G",G58+1))-INDIRECT(CONCATENATE("G",G58))) * (INDIRECT(CONCATENATE("G",G58+1)) - 0)</f>
        <v>9.7203963381828171E-2</v>
      </c>
      <c r="N59" s="37" t="s">
        <v>229</v>
      </c>
    </row>
    <row r="60" spans="1:14" x14ac:dyDescent="0.25">
      <c r="A60" s="13" t="s">
        <v>2</v>
      </c>
      <c r="B60" s="13">
        <f ca="1">$B$7^2/(PI()*$B$2*B59)</f>
        <v>0.98822579746379902</v>
      </c>
      <c r="N60" s="37" t="s">
        <v>230</v>
      </c>
    </row>
    <row r="61" spans="1:14" x14ac:dyDescent="0.25">
      <c r="N61" s="37" t="s">
        <v>231</v>
      </c>
    </row>
    <row r="62" spans="1:14" x14ac:dyDescent="0.25">
      <c r="A62" s="1" t="s">
        <v>128</v>
      </c>
      <c r="B62" s="1" t="s">
        <v>118</v>
      </c>
      <c r="C62" s="1" t="s">
        <v>149</v>
      </c>
      <c r="D62" s="1" t="s">
        <v>150</v>
      </c>
      <c r="E62" s="1" t="s">
        <v>151</v>
      </c>
      <c r="F62" s="1" t="s">
        <v>152</v>
      </c>
      <c r="G62" s="1" t="s">
        <v>153</v>
      </c>
      <c r="H62" s="1" t="s">
        <v>154</v>
      </c>
      <c r="I62" s="1" t="s">
        <v>155</v>
      </c>
      <c r="J62" s="1" t="s">
        <v>156</v>
      </c>
      <c r="K62" s="1" t="s">
        <v>157</v>
      </c>
      <c r="L62" s="1" t="s">
        <v>158</v>
      </c>
      <c r="N62" s="37" t="s">
        <v>232</v>
      </c>
    </row>
    <row r="63" spans="1:14" x14ac:dyDescent="0.25">
      <c r="A63" s="37">
        <v>-3</v>
      </c>
      <c r="B63" s="1">
        <v>-9.8238000000000006E-2</v>
      </c>
      <c r="C63" s="1">
        <v>6.8400000000000004E-4</v>
      </c>
      <c r="D63" s="1">
        <v>7.5940000000000001E-3</v>
      </c>
      <c r="E63" s="1">
        <v>8.2780000000000006E-3</v>
      </c>
      <c r="F63" s="1">
        <v>0</v>
      </c>
      <c r="G63" s="1">
        <v>7.4578000000000005E-2</v>
      </c>
      <c r="H63" s="1">
        <v>0</v>
      </c>
      <c r="I63" s="1">
        <v>0</v>
      </c>
      <c r="J63" s="1">
        <v>0</v>
      </c>
      <c r="K63" s="1">
        <v>92.601299999999995</v>
      </c>
      <c r="L63" s="1">
        <v>1.2417</v>
      </c>
      <c r="N63" s="37" t="s">
        <v>233</v>
      </c>
    </row>
    <row r="64" spans="1:14" x14ac:dyDescent="0.25">
      <c r="A64" s="37">
        <v>-2.5</v>
      </c>
      <c r="B64" s="1">
        <v>-4.9204999999999999E-2</v>
      </c>
      <c r="C64" s="1">
        <v>3.8099999999999999E-4</v>
      </c>
      <c r="D64" s="1">
        <v>7.3889999999999997E-3</v>
      </c>
      <c r="E64" s="1">
        <v>7.7689999999999999E-3</v>
      </c>
      <c r="F64" s="1">
        <v>0</v>
      </c>
      <c r="G64" s="1">
        <v>5.5413999999999998E-2</v>
      </c>
      <c r="H64" s="1">
        <v>0</v>
      </c>
      <c r="I64" s="1">
        <v>0</v>
      </c>
      <c r="J64" s="1">
        <v>0</v>
      </c>
      <c r="K64" s="1">
        <v>92.601299999999995</v>
      </c>
      <c r="L64" s="1">
        <v>1.7023999999999999</v>
      </c>
      <c r="N64" s="37" t="s">
        <v>234</v>
      </c>
    </row>
    <row r="65" spans="1:14" x14ac:dyDescent="0.25">
      <c r="A65" s="37">
        <v>-2</v>
      </c>
      <c r="B65" s="1">
        <v>-1.7899999999999999E-4</v>
      </c>
      <c r="C65" s="1">
        <v>2.3499999999999999E-4</v>
      </c>
      <c r="D65" s="1">
        <v>7.1789999999999996E-3</v>
      </c>
      <c r="E65" s="1">
        <v>7.4139999999999996E-3</v>
      </c>
      <c r="F65" s="1">
        <v>0</v>
      </c>
      <c r="G65" s="1">
        <v>3.6538000000000001E-2</v>
      </c>
      <c r="H65" s="1">
        <v>0</v>
      </c>
      <c r="I65" s="1">
        <v>0</v>
      </c>
      <c r="J65" s="1">
        <v>0</v>
      </c>
      <c r="K65" s="1">
        <v>92.601299999999995</v>
      </c>
      <c r="L65" s="1">
        <v>256.596</v>
      </c>
      <c r="N65" s="37" t="s">
        <v>235</v>
      </c>
    </row>
    <row r="66" spans="1:14" x14ac:dyDescent="0.25">
      <c r="A66" s="37">
        <v>-1.5</v>
      </c>
      <c r="B66" s="1">
        <v>4.8839E-2</v>
      </c>
      <c r="C66" s="1">
        <v>2.4699999999999999E-4</v>
      </c>
      <c r="D66" s="1">
        <v>6.973E-3</v>
      </c>
      <c r="E66" s="1">
        <v>7.2199999999999999E-3</v>
      </c>
      <c r="F66" s="1">
        <v>0</v>
      </c>
      <c r="G66" s="1">
        <v>1.7975999999999999E-2</v>
      </c>
      <c r="H66" s="1">
        <v>0</v>
      </c>
      <c r="I66" s="1">
        <v>0</v>
      </c>
      <c r="J66" s="1">
        <v>0</v>
      </c>
      <c r="K66" s="1">
        <v>92.601299999999995</v>
      </c>
      <c r="L66" s="1">
        <v>-0.1668</v>
      </c>
      <c r="N66" s="37" t="s">
        <v>236</v>
      </c>
    </row>
    <row r="67" spans="1:14" x14ac:dyDescent="0.25">
      <c r="A67" s="37">
        <v>-1</v>
      </c>
      <c r="B67" s="1">
        <v>9.7847000000000003E-2</v>
      </c>
      <c r="C67" s="1">
        <v>4.1599999999999997E-4</v>
      </c>
      <c r="D67" s="1">
        <v>6.7390000000000002E-3</v>
      </c>
      <c r="E67" s="1">
        <v>7.156E-3</v>
      </c>
      <c r="F67" s="1">
        <v>0</v>
      </c>
      <c r="G67" s="1">
        <v>-2.3900000000000001E-4</v>
      </c>
      <c r="H67" s="1">
        <v>0</v>
      </c>
      <c r="I67" s="1">
        <v>0</v>
      </c>
      <c r="J67" s="1">
        <v>0</v>
      </c>
      <c r="K67" s="1">
        <v>92.601299999999995</v>
      </c>
      <c r="L67" s="1">
        <v>0.2989</v>
      </c>
      <c r="N67" s="37" t="s">
        <v>237</v>
      </c>
    </row>
    <row r="68" spans="1:14" x14ac:dyDescent="0.25">
      <c r="A68" s="37">
        <v>-0.5</v>
      </c>
      <c r="B68" s="1">
        <v>0.146842</v>
      </c>
      <c r="C68" s="1">
        <v>7.45E-4</v>
      </c>
      <c r="D68" s="1">
        <v>6.4929999999999996E-3</v>
      </c>
      <c r="E68" s="1">
        <v>7.2370000000000004E-3</v>
      </c>
      <c r="F68" s="1">
        <v>0</v>
      </c>
      <c r="G68" s="1">
        <v>-1.8079999999999999E-2</v>
      </c>
      <c r="H68" s="1">
        <v>0</v>
      </c>
      <c r="I68" s="1">
        <v>0</v>
      </c>
      <c r="J68" s="1">
        <v>0</v>
      </c>
      <c r="K68" s="1">
        <v>92.601299999999995</v>
      </c>
      <c r="L68" s="1">
        <v>0.45179999999999998</v>
      </c>
      <c r="N68" s="37" t="s">
        <v>238</v>
      </c>
    </row>
    <row r="69" spans="1:14" x14ac:dyDescent="0.25">
      <c r="A69" s="37">
        <v>0</v>
      </c>
      <c r="B69" s="1">
        <v>0.195824</v>
      </c>
      <c r="C69" s="1">
        <v>1.2310000000000001E-3</v>
      </c>
      <c r="D69" s="1">
        <v>6.1720000000000004E-3</v>
      </c>
      <c r="E69" s="1">
        <v>7.4029999999999999E-3</v>
      </c>
      <c r="F69" s="1">
        <v>0</v>
      </c>
      <c r="G69" s="1">
        <v>-3.5513999999999997E-2</v>
      </c>
      <c r="H69" s="1">
        <v>0</v>
      </c>
      <c r="I69" s="1">
        <v>0</v>
      </c>
      <c r="J69" s="1">
        <v>0</v>
      </c>
      <c r="K69" s="1">
        <v>92.601299999999995</v>
      </c>
      <c r="L69" s="1">
        <v>0.52669999999999995</v>
      </c>
      <c r="N69" s="37" t="s">
        <v>239</v>
      </c>
    </row>
    <row r="70" spans="1:14" x14ac:dyDescent="0.25">
      <c r="A70" s="37">
        <v>0.5</v>
      </c>
      <c r="B70" s="1">
        <v>0.24478900000000001</v>
      </c>
      <c r="C70" s="1">
        <v>1.8760000000000001E-3</v>
      </c>
      <c r="D70" s="1">
        <v>5.6940000000000003E-3</v>
      </c>
      <c r="E70" s="1">
        <v>7.5700000000000003E-3</v>
      </c>
      <c r="F70" s="1">
        <v>0</v>
      </c>
      <c r="G70" s="1">
        <v>-5.2486999999999999E-2</v>
      </c>
      <c r="H70" s="1">
        <v>0</v>
      </c>
      <c r="I70" s="1">
        <v>0</v>
      </c>
      <c r="J70" s="1">
        <v>0</v>
      </c>
      <c r="K70" s="1">
        <v>92.601299999999995</v>
      </c>
      <c r="L70" s="1">
        <v>0.57030000000000003</v>
      </c>
      <c r="N70" s="37" t="s">
        <v>240</v>
      </c>
    </row>
    <row r="71" spans="1:14" x14ac:dyDescent="0.25">
      <c r="A71" s="37">
        <v>1</v>
      </c>
      <c r="B71" s="1">
        <v>0.29373700000000003</v>
      </c>
      <c r="C71" s="1">
        <v>2.6800000000000001E-3</v>
      </c>
      <c r="D71" s="1">
        <v>4.9389999999999998E-3</v>
      </c>
      <c r="E71" s="1">
        <v>7.6189999999999999E-3</v>
      </c>
      <c r="F71" s="1">
        <v>0</v>
      </c>
      <c r="G71" s="1">
        <v>-6.8950999999999998E-2</v>
      </c>
      <c r="H71" s="1">
        <v>0</v>
      </c>
      <c r="I71" s="1">
        <v>0</v>
      </c>
      <c r="J71" s="1">
        <v>0</v>
      </c>
      <c r="K71" s="1">
        <v>92.601299999999995</v>
      </c>
      <c r="L71" s="1">
        <v>0.59840000000000004</v>
      </c>
      <c r="N71" s="37" t="s">
        <v>241</v>
      </c>
    </row>
    <row r="72" spans="1:14" x14ac:dyDescent="0.25">
      <c r="A72" s="37">
        <v>1.5</v>
      </c>
      <c r="B72" s="1">
        <v>0.342665</v>
      </c>
      <c r="C72" s="1">
        <v>3.643E-3</v>
      </c>
      <c r="D72" s="1">
        <v>4.2700000000000004E-3</v>
      </c>
      <c r="E72" s="1">
        <v>7.9120000000000006E-3</v>
      </c>
      <c r="F72" s="1">
        <v>0</v>
      </c>
      <c r="G72" s="1">
        <v>-8.4973999999999994E-2</v>
      </c>
      <c r="H72" s="1">
        <v>0</v>
      </c>
      <c r="I72" s="1">
        <v>0</v>
      </c>
      <c r="J72" s="1">
        <v>0</v>
      </c>
      <c r="K72" s="1">
        <v>92.601299999999995</v>
      </c>
      <c r="L72" s="1">
        <v>0.61750000000000005</v>
      </c>
      <c r="N72" s="37" t="s">
        <v>242</v>
      </c>
    </row>
    <row r="73" spans="1:14" x14ac:dyDescent="0.25">
      <c r="A73" s="37">
        <v>2</v>
      </c>
      <c r="B73" s="1">
        <v>0.39157199999999998</v>
      </c>
      <c r="C73" s="1">
        <v>4.764E-3</v>
      </c>
      <c r="D73" s="1">
        <v>4.1669999999999997E-3</v>
      </c>
      <c r="E73" s="1">
        <v>8.9309999999999997E-3</v>
      </c>
      <c r="F73" s="1">
        <v>0</v>
      </c>
      <c r="G73" s="1">
        <v>-0.100645</v>
      </c>
      <c r="H73" s="1">
        <v>0</v>
      </c>
      <c r="I73" s="1">
        <v>0</v>
      </c>
      <c r="J73" s="1">
        <v>0</v>
      </c>
      <c r="K73" s="1">
        <v>92.601299999999995</v>
      </c>
      <c r="L73" s="1">
        <v>0.63100000000000001</v>
      </c>
      <c r="N73" s="37" t="s">
        <v>243</v>
      </c>
    </row>
    <row r="74" spans="1:14" x14ac:dyDescent="0.25">
      <c r="A74" s="37">
        <v>2.5</v>
      </c>
      <c r="B74" s="1">
        <v>0.44045499999999999</v>
      </c>
      <c r="C74" s="1">
        <v>6.045E-3</v>
      </c>
      <c r="D74" s="1">
        <v>4.1609999999999998E-3</v>
      </c>
      <c r="E74" s="1">
        <v>1.0206E-2</v>
      </c>
      <c r="F74" s="1">
        <v>0</v>
      </c>
      <c r="G74" s="1">
        <v>-0.115812</v>
      </c>
      <c r="H74" s="1">
        <v>0</v>
      </c>
      <c r="I74" s="1">
        <v>0</v>
      </c>
      <c r="J74" s="1">
        <v>0</v>
      </c>
      <c r="K74" s="1">
        <v>92.601299999999995</v>
      </c>
      <c r="L74" s="1">
        <v>0.64080000000000004</v>
      </c>
      <c r="N74" s="37" t="s">
        <v>244</v>
      </c>
    </row>
    <row r="75" spans="1:14" x14ac:dyDescent="0.25">
      <c r="A75" s="37">
        <v>3</v>
      </c>
      <c r="B75" s="1">
        <v>0.489313</v>
      </c>
      <c r="C75" s="1">
        <v>7.4840000000000002E-3</v>
      </c>
      <c r="D75" s="1">
        <v>4.372E-3</v>
      </c>
      <c r="E75" s="1">
        <v>1.1856E-2</v>
      </c>
      <c r="F75" s="1">
        <v>0</v>
      </c>
      <c r="G75" s="1">
        <v>-0.130492</v>
      </c>
      <c r="H75" s="1">
        <v>0</v>
      </c>
      <c r="I75" s="1">
        <v>0</v>
      </c>
      <c r="J75" s="1">
        <v>0</v>
      </c>
      <c r="K75" s="1">
        <v>92.601299999999995</v>
      </c>
      <c r="L75" s="1">
        <v>0.64790000000000003</v>
      </c>
      <c r="N75" s="37" t="s">
        <v>245</v>
      </c>
    </row>
    <row r="76" spans="1:14" x14ac:dyDescent="0.25">
      <c r="A76" s="37">
        <v>3.5</v>
      </c>
      <c r="B76" s="1">
        <v>0.53814399999999996</v>
      </c>
      <c r="C76" s="1">
        <v>9.0830000000000008E-3</v>
      </c>
      <c r="D76" s="1">
        <v>5.0130000000000001E-3</v>
      </c>
      <c r="E76" s="1">
        <v>1.4095999999999999E-2</v>
      </c>
      <c r="F76" s="1">
        <v>0</v>
      </c>
      <c r="G76" s="1">
        <v>-0.14471400000000001</v>
      </c>
      <c r="H76" s="1">
        <v>0</v>
      </c>
      <c r="I76" s="1">
        <v>0</v>
      </c>
      <c r="J76" s="1">
        <v>0</v>
      </c>
      <c r="K76" s="1">
        <v>92.601299999999995</v>
      </c>
      <c r="L76" s="1">
        <v>0.65300000000000002</v>
      </c>
      <c r="N76" s="37" t="s">
        <v>246</v>
      </c>
    </row>
    <row r="77" spans="1:14" x14ac:dyDescent="0.25">
      <c r="A77" s="37">
        <v>4</v>
      </c>
      <c r="B77" s="1">
        <v>0.58694599999999997</v>
      </c>
      <c r="C77" s="1">
        <v>1.0841E-2</v>
      </c>
      <c r="D77" s="1">
        <v>5.9940000000000002E-3</v>
      </c>
      <c r="E77" s="1">
        <v>1.6834999999999999E-2</v>
      </c>
      <c r="F77" s="1">
        <v>0</v>
      </c>
      <c r="G77" s="1">
        <v>-0.15842300000000001</v>
      </c>
      <c r="H77" s="1">
        <v>0</v>
      </c>
      <c r="I77" s="1">
        <v>0</v>
      </c>
      <c r="J77" s="1">
        <v>0</v>
      </c>
      <c r="K77" s="1">
        <v>92.601299999999995</v>
      </c>
      <c r="L77" s="1">
        <v>0.65680000000000005</v>
      </c>
      <c r="N77" s="37" t="s">
        <v>247</v>
      </c>
    </row>
    <row r="78" spans="1:14" x14ac:dyDescent="0.25">
      <c r="A78" s="37">
        <v>4.5</v>
      </c>
      <c r="B78" s="1">
        <v>0.63571800000000001</v>
      </c>
      <c r="C78" s="1">
        <v>1.2758E-2</v>
      </c>
      <c r="D78" s="1">
        <v>6.8979999999999996E-3</v>
      </c>
      <c r="E78" s="1">
        <v>1.9656E-2</v>
      </c>
      <c r="F78" s="1">
        <v>0</v>
      </c>
      <c r="G78" s="1">
        <v>-0.17149500000000001</v>
      </c>
      <c r="H78" s="1">
        <v>0</v>
      </c>
      <c r="I78" s="1">
        <v>0</v>
      </c>
      <c r="J78" s="1">
        <v>0</v>
      </c>
      <c r="K78" s="1">
        <v>92.601299999999995</v>
      </c>
      <c r="L78" s="1">
        <v>0.6593</v>
      </c>
      <c r="N78" s="37" t="s">
        <v>248</v>
      </c>
    </row>
    <row r="79" spans="1:14" x14ac:dyDescent="0.25">
      <c r="A79" s="37">
        <v>5</v>
      </c>
      <c r="B79" s="1">
        <v>0.68445699999999998</v>
      </c>
      <c r="C79" s="1">
        <v>1.4839E-2</v>
      </c>
      <c r="D79" s="1">
        <v>7.6439999999999998E-3</v>
      </c>
      <c r="E79" s="1">
        <v>2.2483E-2</v>
      </c>
      <c r="F79" s="1">
        <v>0</v>
      </c>
      <c r="G79" s="1">
        <v>-0.183893</v>
      </c>
      <c r="H79" s="1">
        <v>0</v>
      </c>
      <c r="I79" s="1">
        <v>0</v>
      </c>
      <c r="J79" s="1">
        <v>0</v>
      </c>
      <c r="K79" s="1">
        <v>92.601299999999995</v>
      </c>
      <c r="L79" s="1">
        <v>0.66100000000000003</v>
      </c>
      <c r="N79" s="37" t="s">
        <v>249</v>
      </c>
    </row>
    <row r="80" spans="1:14" x14ac:dyDescent="0.25">
      <c r="A80" s="37">
        <v>5.5</v>
      </c>
      <c r="B80" s="1">
        <v>0.73316300000000001</v>
      </c>
      <c r="C80" s="1">
        <v>1.7087999999999999E-2</v>
      </c>
      <c r="D80" s="1">
        <v>8.3079999999999994E-3</v>
      </c>
      <c r="E80" s="1">
        <v>2.5396999999999999E-2</v>
      </c>
      <c r="F80" s="1">
        <v>0</v>
      </c>
      <c r="G80" s="1">
        <v>-0.19561200000000001</v>
      </c>
      <c r="H80" s="1">
        <v>0</v>
      </c>
      <c r="I80" s="1">
        <v>0</v>
      </c>
      <c r="J80" s="1">
        <v>0</v>
      </c>
      <c r="K80" s="1">
        <v>92.601299999999995</v>
      </c>
      <c r="L80" s="1">
        <v>0.66190000000000004</v>
      </c>
      <c r="N80" s="37" t="s">
        <v>250</v>
      </c>
    </row>
    <row r="81" spans="1:14" x14ac:dyDescent="0.25">
      <c r="A81" s="37">
        <v>6</v>
      </c>
      <c r="B81" s="1">
        <v>0.781837</v>
      </c>
      <c r="C81" s="1">
        <v>1.9528E-2</v>
      </c>
      <c r="D81" s="1">
        <v>8.8959999999999994E-3</v>
      </c>
      <c r="E81" s="1">
        <v>2.8424000000000001E-2</v>
      </c>
      <c r="F81" s="1">
        <v>0</v>
      </c>
      <c r="G81" s="1">
        <v>-0.20662800000000001</v>
      </c>
      <c r="H81" s="1">
        <v>0</v>
      </c>
      <c r="I81" s="1">
        <v>0</v>
      </c>
      <c r="J81" s="1">
        <v>0</v>
      </c>
      <c r="K81" s="1">
        <v>92.601299999999995</v>
      </c>
      <c r="L81" s="1">
        <v>0.66210000000000002</v>
      </c>
      <c r="N81" s="37" t="s">
        <v>251</v>
      </c>
    </row>
    <row r="82" spans="1:14" x14ac:dyDescent="0.25">
      <c r="A82" s="37">
        <v>6.5</v>
      </c>
      <c r="B82" s="1">
        <v>0.83049700000000004</v>
      </c>
      <c r="C82" s="1">
        <v>2.2246999999999999E-2</v>
      </c>
      <c r="D82" s="1">
        <v>9.4210000000000006E-3</v>
      </c>
      <c r="E82" s="1">
        <v>3.1668000000000002E-2</v>
      </c>
      <c r="F82" s="1">
        <v>0</v>
      </c>
      <c r="G82" s="1">
        <v>-0.21690499999999999</v>
      </c>
      <c r="H82" s="1">
        <v>0</v>
      </c>
      <c r="I82" s="1">
        <v>0</v>
      </c>
      <c r="J82" s="1">
        <v>0</v>
      </c>
      <c r="K82" s="1">
        <v>92.601299999999995</v>
      </c>
      <c r="L82" s="1">
        <v>0.66180000000000005</v>
      </c>
      <c r="N82" s="37" t="s">
        <v>252</v>
      </c>
    </row>
    <row r="83" spans="1:14" x14ac:dyDescent="0.25">
      <c r="A83" s="37">
        <v>7</v>
      </c>
      <c r="B83" s="1">
        <v>0.87923600000000002</v>
      </c>
      <c r="C83" s="1">
        <v>2.5583999999999999E-2</v>
      </c>
      <c r="D83" s="1">
        <v>9.9740000000000002E-3</v>
      </c>
      <c r="E83" s="1">
        <v>3.5559E-2</v>
      </c>
      <c r="F83" s="1">
        <v>0</v>
      </c>
      <c r="G83" s="1">
        <v>-0.22650500000000001</v>
      </c>
      <c r="H83" s="1">
        <v>0</v>
      </c>
      <c r="I83" s="1">
        <v>0</v>
      </c>
      <c r="J83" s="1">
        <v>0</v>
      </c>
      <c r="K83" s="1">
        <v>92.601299999999995</v>
      </c>
      <c r="L83" s="1">
        <v>0.66110000000000002</v>
      </c>
      <c r="N83" s="37" t="s">
        <v>253</v>
      </c>
    </row>
    <row r="84" spans="1:14" x14ac:dyDescent="0.25">
      <c r="A84" s="37">
        <v>7.5</v>
      </c>
      <c r="B84" s="1">
        <v>0.92745999999999995</v>
      </c>
      <c r="C84" s="1">
        <v>2.7338000000000001E-2</v>
      </c>
      <c r="D84" s="1">
        <v>1.0571000000000001E-2</v>
      </c>
      <c r="E84" s="1">
        <v>3.7908999999999998E-2</v>
      </c>
      <c r="F84" s="1">
        <v>0</v>
      </c>
      <c r="G84" s="1">
        <v>-0.23643800000000001</v>
      </c>
      <c r="H84" s="1">
        <v>0</v>
      </c>
      <c r="I84" s="1">
        <v>0</v>
      </c>
      <c r="J84" s="1">
        <v>0</v>
      </c>
      <c r="K84" s="1">
        <v>92.601299999999995</v>
      </c>
      <c r="L84" s="1">
        <v>0.66180000000000005</v>
      </c>
      <c r="N84" s="37" t="s">
        <v>254</v>
      </c>
    </row>
    <row r="85" spans="1:14" x14ac:dyDescent="0.25">
      <c r="A85" s="37">
        <v>8</v>
      </c>
      <c r="B85" s="1">
        <v>0.97591499999999998</v>
      </c>
      <c r="C85" s="1">
        <v>2.8695999999999999E-2</v>
      </c>
      <c r="D85" s="1">
        <v>1.1204E-2</v>
      </c>
      <c r="E85" s="1">
        <v>3.9899999999999998E-2</v>
      </c>
      <c r="F85" s="1">
        <v>0</v>
      </c>
      <c r="G85" s="1">
        <v>-0.25007200000000002</v>
      </c>
      <c r="H85" s="1">
        <v>0</v>
      </c>
      <c r="I85" s="1">
        <v>0</v>
      </c>
      <c r="J85" s="1">
        <v>0</v>
      </c>
      <c r="K85" s="1">
        <v>92.601299999999995</v>
      </c>
      <c r="L85" s="1">
        <v>0.66790000000000005</v>
      </c>
      <c r="N85" s="37" t="s">
        <v>255</v>
      </c>
    </row>
    <row r="86" spans="1:14" x14ac:dyDescent="0.25">
      <c r="A86" s="37">
        <v>8.5</v>
      </c>
      <c r="B86" s="1">
        <v>1.02233</v>
      </c>
      <c r="C86" s="1">
        <v>3.6033999999999997E-2</v>
      </c>
      <c r="D86" s="1">
        <v>1.183E-2</v>
      </c>
      <c r="E86" s="1">
        <v>4.7863999999999997E-2</v>
      </c>
      <c r="F86" s="1">
        <v>0</v>
      </c>
      <c r="G86" s="1">
        <v>-0.249193</v>
      </c>
      <c r="H86" s="1">
        <v>0</v>
      </c>
      <c r="I86" s="1">
        <v>0</v>
      </c>
      <c r="J86" s="1">
        <v>0</v>
      </c>
      <c r="K86" s="1">
        <v>92.601299999999995</v>
      </c>
      <c r="L86" s="1">
        <v>0.65639999999999998</v>
      </c>
      <c r="N86" s="37" t="s">
        <v>256</v>
      </c>
    </row>
    <row r="87" spans="1:14" x14ac:dyDescent="0.25">
      <c r="A87" s="37">
        <v>9</v>
      </c>
      <c r="B87" s="1">
        <v>1.071852</v>
      </c>
      <c r="C87" s="1">
        <v>3.6075999999999997E-2</v>
      </c>
      <c r="D87" s="1">
        <v>1.2449999999999999E-2</v>
      </c>
      <c r="E87" s="1">
        <v>4.8524999999999999E-2</v>
      </c>
      <c r="F87" s="1">
        <v>0</v>
      </c>
      <c r="G87" s="1">
        <v>-0.26286700000000002</v>
      </c>
      <c r="H87" s="1">
        <v>0</v>
      </c>
      <c r="I87" s="1">
        <v>0</v>
      </c>
      <c r="J87" s="1">
        <v>0</v>
      </c>
      <c r="K87" s="1">
        <v>92.601299999999995</v>
      </c>
      <c r="L87" s="1">
        <v>0.66269999999999996</v>
      </c>
      <c r="N87" s="37" t="s">
        <v>257</v>
      </c>
    </row>
    <row r="88" spans="1:14" x14ac:dyDescent="0.25">
      <c r="A88" s="37">
        <v>9.5</v>
      </c>
      <c r="B88" s="1">
        <v>1.118495</v>
      </c>
      <c r="C88" s="1">
        <v>4.2193000000000001E-2</v>
      </c>
      <c r="D88" s="1">
        <v>1.308E-2</v>
      </c>
      <c r="E88" s="1">
        <v>5.5273000000000003E-2</v>
      </c>
      <c r="F88" s="1">
        <v>0</v>
      </c>
      <c r="G88" s="1">
        <v>-0.26280599999999998</v>
      </c>
      <c r="H88" s="1">
        <v>0</v>
      </c>
      <c r="I88" s="1">
        <v>0</v>
      </c>
      <c r="J88" s="1">
        <v>0</v>
      </c>
      <c r="K88" s="1">
        <v>92.601299999999995</v>
      </c>
      <c r="L88" s="1">
        <v>0.6542</v>
      </c>
      <c r="N88" s="37" t="s">
        <v>258</v>
      </c>
    </row>
    <row r="89" spans="1:14" x14ac:dyDescent="0.25">
      <c r="A89" s="37">
        <v>10</v>
      </c>
      <c r="B89" s="1">
        <v>1.169448</v>
      </c>
      <c r="C89" s="1">
        <v>4.4435000000000002E-2</v>
      </c>
      <c r="D89" s="1">
        <v>1.376E-2</v>
      </c>
      <c r="E89" s="1">
        <v>5.8194999999999997E-2</v>
      </c>
      <c r="F89" s="1">
        <v>0</v>
      </c>
      <c r="G89" s="1">
        <v>-0.27727800000000002</v>
      </c>
      <c r="H89" s="1">
        <v>0</v>
      </c>
      <c r="I89" s="1">
        <v>0</v>
      </c>
      <c r="J89" s="1">
        <v>0</v>
      </c>
      <c r="K89" s="1">
        <v>92.601299999999995</v>
      </c>
      <c r="L89" s="1">
        <v>0.66139999999999999</v>
      </c>
      <c r="N89" s="37" t="s">
        <v>259</v>
      </c>
    </row>
    <row r="90" spans="1:14" x14ac:dyDescent="0.25">
      <c r="A90" s="37">
        <v>10.5</v>
      </c>
      <c r="B90" s="1">
        <v>1.218947</v>
      </c>
      <c r="C90" s="1">
        <v>4.8091000000000002E-2</v>
      </c>
      <c r="D90" s="1">
        <v>1.4467000000000001E-2</v>
      </c>
      <c r="E90" s="1">
        <v>6.2558000000000002E-2</v>
      </c>
      <c r="F90" s="1">
        <v>0</v>
      </c>
      <c r="G90" s="1">
        <v>-0.28596700000000003</v>
      </c>
      <c r="H90" s="1">
        <v>0</v>
      </c>
      <c r="I90" s="1">
        <v>0</v>
      </c>
      <c r="J90" s="1">
        <v>0</v>
      </c>
      <c r="K90" s="1">
        <v>92.601299999999995</v>
      </c>
      <c r="L90" s="1">
        <v>0.66290000000000004</v>
      </c>
      <c r="N90" s="37" t="s">
        <v>260</v>
      </c>
    </row>
    <row r="91" spans="1:14" x14ac:dyDescent="0.25">
      <c r="A91" s="37">
        <v>11</v>
      </c>
      <c r="B91" s="1">
        <v>1.2675730000000001</v>
      </c>
      <c r="C91" s="1">
        <v>5.2009E-2</v>
      </c>
      <c r="D91" s="1">
        <v>1.521E-2</v>
      </c>
      <c r="E91" s="1">
        <v>6.7219000000000001E-2</v>
      </c>
      <c r="F91" s="1">
        <v>0</v>
      </c>
      <c r="G91" s="1">
        <v>-0.29173399999999999</v>
      </c>
      <c r="H91" s="1">
        <v>0</v>
      </c>
      <c r="I91" s="1">
        <v>0</v>
      </c>
      <c r="J91" s="1">
        <v>0</v>
      </c>
      <c r="K91" s="1">
        <v>92.601299999999995</v>
      </c>
      <c r="L91" s="1">
        <v>0.66220000000000001</v>
      </c>
      <c r="N91" s="37" t="s">
        <v>261</v>
      </c>
    </row>
    <row r="92" spans="1:14" x14ac:dyDescent="0.25">
      <c r="A92" s="37">
        <v>11.5</v>
      </c>
      <c r="B92" s="1">
        <v>1.3175559999999999</v>
      </c>
      <c r="C92" s="1">
        <v>5.6259000000000003E-2</v>
      </c>
      <c r="D92" s="1">
        <v>1.6025999999999999E-2</v>
      </c>
      <c r="E92" s="1">
        <v>7.2286000000000003E-2</v>
      </c>
      <c r="F92" s="1">
        <v>0</v>
      </c>
      <c r="G92" s="1">
        <v>-0.30031099999999999</v>
      </c>
      <c r="H92" s="1">
        <v>0</v>
      </c>
      <c r="I92" s="1">
        <v>0</v>
      </c>
      <c r="J92" s="1">
        <v>0</v>
      </c>
      <c r="K92" s="1">
        <v>92.601299999999995</v>
      </c>
      <c r="L92" s="1">
        <v>0.6643</v>
      </c>
      <c r="N92" s="37" t="s">
        <v>262</v>
      </c>
    </row>
    <row r="93" spans="1:14" x14ac:dyDescent="0.25">
      <c r="A93" s="37">
        <v>12</v>
      </c>
      <c r="B93" s="1">
        <v>1.3668910000000001</v>
      </c>
      <c r="C93" s="1">
        <v>6.0590999999999999E-2</v>
      </c>
      <c r="D93" s="1">
        <v>1.6896999999999999E-2</v>
      </c>
      <c r="E93" s="1">
        <v>7.7488000000000001E-2</v>
      </c>
      <c r="F93" s="1">
        <v>0</v>
      </c>
      <c r="G93" s="1">
        <v>-0.30638399999999999</v>
      </c>
      <c r="H93" s="1">
        <v>0</v>
      </c>
      <c r="I93" s="1">
        <v>0</v>
      </c>
      <c r="J93" s="1">
        <v>0</v>
      </c>
      <c r="K93" s="1">
        <v>92.601299999999995</v>
      </c>
      <c r="L93" s="1">
        <v>0.66459999999999997</v>
      </c>
      <c r="N93" s="37" t="s">
        <v>263</v>
      </c>
    </row>
    <row r="94" spans="1:14" x14ac:dyDescent="0.25">
      <c r="A94" s="37">
        <v>12.5</v>
      </c>
      <c r="B94" s="1">
        <v>1.416099</v>
      </c>
      <c r="C94" s="1">
        <v>6.5062999999999996E-2</v>
      </c>
      <c r="D94" s="1">
        <v>1.7846000000000001E-2</v>
      </c>
      <c r="E94" s="1">
        <v>8.2907999999999996E-2</v>
      </c>
      <c r="F94" s="1">
        <v>0</v>
      </c>
      <c r="G94" s="1">
        <v>-0.31138100000000002</v>
      </c>
      <c r="H94" s="1">
        <v>0</v>
      </c>
      <c r="I94" s="1">
        <v>0</v>
      </c>
      <c r="J94" s="1">
        <v>0</v>
      </c>
      <c r="K94" s="1">
        <v>92.601299999999995</v>
      </c>
      <c r="L94" s="1">
        <v>0.66449999999999998</v>
      </c>
      <c r="N94" s="37" t="s">
        <v>264</v>
      </c>
    </row>
    <row r="95" spans="1:14" x14ac:dyDescent="0.25">
      <c r="A95" s="37">
        <v>13</v>
      </c>
      <c r="B95" s="1">
        <v>1.4652529999999999</v>
      </c>
      <c r="C95" s="1">
        <v>6.9682999999999995E-2</v>
      </c>
      <c r="D95" s="1">
        <v>1.8866000000000001E-2</v>
      </c>
      <c r="E95" s="1">
        <v>8.8549000000000003E-2</v>
      </c>
      <c r="F95" s="1">
        <v>0</v>
      </c>
      <c r="G95" s="1">
        <v>-0.315496</v>
      </c>
      <c r="H95" s="1">
        <v>0</v>
      </c>
      <c r="I95" s="1">
        <v>0</v>
      </c>
      <c r="J95" s="1">
        <v>0</v>
      </c>
      <c r="K95" s="1">
        <v>92.601299999999995</v>
      </c>
      <c r="L95" s="1">
        <v>0.66410000000000002</v>
      </c>
      <c r="N95" s="37" t="s">
        <v>265</v>
      </c>
    </row>
    <row r="96" spans="1:14" x14ac:dyDescent="0.25">
      <c r="A96" s="37">
        <v>13.5</v>
      </c>
      <c r="B96" s="1">
        <v>1.514381</v>
      </c>
      <c r="C96" s="1">
        <v>7.4454999999999993E-2</v>
      </c>
      <c r="D96" s="1">
        <v>1.9914000000000001E-2</v>
      </c>
      <c r="E96" s="1">
        <v>9.4368999999999995E-2</v>
      </c>
      <c r="F96" s="1">
        <v>0</v>
      </c>
      <c r="G96" s="1">
        <v>-0.318772</v>
      </c>
      <c r="H96" s="1">
        <v>0</v>
      </c>
      <c r="I96" s="1">
        <v>0</v>
      </c>
      <c r="J96" s="1">
        <v>0</v>
      </c>
      <c r="K96" s="1">
        <v>92.601299999999995</v>
      </c>
      <c r="L96" s="1">
        <v>0.66349999999999998</v>
      </c>
    </row>
    <row r="97" spans="1:14" x14ac:dyDescent="0.25">
      <c r="A97" s="37">
        <v>14</v>
      </c>
      <c r="B97" s="1">
        <v>1.5634939999999999</v>
      </c>
      <c r="C97" s="1">
        <v>7.9380000000000006E-2</v>
      </c>
      <c r="D97" s="1">
        <v>2.1009E-2</v>
      </c>
      <c r="E97" s="1">
        <v>0.10038900000000001</v>
      </c>
      <c r="F97" s="1">
        <v>0</v>
      </c>
      <c r="G97" s="1">
        <v>-0.32122800000000001</v>
      </c>
      <c r="H97" s="1">
        <v>0</v>
      </c>
      <c r="I97" s="1">
        <v>0</v>
      </c>
      <c r="J97" s="1">
        <v>0</v>
      </c>
      <c r="K97" s="1">
        <v>92.601299999999995</v>
      </c>
      <c r="L97" s="1">
        <v>0.66279999999999994</v>
      </c>
    </row>
    <row r="98" spans="1:14" x14ac:dyDescent="0.25">
      <c r="A98" s="37">
        <v>14.5</v>
      </c>
      <c r="B98" s="1">
        <v>1.6125940000000001</v>
      </c>
      <c r="C98" s="1">
        <v>8.4457000000000004E-2</v>
      </c>
      <c r="D98" s="1">
        <v>2.2189E-2</v>
      </c>
      <c r="E98" s="1">
        <v>0.10664700000000001</v>
      </c>
      <c r="F98" s="1">
        <v>0</v>
      </c>
      <c r="G98" s="1">
        <v>-0.32285900000000001</v>
      </c>
      <c r="H98" s="1">
        <v>0</v>
      </c>
      <c r="I98" s="1">
        <v>0</v>
      </c>
      <c r="J98" s="1">
        <v>0</v>
      </c>
      <c r="K98" s="1">
        <v>92.601299999999995</v>
      </c>
      <c r="L98" s="1">
        <v>0.66190000000000004</v>
      </c>
    </row>
    <row r="99" spans="1:14" x14ac:dyDescent="0.25">
      <c r="A99" s="37">
        <v>15</v>
      </c>
      <c r="B99" s="1">
        <v>1.66168</v>
      </c>
      <c r="C99" s="1">
        <v>8.9687000000000003E-2</v>
      </c>
      <c r="D99" s="1">
        <v>2.3564000000000002E-2</v>
      </c>
      <c r="E99" s="1">
        <v>0.113251</v>
      </c>
      <c r="F99" s="1">
        <v>0</v>
      </c>
      <c r="G99" s="1">
        <v>-0.32367299999999999</v>
      </c>
      <c r="H99" s="1">
        <v>0</v>
      </c>
      <c r="I99" s="1">
        <v>0</v>
      </c>
      <c r="J99" s="1">
        <v>0</v>
      </c>
      <c r="K99" s="1">
        <v>92.601299999999995</v>
      </c>
      <c r="L99" s="1">
        <v>0.66090000000000004</v>
      </c>
    </row>
    <row r="102" spans="1:14" x14ac:dyDescent="0.25">
      <c r="A102" s="13" t="s">
        <v>266</v>
      </c>
    </row>
    <row r="103" spans="1:14" x14ac:dyDescent="0.25">
      <c r="A103" s="44" t="s">
        <v>119</v>
      </c>
      <c r="B103">
        <f>MATCH($B$7,B108:B144,1)+ROW()+4</f>
        <v>120</v>
      </c>
      <c r="F103" s="21" t="s">
        <v>736</v>
      </c>
      <c r="G103">
        <f>MATCH(0,G108:G144,-1)+ROW()+4</f>
        <v>112</v>
      </c>
    </row>
    <row r="104" spans="1:14" x14ac:dyDescent="0.25">
      <c r="A104" s="45" t="s">
        <v>186</v>
      </c>
      <c r="B104">
        <f ca="1">INDIRECT(CONCATENATE("C",B103+1)) - (INDIRECT(CONCATENATE("B",B103+1))-$B$7) / (INDIRECT(CONCATENATE("B",B103+1))-INDIRECT(CONCATENATE("B",B103))) * (INDIRECT(CONCATENATE("C",B103+1)) - INDIRECT(CONCATENATE("C",B103)) )</f>
        <v>8.8734799662058758E-3</v>
      </c>
      <c r="F104" s="21" t="s">
        <v>737</v>
      </c>
      <c r="G104" s="1">
        <f ca="1">INDIRECT(CONCATENATE("B",G103+1)) - (INDIRECT(CONCATENATE("B",G103+1))-INDIRECT(CONCATENATE("B",G103))) / (INDIRECT(CONCATENATE("G",G103+1))-INDIRECT(CONCATENATE("G",G103))) * (INDIRECT(CONCATENATE("G",G103+1)) - 0)</f>
        <v>0.16818348482102402</v>
      </c>
      <c r="N104" s="37" t="s">
        <v>146</v>
      </c>
    </row>
    <row r="105" spans="1:14" x14ac:dyDescent="0.25">
      <c r="A105" s="13" t="s">
        <v>2</v>
      </c>
      <c r="B105" s="13">
        <f ca="1">$B$7^2/(PI()*$B$2*B104)</f>
        <v>0.95160031893706842</v>
      </c>
      <c r="N105" s="37" t="s">
        <v>147</v>
      </c>
    </row>
    <row r="106" spans="1:14" x14ac:dyDescent="0.25">
      <c r="N106" s="37" t="s">
        <v>165</v>
      </c>
    </row>
    <row r="107" spans="1:14" x14ac:dyDescent="0.25">
      <c r="A107" s="1" t="s">
        <v>128</v>
      </c>
      <c r="B107" s="1" t="s">
        <v>118</v>
      </c>
      <c r="C107" s="1" t="s">
        <v>149</v>
      </c>
      <c r="D107" s="1" t="s">
        <v>150</v>
      </c>
      <c r="E107" s="1" t="s">
        <v>151</v>
      </c>
      <c r="F107" s="1" t="s">
        <v>152</v>
      </c>
      <c r="G107" s="1" t="s">
        <v>153</v>
      </c>
      <c r="H107" s="1" t="s">
        <v>154</v>
      </c>
      <c r="I107" s="1" t="s">
        <v>155</v>
      </c>
      <c r="J107" s="1" t="s">
        <v>156</v>
      </c>
      <c r="K107" s="1" t="s">
        <v>157</v>
      </c>
      <c r="L107" s="1" t="s">
        <v>158</v>
      </c>
      <c r="N107" s="37" t="s">
        <v>267</v>
      </c>
    </row>
    <row r="108" spans="1:14" x14ac:dyDescent="0.25">
      <c r="A108" s="37">
        <v>-3</v>
      </c>
      <c r="B108" s="1">
        <v>-6.3547999999999993E-2</v>
      </c>
      <c r="C108" s="1">
        <v>5.31E-4</v>
      </c>
      <c r="D108" s="1">
        <v>7.443E-3</v>
      </c>
      <c r="E108" s="1">
        <v>7.9740000000000002E-3</v>
      </c>
      <c r="F108" s="1">
        <v>0</v>
      </c>
      <c r="G108" s="1">
        <v>8.7364999999999998E-2</v>
      </c>
      <c r="H108" s="1">
        <v>0</v>
      </c>
      <c r="I108" s="1">
        <v>0</v>
      </c>
      <c r="J108" s="1">
        <v>0</v>
      </c>
      <c r="K108" s="1">
        <v>92.601299999999995</v>
      </c>
      <c r="L108" s="1">
        <v>1.9992000000000001</v>
      </c>
      <c r="N108" s="37" t="s">
        <v>166</v>
      </c>
    </row>
    <row r="109" spans="1:14" x14ac:dyDescent="0.25">
      <c r="A109" s="37">
        <v>-2.5</v>
      </c>
      <c r="B109" s="1">
        <v>-1.482E-2</v>
      </c>
      <c r="C109" s="1">
        <v>3.4000000000000002E-4</v>
      </c>
      <c r="D109" s="1">
        <v>7.228E-3</v>
      </c>
      <c r="E109" s="1">
        <v>7.5680000000000001E-3</v>
      </c>
      <c r="F109" s="1">
        <v>0</v>
      </c>
      <c r="G109" s="1">
        <v>6.8420999999999996E-2</v>
      </c>
      <c r="H109" s="1">
        <v>0</v>
      </c>
      <c r="I109" s="1">
        <v>0</v>
      </c>
      <c r="J109" s="1">
        <v>0</v>
      </c>
      <c r="K109" s="1">
        <v>92.601299999999995</v>
      </c>
      <c r="L109" s="1">
        <v>6.0096999999999996</v>
      </c>
      <c r="N109" s="37" t="s">
        <v>268</v>
      </c>
    </row>
    <row r="110" spans="1:14" x14ac:dyDescent="0.25">
      <c r="A110" s="37">
        <v>-2</v>
      </c>
      <c r="B110" s="1">
        <v>3.3901000000000001E-2</v>
      </c>
      <c r="C110" s="1">
        <v>3.0899999999999998E-4</v>
      </c>
      <c r="D110" s="1">
        <v>7.0200000000000002E-3</v>
      </c>
      <c r="E110" s="1">
        <v>7.3289999999999996E-3</v>
      </c>
      <c r="F110" s="1">
        <v>0</v>
      </c>
      <c r="G110" s="1">
        <v>4.9751999999999998E-2</v>
      </c>
      <c r="H110" s="1">
        <v>0</v>
      </c>
      <c r="I110" s="1">
        <v>0</v>
      </c>
      <c r="J110" s="1">
        <v>0</v>
      </c>
      <c r="K110" s="1">
        <v>92.601299999999995</v>
      </c>
      <c r="L110" s="1">
        <v>-1.5143</v>
      </c>
      <c r="N110" s="37" t="s">
        <v>167</v>
      </c>
    </row>
    <row r="111" spans="1:14" x14ac:dyDescent="0.25">
      <c r="A111" s="37">
        <v>-1.5</v>
      </c>
      <c r="B111" s="1">
        <v>8.2614000000000007E-2</v>
      </c>
      <c r="C111" s="1">
        <v>4.3800000000000002E-4</v>
      </c>
      <c r="D111" s="1">
        <v>6.7809999999999997E-3</v>
      </c>
      <c r="E111" s="1">
        <v>7.2189999999999997E-3</v>
      </c>
      <c r="F111" s="1">
        <v>0</v>
      </c>
      <c r="G111" s="1">
        <v>3.1392999999999997E-2</v>
      </c>
      <c r="H111" s="1">
        <v>0</v>
      </c>
      <c r="I111" s="1">
        <v>0</v>
      </c>
      <c r="J111" s="1">
        <v>0</v>
      </c>
      <c r="K111" s="1">
        <v>92.601299999999995</v>
      </c>
      <c r="L111" s="1">
        <v>-0.16789999999999999</v>
      </c>
      <c r="N111" s="37" t="s">
        <v>269</v>
      </c>
    </row>
    <row r="112" spans="1:14" x14ac:dyDescent="0.25">
      <c r="A112" s="37">
        <v>-1</v>
      </c>
      <c r="B112" s="1">
        <v>0.13131699999999999</v>
      </c>
      <c r="C112" s="1">
        <v>7.27E-4</v>
      </c>
      <c r="D112" s="1">
        <v>6.5399999999999998E-3</v>
      </c>
      <c r="E112" s="1">
        <v>7.2659999999999999E-3</v>
      </c>
      <c r="F112" s="1">
        <v>0</v>
      </c>
      <c r="G112" s="1">
        <v>1.3368E-2</v>
      </c>
      <c r="H112" s="1">
        <v>0</v>
      </c>
      <c r="I112" s="1">
        <v>0</v>
      </c>
      <c r="J112" s="1">
        <v>0</v>
      </c>
      <c r="K112" s="1">
        <v>92.601299999999995</v>
      </c>
      <c r="L112" s="1">
        <v>0.17760000000000001</v>
      </c>
      <c r="N112" s="37" t="s">
        <v>168</v>
      </c>
    </row>
    <row r="113" spans="1:14" x14ac:dyDescent="0.25">
      <c r="A113" s="37">
        <v>-0.5</v>
      </c>
      <c r="B113" s="1">
        <v>0.180009</v>
      </c>
      <c r="C113" s="1">
        <v>1.176E-3</v>
      </c>
      <c r="D113" s="1">
        <v>6.2240000000000004E-3</v>
      </c>
      <c r="E113" s="1">
        <v>7.4000000000000003E-3</v>
      </c>
      <c r="F113" s="1">
        <v>0</v>
      </c>
      <c r="G113" s="1">
        <v>-4.2880000000000001E-3</v>
      </c>
      <c r="H113" s="1">
        <v>0</v>
      </c>
      <c r="I113" s="1">
        <v>0</v>
      </c>
      <c r="J113" s="1">
        <v>0</v>
      </c>
      <c r="K113" s="1">
        <v>92.601299999999995</v>
      </c>
      <c r="L113" s="1">
        <v>0.33460000000000001</v>
      </c>
      <c r="N113" s="37" t="s">
        <v>270</v>
      </c>
    </row>
    <row r="114" spans="1:14" x14ac:dyDescent="0.25">
      <c r="A114" s="37">
        <v>0</v>
      </c>
      <c r="B114" s="1">
        <v>0.228687</v>
      </c>
      <c r="C114" s="1">
        <v>1.787E-3</v>
      </c>
      <c r="D114" s="1">
        <v>5.7800000000000004E-3</v>
      </c>
      <c r="E114" s="1">
        <v>7.5669999999999999E-3</v>
      </c>
      <c r="F114" s="1">
        <v>0</v>
      </c>
      <c r="G114" s="1">
        <v>-2.1526E-2</v>
      </c>
      <c r="H114" s="1">
        <v>0</v>
      </c>
      <c r="I114" s="1">
        <v>0</v>
      </c>
      <c r="J114" s="1">
        <v>0</v>
      </c>
      <c r="K114" s="1">
        <v>92.601299999999995</v>
      </c>
      <c r="L114" s="1">
        <v>0.42349999999999999</v>
      </c>
      <c r="N114" s="37" t="s">
        <v>169</v>
      </c>
    </row>
    <row r="115" spans="1:14" x14ac:dyDescent="0.25">
      <c r="A115" s="37">
        <v>0.5</v>
      </c>
      <c r="B115" s="1">
        <v>0.27734900000000001</v>
      </c>
      <c r="C115" s="1">
        <v>2.5579999999999999E-3</v>
      </c>
      <c r="D115" s="1">
        <v>5.0660000000000002E-3</v>
      </c>
      <c r="E115" s="1">
        <v>7.6229999999999996E-3</v>
      </c>
      <c r="F115" s="1">
        <v>0</v>
      </c>
      <c r="G115" s="1">
        <v>-3.8289999999999998E-2</v>
      </c>
      <c r="H115" s="1">
        <v>0</v>
      </c>
      <c r="I115" s="1">
        <v>0</v>
      </c>
      <c r="J115" s="1">
        <v>0</v>
      </c>
      <c r="K115" s="1">
        <v>92.601299999999995</v>
      </c>
      <c r="L115" s="1">
        <v>0.48010000000000003</v>
      </c>
      <c r="N115" s="37" t="s">
        <v>271</v>
      </c>
    </row>
    <row r="116" spans="1:14" x14ac:dyDescent="0.25">
      <c r="A116" s="37">
        <v>1</v>
      </c>
      <c r="B116" s="1">
        <v>0.32599499999999998</v>
      </c>
      <c r="C116" s="1">
        <v>3.4889999999999999E-3</v>
      </c>
      <c r="D116" s="1">
        <v>4.4060000000000002E-3</v>
      </c>
      <c r="E116" s="1">
        <v>7.8949999999999992E-3</v>
      </c>
      <c r="F116" s="1">
        <v>0</v>
      </c>
      <c r="G116" s="1">
        <v>-5.4657999999999998E-2</v>
      </c>
      <c r="H116" s="1">
        <v>0</v>
      </c>
      <c r="I116" s="1">
        <v>0</v>
      </c>
      <c r="J116" s="1">
        <v>0</v>
      </c>
      <c r="K116" s="1">
        <v>92.601299999999995</v>
      </c>
      <c r="L116" s="1">
        <v>0.51890000000000003</v>
      </c>
      <c r="N116" s="37" t="s">
        <v>170</v>
      </c>
    </row>
    <row r="117" spans="1:14" x14ac:dyDescent="0.25">
      <c r="A117" s="37">
        <v>1.5</v>
      </c>
      <c r="B117" s="1">
        <v>0.37462200000000001</v>
      </c>
      <c r="C117" s="1">
        <v>4.5820000000000001E-3</v>
      </c>
      <c r="D117" s="1">
        <v>4.189E-3</v>
      </c>
      <c r="E117" s="1">
        <v>8.7709999999999993E-3</v>
      </c>
      <c r="F117" s="1">
        <v>0</v>
      </c>
      <c r="G117" s="1">
        <v>-7.0689000000000002E-2</v>
      </c>
      <c r="H117" s="1">
        <v>0</v>
      </c>
      <c r="I117" s="1">
        <v>0</v>
      </c>
      <c r="J117" s="1">
        <v>0</v>
      </c>
      <c r="K117" s="1">
        <v>92.601299999999995</v>
      </c>
      <c r="L117" s="1">
        <v>0.54679999999999995</v>
      </c>
      <c r="N117" s="37" t="s">
        <v>272</v>
      </c>
    </row>
    <row r="118" spans="1:14" x14ac:dyDescent="0.25">
      <c r="A118" s="37">
        <v>2</v>
      </c>
      <c r="B118" s="1">
        <v>0.42322900000000002</v>
      </c>
      <c r="C118" s="1">
        <v>5.8349999999999999E-3</v>
      </c>
      <c r="D118" s="1">
        <v>4.1590000000000004E-3</v>
      </c>
      <c r="E118" s="1">
        <v>9.9939999999999994E-3</v>
      </c>
      <c r="F118" s="1">
        <v>0</v>
      </c>
      <c r="G118" s="1">
        <v>-8.6267999999999997E-2</v>
      </c>
      <c r="H118" s="1">
        <v>0</v>
      </c>
      <c r="I118" s="1">
        <v>0</v>
      </c>
      <c r="J118" s="1">
        <v>0</v>
      </c>
      <c r="K118" s="1">
        <v>92.601299999999995</v>
      </c>
      <c r="L118" s="1">
        <v>0.56759999999999999</v>
      </c>
      <c r="N118" s="37" t="s">
        <v>171</v>
      </c>
    </row>
    <row r="119" spans="1:14" x14ac:dyDescent="0.25">
      <c r="A119" s="37">
        <v>2.5</v>
      </c>
      <c r="B119" s="1">
        <v>0.47181400000000001</v>
      </c>
      <c r="C119" s="1">
        <v>7.2500000000000004E-3</v>
      </c>
      <c r="D119" s="1">
        <v>4.3569999999999998E-3</v>
      </c>
      <c r="E119" s="1">
        <v>1.1606999999999999E-2</v>
      </c>
      <c r="F119" s="1">
        <v>0</v>
      </c>
      <c r="G119" s="1">
        <v>-0.10140200000000001</v>
      </c>
      <c r="H119" s="1">
        <v>0</v>
      </c>
      <c r="I119" s="1">
        <v>0</v>
      </c>
      <c r="J119" s="1">
        <v>0</v>
      </c>
      <c r="K119" s="1">
        <v>92.601299999999995</v>
      </c>
      <c r="L119" s="1">
        <v>0.58340000000000003</v>
      </c>
      <c r="N119" s="37" t="s">
        <v>273</v>
      </c>
    </row>
    <row r="120" spans="1:14" x14ac:dyDescent="0.25">
      <c r="A120" s="37">
        <v>3</v>
      </c>
      <c r="B120" s="1">
        <v>0.52037500000000003</v>
      </c>
      <c r="C120" s="1">
        <v>8.8260000000000005E-3</v>
      </c>
      <c r="D120" s="1">
        <v>4.8939999999999999E-3</v>
      </c>
      <c r="E120" s="1">
        <v>1.372E-2</v>
      </c>
      <c r="F120" s="1">
        <v>0</v>
      </c>
      <c r="G120" s="1">
        <v>-0.116096</v>
      </c>
      <c r="H120" s="1">
        <v>0</v>
      </c>
      <c r="I120" s="1">
        <v>0</v>
      </c>
      <c r="J120" s="1">
        <v>0</v>
      </c>
      <c r="K120" s="1">
        <v>92.601299999999995</v>
      </c>
      <c r="L120" s="1">
        <v>0.59560000000000002</v>
      </c>
      <c r="N120" s="37" t="s">
        <v>172</v>
      </c>
    </row>
    <row r="121" spans="1:14" x14ac:dyDescent="0.25">
      <c r="A121" s="37">
        <v>3.5</v>
      </c>
      <c r="B121" s="1">
        <v>0.56891099999999994</v>
      </c>
      <c r="C121" s="1">
        <v>1.0562E-2</v>
      </c>
      <c r="D121" s="1">
        <v>5.7720000000000002E-3</v>
      </c>
      <c r="E121" s="1">
        <v>1.6334999999999999E-2</v>
      </c>
      <c r="F121" s="1">
        <v>0</v>
      </c>
      <c r="G121" s="1">
        <v>-0.13031699999999999</v>
      </c>
      <c r="H121" s="1">
        <v>0</v>
      </c>
      <c r="I121" s="1">
        <v>0</v>
      </c>
      <c r="J121" s="1">
        <v>0</v>
      </c>
      <c r="K121" s="1">
        <v>92.601299999999995</v>
      </c>
      <c r="L121" s="1">
        <v>0.60509999999999997</v>
      </c>
      <c r="N121" s="37" t="s">
        <v>274</v>
      </c>
    </row>
    <row r="122" spans="1:14" x14ac:dyDescent="0.25">
      <c r="A122" s="37">
        <v>4</v>
      </c>
      <c r="B122" s="1">
        <v>0.61741900000000005</v>
      </c>
      <c r="C122" s="1">
        <v>1.2460000000000001E-2</v>
      </c>
      <c r="D122" s="1">
        <v>6.7039999999999999E-3</v>
      </c>
      <c r="E122" s="1">
        <v>1.9165000000000001E-2</v>
      </c>
      <c r="F122" s="1">
        <v>0</v>
      </c>
      <c r="G122" s="1">
        <v>-0.14396100000000001</v>
      </c>
      <c r="H122" s="1">
        <v>0</v>
      </c>
      <c r="I122" s="1">
        <v>0</v>
      </c>
      <c r="J122" s="1">
        <v>0</v>
      </c>
      <c r="K122" s="1">
        <v>92.601299999999995</v>
      </c>
      <c r="L122" s="1">
        <v>0.61260000000000003</v>
      </c>
      <c r="N122" s="37" t="s">
        <v>173</v>
      </c>
    </row>
    <row r="123" spans="1:14" x14ac:dyDescent="0.25">
      <c r="A123" s="37">
        <v>4.5</v>
      </c>
      <c r="B123" s="1">
        <v>0.66589900000000002</v>
      </c>
      <c r="C123" s="1">
        <v>1.452E-2</v>
      </c>
      <c r="D123" s="1">
        <v>7.4619999999999999E-3</v>
      </c>
      <c r="E123" s="1">
        <v>2.1982000000000002E-2</v>
      </c>
      <c r="F123" s="1">
        <v>0</v>
      </c>
      <c r="G123" s="1">
        <v>-0.15696399999999999</v>
      </c>
      <c r="H123" s="1">
        <v>0</v>
      </c>
      <c r="I123" s="1">
        <v>0</v>
      </c>
      <c r="J123" s="1">
        <v>0</v>
      </c>
      <c r="K123" s="1">
        <v>92.601299999999995</v>
      </c>
      <c r="L123" s="1">
        <v>0.61850000000000005</v>
      </c>
      <c r="N123" s="37" t="s">
        <v>275</v>
      </c>
    </row>
    <row r="124" spans="1:14" x14ac:dyDescent="0.25">
      <c r="A124" s="37">
        <v>5</v>
      </c>
      <c r="B124" s="1">
        <v>0.71434900000000001</v>
      </c>
      <c r="C124" s="1">
        <v>1.6743000000000001E-2</v>
      </c>
      <c r="D124" s="1">
        <v>8.1410000000000007E-3</v>
      </c>
      <c r="E124" s="1">
        <v>2.4884E-2</v>
      </c>
      <c r="F124" s="1">
        <v>0</v>
      </c>
      <c r="G124" s="1">
        <v>-0.16933100000000001</v>
      </c>
      <c r="H124" s="1">
        <v>0</v>
      </c>
      <c r="I124" s="1">
        <v>0</v>
      </c>
      <c r="J124" s="1">
        <v>0</v>
      </c>
      <c r="K124" s="1">
        <v>92.601299999999995</v>
      </c>
      <c r="L124" s="1">
        <v>0.623</v>
      </c>
      <c r="N124" s="37" t="s">
        <v>174</v>
      </c>
    </row>
    <row r="125" spans="1:14" x14ac:dyDescent="0.25">
      <c r="A125" s="37">
        <v>5.5</v>
      </c>
      <c r="B125" s="1">
        <v>0.76276699999999997</v>
      </c>
      <c r="C125" s="1">
        <v>1.9134999999999999E-2</v>
      </c>
      <c r="D125" s="1">
        <v>8.7390000000000002E-3</v>
      </c>
      <c r="E125" s="1">
        <v>2.7872999999999998E-2</v>
      </c>
      <c r="F125" s="1">
        <v>0</v>
      </c>
      <c r="G125" s="1">
        <v>-0.18104000000000001</v>
      </c>
      <c r="H125" s="1">
        <v>0</v>
      </c>
      <c r="I125" s="1">
        <v>0</v>
      </c>
      <c r="J125" s="1">
        <v>0</v>
      </c>
      <c r="K125" s="1">
        <v>92.601299999999995</v>
      </c>
      <c r="L125" s="1">
        <v>0.62649999999999995</v>
      </c>
      <c r="N125" s="37" t="s">
        <v>276</v>
      </c>
    </row>
    <row r="126" spans="1:14" x14ac:dyDescent="0.25">
      <c r="A126" s="37">
        <v>6</v>
      </c>
      <c r="B126" s="1">
        <v>0.81115599999999999</v>
      </c>
      <c r="C126" s="1">
        <v>2.171E-2</v>
      </c>
      <c r="D126" s="1">
        <v>9.2709999999999997E-3</v>
      </c>
      <c r="E126" s="1">
        <v>3.0981999999999999E-2</v>
      </c>
      <c r="F126" s="1">
        <v>0</v>
      </c>
      <c r="G126" s="1">
        <v>-0.19206599999999999</v>
      </c>
      <c r="H126" s="1">
        <v>0</v>
      </c>
      <c r="I126" s="1">
        <v>0</v>
      </c>
      <c r="J126" s="1">
        <v>0</v>
      </c>
      <c r="K126" s="1">
        <v>92.601299999999995</v>
      </c>
      <c r="L126" s="1">
        <v>0.62909999999999999</v>
      </c>
      <c r="N126" s="37" t="s">
        <v>277</v>
      </c>
    </row>
    <row r="127" spans="1:14" x14ac:dyDescent="0.25">
      <c r="A127" s="37">
        <v>6.5</v>
      </c>
      <c r="B127" s="1">
        <v>0.85952600000000001</v>
      </c>
      <c r="C127" s="1">
        <v>2.453E-2</v>
      </c>
      <c r="D127" s="1">
        <v>9.8180000000000003E-3</v>
      </c>
      <c r="E127" s="1">
        <v>3.4347999999999997E-2</v>
      </c>
      <c r="F127" s="1">
        <v>0</v>
      </c>
      <c r="G127" s="1">
        <v>-0.20239299999999999</v>
      </c>
      <c r="H127" s="1">
        <v>0</v>
      </c>
      <c r="I127" s="1">
        <v>0</v>
      </c>
      <c r="J127" s="1">
        <v>0</v>
      </c>
      <c r="K127" s="1">
        <v>92.601299999999995</v>
      </c>
      <c r="L127" s="1">
        <v>0.63090000000000002</v>
      </c>
      <c r="N127" s="37" t="s">
        <v>278</v>
      </c>
    </row>
    <row r="128" spans="1:14" x14ac:dyDescent="0.25">
      <c r="A128" s="37">
        <v>7</v>
      </c>
      <c r="B128" s="1">
        <v>0.90793699999999999</v>
      </c>
      <c r="C128" s="1">
        <v>2.7847E-2</v>
      </c>
      <c r="D128" s="1">
        <v>1.0409E-2</v>
      </c>
      <c r="E128" s="1">
        <v>3.8255999999999998E-2</v>
      </c>
      <c r="F128" s="1">
        <v>0</v>
      </c>
      <c r="G128" s="1">
        <v>-0.21202299999999999</v>
      </c>
      <c r="H128" s="1">
        <v>0</v>
      </c>
      <c r="I128" s="1">
        <v>0</v>
      </c>
      <c r="J128" s="1">
        <v>0</v>
      </c>
      <c r="K128" s="1">
        <v>92.601299999999995</v>
      </c>
      <c r="L128" s="1">
        <v>0.63200000000000001</v>
      </c>
      <c r="N128" s="37" t="s">
        <v>175</v>
      </c>
    </row>
    <row r="129" spans="1:14" x14ac:dyDescent="0.25">
      <c r="A129" s="37">
        <v>7.5</v>
      </c>
      <c r="B129" s="1">
        <v>0.95394000000000001</v>
      </c>
      <c r="C129" s="1">
        <v>2.9484E-2</v>
      </c>
      <c r="D129" s="1">
        <v>1.1009E-2</v>
      </c>
      <c r="E129" s="1">
        <v>4.0493000000000001E-2</v>
      </c>
      <c r="F129" s="1">
        <v>0</v>
      </c>
      <c r="G129" s="1">
        <v>-0.221636</v>
      </c>
      <c r="H129" s="1">
        <v>0</v>
      </c>
      <c r="I129" s="1">
        <v>0</v>
      </c>
      <c r="J129" s="1">
        <v>0</v>
      </c>
      <c r="K129" s="1">
        <v>92.601299999999995</v>
      </c>
      <c r="L129" s="1">
        <v>0.6351</v>
      </c>
      <c r="N129" s="37" t="s">
        <v>279</v>
      </c>
    </row>
    <row r="130" spans="1:14" x14ac:dyDescent="0.25">
      <c r="A130" s="37">
        <v>8</v>
      </c>
      <c r="B130" s="1">
        <v>1.0034380000000001</v>
      </c>
      <c r="C130" s="1">
        <v>3.0823E-2</v>
      </c>
      <c r="D130" s="1">
        <v>1.1648E-2</v>
      </c>
      <c r="E130" s="1">
        <v>4.2471000000000002E-2</v>
      </c>
      <c r="F130" s="1">
        <v>0</v>
      </c>
      <c r="G130" s="1">
        <v>-0.234263</v>
      </c>
      <c r="H130" s="1">
        <v>0</v>
      </c>
      <c r="I130" s="1">
        <v>0</v>
      </c>
      <c r="J130" s="1">
        <v>0</v>
      </c>
      <c r="K130" s="1">
        <v>92.601299999999995</v>
      </c>
      <c r="L130" s="1">
        <v>0.64029999999999998</v>
      </c>
      <c r="N130" s="37" t="s">
        <v>280</v>
      </c>
    </row>
    <row r="131" spans="1:14" x14ac:dyDescent="0.25">
      <c r="A131" s="37">
        <v>8.5</v>
      </c>
      <c r="B131" s="1">
        <v>1.051674</v>
      </c>
      <c r="C131" s="1">
        <v>3.7828000000000001E-2</v>
      </c>
      <c r="D131" s="1">
        <v>1.2267E-2</v>
      </c>
      <c r="E131" s="1">
        <v>5.0095000000000001E-2</v>
      </c>
      <c r="F131" s="1">
        <v>0</v>
      </c>
      <c r="G131" s="1">
        <v>-0.23985699999999999</v>
      </c>
      <c r="H131" s="1">
        <v>0</v>
      </c>
      <c r="I131" s="1">
        <v>0</v>
      </c>
      <c r="J131" s="1">
        <v>0</v>
      </c>
      <c r="K131" s="1">
        <v>92.601299999999995</v>
      </c>
      <c r="L131" s="1">
        <v>0.63739999999999997</v>
      </c>
      <c r="N131" s="37" t="s">
        <v>281</v>
      </c>
    </row>
    <row r="132" spans="1:14" x14ac:dyDescent="0.25">
      <c r="A132" s="37">
        <v>9</v>
      </c>
      <c r="B132" s="1">
        <v>1.0985069999999999</v>
      </c>
      <c r="C132" s="1">
        <v>4.2576000000000003E-2</v>
      </c>
      <c r="D132" s="1">
        <v>1.2871E-2</v>
      </c>
      <c r="E132" s="1">
        <v>5.5446000000000002E-2</v>
      </c>
      <c r="F132" s="1">
        <v>0</v>
      </c>
      <c r="G132" s="1">
        <v>-0.24587400000000001</v>
      </c>
      <c r="H132" s="1">
        <v>0</v>
      </c>
      <c r="I132" s="1">
        <v>0</v>
      </c>
      <c r="J132" s="1">
        <v>0</v>
      </c>
      <c r="K132" s="1">
        <v>92.601299999999995</v>
      </c>
      <c r="L132" s="1">
        <v>0.63660000000000005</v>
      </c>
      <c r="N132" s="37" t="s">
        <v>176</v>
      </c>
    </row>
    <row r="133" spans="1:14" x14ac:dyDescent="0.25">
      <c r="A133" s="37">
        <v>9.5</v>
      </c>
      <c r="B133" s="1">
        <v>1.1480170000000001</v>
      </c>
      <c r="C133" s="1">
        <v>4.3055000000000003E-2</v>
      </c>
      <c r="D133" s="1">
        <v>1.3527000000000001E-2</v>
      </c>
      <c r="E133" s="1">
        <v>5.6582E-2</v>
      </c>
      <c r="F133" s="1">
        <v>0</v>
      </c>
      <c r="G133" s="1">
        <v>-0.256295</v>
      </c>
      <c r="H133" s="1">
        <v>0</v>
      </c>
      <c r="I133" s="1">
        <v>0</v>
      </c>
      <c r="J133" s="1">
        <v>0</v>
      </c>
      <c r="K133" s="1">
        <v>92.601299999999995</v>
      </c>
      <c r="L133" s="1">
        <v>0.64</v>
      </c>
      <c r="N133" s="37" t="s">
        <v>282</v>
      </c>
    </row>
    <row r="134" spans="1:14" x14ac:dyDescent="0.25">
      <c r="A134" s="37">
        <v>10</v>
      </c>
      <c r="B134" s="1">
        <v>1.1933720000000001</v>
      </c>
      <c r="C134" s="1">
        <v>4.1745999999999998E-2</v>
      </c>
      <c r="D134" s="1">
        <v>1.4200000000000001E-2</v>
      </c>
      <c r="E134" s="1">
        <v>5.5946000000000003E-2</v>
      </c>
      <c r="F134" s="1">
        <v>0</v>
      </c>
      <c r="G134" s="1">
        <v>-0.25410100000000002</v>
      </c>
      <c r="H134" s="1">
        <v>0</v>
      </c>
      <c r="I134" s="1">
        <v>0</v>
      </c>
      <c r="J134" s="1">
        <v>0</v>
      </c>
      <c r="K134" s="1">
        <v>92.601299999999995</v>
      </c>
      <c r="L134" s="1">
        <v>0.63170000000000004</v>
      </c>
      <c r="N134" s="37" t="s">
        <v>283</v>
      </c>
    </row>
    <row r="135" spans="1:14" x14ac:dyDescent="0.25">
      <c r="A135" s="37">
        <v>10.5</v>
      </c>
      <c r="B135" s="1">
        <v>1.2399770000000001</v>
      </c>
      <c r="C135" s="1">
        <v>5.0397999999999998E-2</v>
      </c>
      <c r="D135" s="1">
        <v>1.4922E-2</v>
      </c>
      <c r="E135" s="1">
        <v>6.5320000000000003E-2</v>
      </c>
      <c r="F135" s="1">
        <v>0</v>
      </c>
      <c r="G135" s="1">
        <v>-0.252467</v>
      </c>
      <c r="H135" s="1">
        <v>0</v>
      </c>
      <c r="I135" s="1">
        <v>0</v>
      </c>
      <c r="J135" s="1">
        <v>0</v>
      </c>
      <c r="K135" s="1">
        <v>92.601299999999995</v>
      </c>
      <c r="L135" s="1">
        <v>0.62439999999999996</v>
      </c>
      <c r="N135" s="37" t="s">
        <v>284</v>
      </c>
    </row>
    <row r="136" spans="1:14" x14ac:dyDescent="0.25">
      <c r="A136" s="37">
        <v>11</v>
      </c>
      <c r="B136" s="1">
        <v>1.289714</v>
      </c>
      <c r="C136" s="1">
        <v>5.5367E-2</v>
      </c>
      <c r="D136" s="1">
        <v>1.5702000000000001E-2</v>
      </c>
      <c r="E136" s="1">
        <v>7.1068999999999993E-2</v>
      </c>
      <c r="F136" s="1">
        <v>0</v>
      </c>
      <c r="G136" s="1">
        <v>-0.26444600000000001</v>
      </c>
      <c r="H136" s="1">
        <v>0</v>
      </c>
      <c r="I136" s="1">
        <v>0</v>
      </c>
      <c r="J136" s="1">
        <v>0</v>
      </c>
      <c r="K136" s="1">
        <v>92.601299999999995</v>
      </c>
      <c r="L136" s="1">
        <v>0.63090000000000002</v>
      </c>
      <c r="N136" s="37" t="s">
        <v>177</v>
      </c>
    </row>
    <row r="137" spans="1:14" x14ac:dyDescent="0.25">
      <c r="A137" s="37">
        <v>11.5</v>
      </c>
      <c r="B137" s="1">
        <v>1.340433</v>
      </c>
      <c r="C137" s="1">
        <v>5.9823000000000001E-2</v>
      </c>
      <c r="D137" s="1">
        <v>1.6548E-2</v>
      </c>
      <c r="E137" s="1">
        <v>7.6370999999999994E-2</v>
      </c>
      <c r="F137" s="1">
        <v>0</v>
      </c>
      <c r="G137" s="1">
        <v>-0.27763399999999999</v>
      </c>
      <c r="H137" s="1">
        <v>0</v>
      </c>
      <c r="I137" s="1">
        <v>0</v>
      </c>
      <c r="J137" s="1">
        <v>0</v>
      </c>
      <c r="K137" s="1">
        <v>92.601299999999995</v>
      </c>
      <c r="L137" s="1">
        <v>0.63839999999999997</v>
      </c>
      <c r="N137" s="37" t="s">
        <v>285</v>
      </c>
    </row>
    <row r="138" spans="1:14" x14ac:dyDescent="0.25">
      <c r="A138" s="37">
        <v>12</v>
      </c>
      <c r="B138" s="1">
        <v>1.390576</v>
      </c>
      <c r="C138" s="1">
        <v>6.4417000000000002E-2</v>
      </c>
      <c r="D138" s="1">
        <v>1.7468000000000001E-2</v>
      </c>
      <c r="E138" s="1">
        <v>8.1884999999999999E-2</v>
      </c>
      <c r="F138" s="1">
        <v>0</v>
      </c>
      <c r="G138" s="1">
        <v>-0.28764899999999999</v>
      </c>
      <c r="H138" s="1">
        <v>0</v>
      </c>
      <c r="I138" s="1">
        <v>0</v>
      </c>
      <c r="J138" s="1">
        <v>0</v>
      </c>
      <c r="K138" s="1">
        <v>92.601299999999995</v>
      </c>
      <c r="L138" s="1">
        <v>0.64300000000000002</v>
      </c>
      <c r="N138" s="37" t="s">
        <v>178</v>
      </c>
    </row>
    <row r="139" spans="1:14" x14ac:dyDescent="0.25">
      <c r="A139" s="37">
        <v>12.5</v>
      </c>
      <c r="B139" s="1">
        <v>1.440453</v>
      </c>
      <c r="C139" s="1">
        <v>6.9168999999999994E-2</v>
      </c>
      <c r="D139" s="1">
        <v>1.8464000000000001E-2</v>
      </c>
      <c r="E139" s="1">
        <v>8.7633000000000003E-2</v>
      </c>
      <c r="F139" s="1">
        <v>0</v>
      </c>
      <c r="G139" s="1">
        <v>-0.29570099999999999</v>
      </c>
      <c r="H139" s="1">
        <v>0</v>
      </c>
      <c r="I139" s="1">
        <v>0</v>
      </c>
      <c r="J139" s="1">
        <v>0</v>
      </c>
      <c r="K139" s="1">
        <v>92.601299999999995</v>
      </c>
      <c r="L139" s="1">
        <v>0.6462</v>
      </c>
      <c r="N139" s="37" t="s">
        <v>286</v>
      </c>
    </row>
    <row r="140" spans="1:14" x14ac:dyDescent="0.25">
      <c r="A140" s="37">
        <v>13</v>
      </c>
      <c r="B140" s="1">
        <v>1.4901120000000001</v>
      </c>
      <c r="C140" s="1">
        <v>7.4062000000000003E-2</v>
      </c>
      <c r="D140" s="1">
        <v>1.9505000000000002E-2</v>
      </c>
      <c r="E140" s="1">
        <v>9.3566999999999997E-2</v>
      </c>
      <c r="F140" s="1">
        <v>0</v>
      </c>
      <c r="G140" s="1">
        <v>-0.30215199999999998</v>
      </c>
      <c r="H140" s="1">
        <v>0</v>
      </c>
      <c r="I140" s="1">
        <v>0</v>
      </c>
      <c r="J140" s="1">
        <v>0</v>
      </c>
      <c r="K140" s="1">
        <v>92.601299999999995</v>
      </c>
      <c r="L140" s="1">
        <v>0.64829999999999999</v>
      </c>
      <c r="N140" s="37" t="s">
        <v>179</v>
      </c>
    </row>
    <row r="141" spans="1:14" x14ac:dyDescent="0.25">
      <c r="A141" s="37">
        <v>13.5</v>
      </c>
      <c r="B141" s="1">
        <v>1.5395799999999999</v>
      </c>
      <c r="C141" s="1">
        <v>7.9091999999999996E-2</v>
      </c>
      <c r="D141" s="1">
        <v>2.0573999999999999E-2</v>
      </c>
      <c r="E141" s="1">
        <v>9.9666000000000005E-2</v>
      </c>
      <c r="F141" s="1">
        <v>0</v>
      </c>
      <c r="G141" s="1">
        <v>-0.30718800000000002</v>
      </c>
      <c r="H141" s="1">
        <v>0</v>
      </c>
      <c r="I141" s="1">
        <v>0</v>
      </c>
      <c r="J141" s="1">
        <v>0</v>
      </c>
      <c r="K141" s="1">
        <v>92.601299999999995</v>
      </c>
      <c r="L141" s="1">
        <v>0.64959999999999996</v>
      </c>
      <c r="N141" s="37" t="s">
        <v>287</v>
      </c>
    </row>
    <row r="142" spans="1:14" x14ac:dyDescent="0.25">
      <c r="A142" s="37">
        <v>14</v>
      </c>
      <c r="B142" s="1">
        <v>1.5887659999999999</v>
      </c>
      <c r="C142" s="1">
        <v>8.4240999999999996E-2</v>
      </c>
      <c r="D142" s="1">
        <v>2.1699E-2</v>
      </c>
      <c r="E142" s="1">
        <v>0.10594099999999999</v>
      </c>
      <c r="F142" s="1">
        <v>0</v>
      </c>
      <c r="G142" s="1">
        <v>-0.31070300000000001</v>
      </c>
      <c r="H142" s="1">
        <v>0</v>
      </c>
      <c r="I142" s="1">
        <v>0</v>
      </c>
      <c r="J142" s="1">
        <v>0</v>
      </c>
      <c r="K142" s="1">
        <v>92.601299999999995</v>
      </c>
      <c r="L142" s="1">
        <v>0.6502</v>
      </c>
    </row>
    <row r="143" spans="1:14" x14ac:dyDescent="0.25">
      <c r="A143" s="37">
        <v>14.5</v>
      </c>
      <c r="B143" s="1">
        <v>1.6377390000000001</v>
      </c>
      <c r="C143" s="1">
        <v>8.9516999999999999E-2</v>
      </c>
      <c r="D143" s="1">
        <v>2.2981000000000001E-2</v>
      </c>
      <c r="E143" s="1">
        <v>0.112498</v>
      </c>
      <c r="F143" s="1">
        <v>0</v>
      </c>
      <c r="G143" s="1">
        <v>-0.31292799999999998</v>
      </c>
      <c r="H143" s="1">
        <v>0</v>
      </c>
      <c r="I143" s="1">
        <v>0</v>
      </c>
      <c r="J143" s="1">
        <v>0</v>
      </c>
      <c r="K143" s="1">
        <v>92.601299999999995</v>
      </c>
      <c r="L143" s="1">
        <v>0.6502</v>
      </c>
    </row>
    <row r="144" spans="1:14" x14ac:dyDescent="0.25">
      <c r="A144" s="37"/>
    </row>
    <row r="146" spans="1:14" x14ac:dyDescent="0.25">
      <c r="A146" s="13" t="s">
        <v>288</v>
      </c>
    </row>
    <row r="147" spans="1:14" x14ac:dyDescent="0.25">
      <c r="A147" s="44" t="s">
        <v>119</v>
      </c>
      <c r="B147">
        <f>MATCH($B$7,B152:B188,1)+ROW()+4</f>
        <v>164</v>
      </c>
      <c r="F147" s="21" t="s">
        <v>736</v>
      </c>
      <c r="G147">
        <f>MATCH(0,G152:G188,-1)+ROW()+4</f>
        <v>156</v>
      </c>
    </row>
    <row r="148" spans="1:14" x14ac:dyDescent="0.25">
      <c r="A148" s="45" t="s">
        <v>186</v>
      </c>
      <c r="B148">
        <f ca="1">INDIRECT(CONCATENATE("C",B147+1)) - (INDIRECT(CONCATENATE("B",B147+1))-$B$7) / (INDIRECT(CONCATENATE("B",B147+1))-INDIRECT(CONCATENATE("B",B147))) * (INDIRECT(CONCATENATE("C",B147+1)) - INDIRECT(CONCATENATE("C",B147)) )</f>
        <v>8.9097652587950583E-3</v>
      </c>
      <c r="F148" s="21" t="s">
        <v>737</v>
      </c>
      <c r="G148" s="1">
        <f ca="1">INDIRECT(CONCATENATE("B",G147+1)) - (INDIRECT(CONCATENATE("B",G147+1))-INDIRECT(CONCATENATE("B",G147))) / (INDIRECT(CONCATENATE("G",G147+1))-INDIRECT(CONCATENATE("G",G147))) * (INDIRECT(CONCATENATE("G",G147+1)) - 0)</f>
        <v>0.1643017857709301</v>
      </c>
      <c r="N148" s="37" t="s">
        <v>146</v>
      </c>
    </row>
    <row r="149" spans="1:14" x14ac:dyDescent="0.25">
      <c r="A149" s="13" t="s">
        <v>2</v>
      </c>
      <c r="B149" s="13">
        <f ca="1">$B$7^2/(PI()*$B$2*B148)</f>
        <v>0.94772489741948052</v>
      </c>
      <c r="N149" s="37" t="s">
        <v>147</v>
      </c>
    </row>
    <row r="150" spans="1:14" x14ac:dyDescent="0.25">
      <c r="N150" s="37" t="s">
        <v>289</v>
      </c>
    </row>
    <row r="151" spans="1:14" x14ac:dyDescent="0.25">
      <c r="A151" s="1" t="s">
        <v>128</v>
      </c>
      <c r="B151" s="1" t="s">
        <v>118</v>
      </c>
      <c r="C151" s="1" t="s">
        <v>149</v>
      </c>
      <c r="D151" s="1" t="s">
        <v>150</v>
      </c>
      <c r="E151" s="1" t="s">
        <v>151</v>
      </c>
      <c r="F151" s="1" t="s">
        <v>152</v>
      </c>
      <c r="G151" s="1" t="s">
        <v>153</v>
      </c>
      <c r="H151" s="1" t="s">
        <v>154</v>
      </c>
      <c r="I151" s="1" t="s">
        <v>155</v>
      </c>
      <c r="J151" s="1" t="s">
        <v>156</v>
      </c>
      <c r="K151" s="1" t="s">
        <v>157</v>
      </c>
      <c r="L151" s="1" t="s">
        <v>158</v>
      </c>
      <c r="N151" s="37" t="s">
        <v>290</v>
      </c>
    </row>
    <row r="152" spans="1:14" x14ac:dyDescent="0.25">
      <c r="A152" s="37">
        <v>-3</v>
      </c>
      <c r="B152" s="1">
        <v>-6.9733000000000003E-2</v>
      </c>
      <c r="C152" s="1">
        <v>5.6599999999999999E-4</v>
      </c>
      <c r="D152" s="1">
        <v>7.4830000000000001E-3</v>
      </c>
      <c r="E152" s="1">
        <v>8.0479999999999996E-3</v>
      </c>
      <c r="F152" s="1">
        <v>0</v>
      </c>
      <c r="G152" s="1">
        <v>8.8209999999999997E-2</v>
      </c>
      <c r="H152" s="1">
        <v>0</v>
      </c>
      <c r="I152" s="1">
        <v>0</v>
      </c>
      <c r="J152" s="1">
        <v>0</v>
      </c>
      <c r="K152" s="1">
        <v>92.601299999999995</v>
      </c>
      <c r="L152" s="1">
        <v>1.8640000000000001</v>
      </c>
      <c r="N152" s="37" t="s">
        <v>291</v>
      </c>
    </row>
    <row r="153" spans="1:14" x14ac:dyDescent="0.25">
      <c r="A153" s="37">
        <v>-2.5</v>
      </c>
      <c r="B153" s="1">
        <v>-2.1024000000000001E-2</v>
      </c>
      <c r="C153" s="1">
        <v>3.5599999999999998E-4</v>
      </c>
      <c r="D153" s="1">
        <v>7.2690000000000003E-3</v>
      </c>
      <c r="E153" s="1">
        <v>7.6249999999999998E-3</v>
      </c>
      <c r="F153" s="1">
        <v>0</v>
      </c>
      <c r="G153" s="1">
        <v>6.9272E-2</v>
      </c>
      <c r="H153" s="1">
        <v>0</v>
      </c>
      <c r="I153" s="1">
        <v>0</v>
      </c>
      <c r="J153" s="1">
        <v>0</v>
      </c>
      <c r="K153" s="1">
        <v>92.601299999999995</v>
      </c>
      <c r="L153" s="1">
        <v>4.3769</v>
      </c>
      <c r="N153" s="37" t="s">
        <v>292</v>
      </c>
    </row>
    <row r="154" spans="1:14" x14ac:dyDescent="0.25">
      <c r="A154" s="37">
        <v>-2</v>
      </c>
      <c r="B154" s="1">
        <v>2.7678999999999999E-2</v>
      </c>
      <c r="C154" s="1">
        <v>3.0699999999999998E-4</v>
      </c>
      <c r="D154" s="1">
        <v>7.0590000000000002E-3</v>
      </c>
      <c r="E154" s="1">
        <v>7.3660000000000002E-3</v>
      </c>
      <c r="F154" s="1">
        <v>0</v>
      </c>
      <c r="G154" s="1">
        <v>5.0609000000000001E-2</v>
      </c>
      <c r="H154" s="1">
        <v>0</v>
      </c>
      <c r="I154" s="1">
        <v>0</v>
      </c>
      <c r="J154" s="1">
        <v>0</v>
      </c>
      <c r="K154" s="1">
        <v>92.601299999999995</v>
      </c>
      <c r="L154" s="1">
        <v>-1.962</v>
      </c>
      <c r="N154" s="37" t="s">
        <v>293</v>
      </c>
    </row>
    <row r="155" spans="1:14" x14ac:dyDescent="0.25">
      <c r="A155" s="37">
        <v>-1.5</v>
      </c>
      <c r="B155" s="1">
        <v>7.6374999999999998E-2</v>
      </c>
      <c r="C155" s="1">
        <v>4.17E-4</v>
      </c>
      <c r="D155" s="1">
        <v>6.8300000000000001E-3</v>
      </c>
      <c r="E155" s="1">
        <v>7.247E-3</v>
      </c>
      <c r="F155" s="1">
        <v>0</v>
      </c>
      <c r="G155" s="1">
        <v>3.2253999999999998E-2</v>
      </c>
      <c r="H155" s="1">
        <v>0</v>
      </c>
      <c r="I155" s="1">
        <v>0</v>
      </c>
      <c r="J155" s="1">
        <v>0</v>
      </c>
      <c r="K155" s="1">
        <v>92.601299999999995</v>
      </c>
      <c r="L155" s="1">
        <v>-0.22070000000000001</v>
      </c>
      <c r="N155" s="37" t="s">
        <v>294</v>
      </c>
    </row>
    <row r="156" spans="1:14" x14ac:dyDescent="0.25">
      <c r="A156" s="37">
        <v>-1</v>
      </c>
      <c r="B156" s="1">
        <v>0.12506100000000001</v>
      </c>
      <c r="C156" s="1">
        <v>6.8800000000000003E-4</v>
      </c>
      <c r="D156" s="1">
        <v>6.5719999999999997E-3</v>
      </c>
      <c r="E156" s="1">
        <v>7.26E-3</v>
      </c>
      <c r="F156" s="1">
        <v>0</v>
      </c>
      <c r="G156" s="1">
        <v>1.4232E-2</v>
      </c>
      <c r="H156" s="1">
        <v>0</v>
      </c>
      <c r="I156" s="1">
        <v>0</v>
      </c>
      <c r="J156" s="1">
        <v>0</v>
      </c>
      <c r="K156" s="1">
        <v>92.601299999999995</v>
      </c>
      <c r="L156" s="1">
        <v>0.16250000000000001</v>
      </c>
      <c r="N156" s="37" t="s">
        <v>295</v>
      </c>
    </row>
    <row r="157" spans="1:14" x14ac:dyDescent="0.25">
      <c r="A157" s="37">
        <v>-0.5</v>
      </c>
      <c r="B157" s="1">
        <v>0.173737</v>
      </c>
      <c r="C157" s="1">
        <v>1.119E-3</v>
      </c>
      <c r="D157" s="1">
        <v>6.2810000000000001E-3</v>
      </c>
      <c r="E157" s="1">
        <v>7.4000000000000003E-3</v>
      </c>
      <c r="F157" s="1">
        <v>0</v>
      </c>
      <c r="G157" s="1">
        <v>-3.4220000000000001E-3</v>
      </c>
      <c r="H157" s="1">
        <v>0</v>
      </c>
      <c r="I157" s="1">
        <v>0</v>
      </c>
      <c r="J157" s="1">
        <v>0</v>
      </c>
      <c r="K157" s="1">
        <v>92.601299999999995</v>
      </c>
      <c r="L157" s="1">
        <v>0.32929999999999998</v>
      </c>
      <c r="N157" s="37" t="s">
        <v>296</v>
      </c>
    </row>
    <row r="158" spans="1:14" x14ac:dyDescent="0.25">
      <c r="A158" s="37">
        <v>0</v>
      </c>
      <c r="B158" s="1">
        <v>0.22239900000000001</v>
      </c>
      <c r="C158" s="1">
        <v>1.7099999999999999E-3</v>
      </c>
      <c r="D158" s="1">
        <v>5.8279999999999998E-3</v>
      </c>
      <c r="E158" s="1">
        <v>7.5380000000000004E-3</v>
      </c>
      <c r="F158" s="1">
        <v>0</v>
      </c>
      <c r="G158" s="1">
        <v>-2.0659E-2</v>
      </c>
      <c r="H158" s="1">
        <v>0</v>
      </c>
      <c r="I158" s="1">
        <v>0</v>
      </c>
      <c r="J158" s="1">
        <v>0</v>
      </c>
      <c r="K158" s="1">
        <v>92.601299999999995</v>
      </c>
      <c r="L158" s="1">
        <v>0.42180000000000001</v>
      </c>
      <c r="N158" s="37" t="s">
        <v>297</v>
      </c>
    </row>
    <row r="159" spans="1:14" x14ac:dyDescent="0.25">
      <c r="A159" s="37">
        <v>0.5</v>
      </c>
      <c r="B159" s="1">
        <v>0.27104600000000001</v>
      </c>
      <c r="C159" s="1">
        <v>2.4620000000000002E-3</v>
      </c>
      <c r="D159" s="1">
        <v>5.1419999999999999E-3</v>
      </c>
      <c r="E159" s="1">
        <v>7.6049999999999998E-3</v>
      </c>
      <c r="F159" s="1">
        <v>0</v>
      </c>
      <c r="G159" s="1">
        <v>-3.7426000000000001E-2</v>
      </c>
      <c r="H159" s="1">
        <v>0</v>
      </c>
      <c r="I159" s="1">
        <v>0</v>
      </c>
      <c r="J159" s="1">
        <v>0</v>
      </c>
      <c r="K159" s="1">
        <v>92.601299999999995</v>
      </c>
      <c r="L159" s="1">
        <v>0.48010000000000003</v>
      </c>
      <c r="N159" s="37" t="s">
        <v>298</v>
      </c>
    </row>
    <row r="160" spans="1:14" x14ac:dyDescent="0.25">
      <c r="A160" s="37">
        <v>1</v>
      </c>
      <c r="B160" s="1">
        <v>0.31967699999999999</v>
      </c>
      <c r="C160" s="1">
        <v>3.3760000000000001E-3</v>
      </c>
      <c r="D160" s="1">
        <v>4.4929999999999996E-3</v>
      </c>
      <c r="E160" s="1">
        <v>7.8689999999999993E-3</v>
      </c>
      <c r="F160" s="1">
        <v>0</v>
      </c>
      <c r="G160" s="1">
        <v>-5.3790999999999999E-2</v>
      </c>
      <c r="H160" s="1">
        <v>0</v>
      </c>
      <c r="I160" s="1">
        <v>0</v>
      </c>
      <c r="J160" s="1">
        <v>0</v>
      </c>
      <c r="K160" s="1">
        <v>92.601299999999995</v>
      </c>
      <c r="L160" s="1">
        <v>0.51959999999999995</v>
      </c>
      <c r="N160" s="37" t="s">
        <v>299</v>
      </c>
    </row>
    <row r="161" spans="1:14" x14ac:dyDescent="0.25">
      <c r="A161" s="37">
        <v>1.5</v>
      </c>
      <c r="B161" s="1">
        <v>0.36829000000000001</v>
      </c>
      <c r="C161" s="1">
        <v>4.45E-3</v>
      </c>
      <c r="D161" s="1">
        <v>4.2490000000000002E-3</v>
      </c>
      <c r="E161" s="1">
        <v>8.6990000000000001E-3</v>
      </c>
      <c r="F161" s="1">
        <v>0</v>
      </c>
      <c r="G161" s="1">
        <v>-6.9818000000000005E-2</v>
      </c>
      <c r="H161" s="1">
        <v>0</v>
      </c>
      <c r="I161" s="1">
        <v>0</v>
      </c>
      <c r="J161" s="1">
        <v>0</v>
      </c>
      <c r="K161" s="1">
        <v>92.601299999999995</v>
      </c>
      <c r="L161" s="1">
        <v>0.54790000000000005</v>
      </c>
      <c r="N161" s="37" t="s">
        <v>300</v>
      </c>
    </row>
    <row r="162" spans="1:14" x14ac:dyDescent="0.25">
      <c r="A162" s="37">
        <v>2</v>
      </c>
      <c r="B162" s="1">
        <v>0.416883</v>
      </c>
      <c r="C162" s="1">
        <v>5.6839999999999998E-3</v>
      </c>
      <c r="D162" s="1">
        <v>4.1859999999999996E-3</v>
      </c>
      <c r="E162" s="1">
        <v>9.8700000000000003E-3</v>
      </c>
      <c r="F162" s="1">
        <v>0</v>
      </c>
      <c r="G162" s="1">
        <v>-8.5394999999999999E-2</v>
      </c>
      <c r="H162" s="1">
        <v>0</v>
      </c>
      <c r="I162" s="1">
        <v>0</v>
      </c>
      <c r="J162" s="1">
        <v>0</v>
      </c>
      <c r="K162" s="1">
        <v>92.601299999999995</v>
      </c>
      <c r="L162" s="1">
        <v>0.56889999999999996</v>
      </c>
      <c r="N162" s="37" t="s">
        <v>301</v>
      </c>
    </row>
    <row r="163" spans="1:14" x14ac:dyDescent="0.25">
      <c r="A163" s="37">
        <v>2.5</v>
      </c>
      <c r="B163" s="1">
        <v>0.46545399999999998</v>
      </c>
      <c r="C163" s="1">
        <v>7.0800000000000004E-3</v>
      </c>
      <c r="D163" s="1">
        <v>4.359E-3</v>
      </c>
      <c r="E163" s="1">
        <v>1.1440000000000001E-2</v>
      </c>
      <c r="F163" s="1">
        <v>0</v>
      </c>
      <c r="G163" s="1">
        <v>-0.10052700000000001</v>
      </c>
      <c r="H163" s="1">
        <v>0</v>
      </c>
      <c r="I163" s="1">
        <v>0</v>
      </c>
      <c r="J163" s="1">
        <v>0</v>
      </c>
      <c r="K163" s="1">
        <v>92.601299999999995</v>
      </c>
      <c r="L163" s="1">
        <v>0.5847</v>
      </c>
      <c r="N163" s="37" t="s">
        <v>302</v>
      </c>
    </row>
    <row r="164" spans="1:14" x14ac:dyDescent="0.25">
      <c r="A164" s="37">
        <v>3</v>
      </c>
      <c r="B164" s="1">
        <v>0.51400299999999999</v>
      </c>
      <c r="C164" s="1">
        <v>8.6370000000000006E-3</v>
      </c>
      <c r="D164" s="1">
        <v>4.862E-3</v>
      </c>
      <c r="E164" s="1">
        <v>1.3499000000000001E-2</v>
      </c>
      <c r="F164" s="1">
        <v>0</v>
      </c>
      <c r="G164" s="1">
        <v>-0.115219</v>
      </c>
      <c r="H164" s="1">
        <v>0</v>
      </c>
      <c r="I164" s="1">
        <v>0</v>
      </c>
      <c r="J164" s="1">
        <v>0</v>
      </c>
      <c r="K164" s="1">
        <v>92.601299999999995</v>
      </c>
      <c r="L164" s="1">
        <v>0.59699999999999998</v>
      </c>
      <c r="N164" s="37" t="s">
        <v>303</v>
      </c>
    </row>
    <row r="165" spans="1:14" x14ac:dyDescent="0.25">
      <c r="A165" s="37">
        <v>3.5</v>
      </c>
      <c r="B165" s="1">
        <v>0.56252599999999997</v>
      </c>
      <c r="C165" s="1">
        <v>1.0356000000000001E-2</v>
      </c>
      <c r="D165" s="1">
        <v>5.705E-3</v>
      </c>
      <c r="E165" s="1">
        <v>1.6060000000000001E-2</v>
      </c>
      <c r="F165" s="1">
        <v>0</v>
      </c>
      <c r="G165" s="1">
        <v>-0.129441</v>
      </c>
      <c r="H165" s="1">
        <v>0</v>
      </c>
      <c r="I165" s="1">
        <v>0</v>
      </c>
      <c r="J165" s="1">
        <v>0</v>
      </c>
      <c r="K165" s="1">
        <v>92.601299999999995</v>
      </c>
      <c r="L165" s="1">
        <v>0.60650000000000004</v>
      </c>
      <c r="N165" s="37" t="s">
        <v>304</v>
      </c>
    </row>
    <row r="166" spans="1:14" x14ac:dyDescent="0.25">
      <c r="A166" s="37">
        <v>4</v>
      </c>
      <c r="B166" s="1">
        <v>0.61102299999999998</v>
      </c>
      <c r="C166" s="1">
        <v>1.2234999999999999E-2</v>
      </c>
      <c r="D166" s="1">
        <v>6.6160000000000004E-3</v>
      </c>
      <c r="E166" s="1">
        <v>1.8851E-2</v>
      </c>
      <c r="F166" s="1">
        <v>0</v>
      </c>
      <c r="G166" s="1">
        <v>-0.143091</v>
      </c>
      <c r="H166" s="1">
        <v>0</v>
      </c>
      <c r="I166" s="1">
        <v>0</v>
      </c>
      <c r="J166" s="1">
        <v>0</v>
      </c>
      <c r="K166" s="1">
        <v>92.601299999999995</v>
      </c>
      <c r="L166" s="1">
        <v>0.6139</v>
      </c>
      <c r="N166" s="37" t="s">
        <v>305</v>
      </c>
    </row>
    <row r="167" spans="1:14" x14ac:dyDescent="0.25">
      <c r="A167" s="37">
        <v>4.5</v>
      </c>
      <c r="B167" s="1">
        <v>0.65949199999999997</v>
      </c>
      <c r="C167" s="1">
        <v>1.4276E-2</v>
      </c>
      <c r="D167" s="1">
        <v>7.3680000000000004E-3</v>
      </c>
      <c r="E167" s="1">
        <v>2.1644E-2</v>
      </c>
      <c r="F167" s="1">
        <v>0</v>
      </c>
      <c r="G167" s="1">
        <v>-0.15610099999999999</v>
      </c>
      <c r="H167" s="1">
        <v>0</v>
      </c>
      <c r="I167" s="1">
        <v>0</v>
      </c>
      <c r="J167" s="1">
        <v>0</v>
      </c>
      <c r="K167" s="1">
        <v>92.601299999999995</v>
      </c>
      <c r="L167" s="1">
        <v>0.61970000000000003</v>
      </c>
      <c r="N167" s="37" t="s">
        <v>306</v>
      </c>
    </row>
    <row r="168" spans="1:14" x14ac:dyDescent="0.25">
      <c r="A168" s="37">
        <v>5</v>
      </c>
      <c r="B168" s="1">
        <v>0.70793099999999998</v>
      </c>
      <c r="C168" s="1">
        <v>1.6480999999999999E-2</v>
      </c>
      <c r="D168" s="1">
        <v>8.0470000000000003E-3</v>
      </c>
      <c r="E168" s="1">
        <v>2.4528000000000001E-2</v>
      </c>
      <c r="F168" s="1">
        <v>0</v>
      </c>
      <c r="G168" s="1">
        <v>-0.16847599999999999</v>
      </c>
      <c r="H168" s="1">
        <v>0</v>
      </c>
      <c r="I168" s="1">
        <v>0</v>
      </c>
      <c r="J168" s="1">
        <v>0</v>
      </c>
      <c r="K168" s="1">
        <v>92.601299999999995</v>
      </c>
      <c r="L168" s="1">
        <v>0.62429999999999997</v>
      </c>
      <c r="N168" s="37" t="s">
        <v>307</v>
      </c>
    </row>
    <row r="169" spans="1:14" x14ac:dyDescent="0.25">
      <c r="A169" s="37">
        <v>5.5</v>
      </c>
      <c r="B169" s="1">
        <v>0.75634000000000001</v>
      </c>
      <c r="C169" s="1">
        <v>1.8853999999999999E-2</v>
      </c>
      <c r="D169" s="1">
        <v>8.6490000000000004E-3</v>
      </c>
      <c r="E169" s="1">
        <v>2.7503E-2</v>
      </c>
      <c r="F169" s="1">
        <v>0</v>
      </c>
      <c r="G169" s="1">
        <v>-0.18019499999999999</v>
      </c>
      <c r="H169" s="1">
        <v>0</v>
      </c>
      <c r="I169" s="1">
        <v>0</v>
      </c>
      <c r="J169" s="1">
        <v>0</v>
      </c>
      <c r="K169" s="1">
        <v>92.601299999999995</v>
      </c>
      <c r="L169" s="1">
        <v>0.62770000000000004</v>
      </c>
      <c r="N169" s="37" t="s">
        <v>308</v>
      </c>
    </row>
    <row r="170" spans="1:14" x14ac:dyDescent="0.25">
      <c r="A170" s="37">
        <v>6</v>
      </c>
      <c r="B170" s="1">
        <v>0.80471899999999996</v>
      </c>
      <c r="C170" s="1">
        <v>2.1410999999999999E-2</v>
      </c>
      <c r="D170" s="1">
        <v>9.1870000000000007E-3</v>
      </c>
      <c r="E170" s="1">
        <v>3.0598E-2</v>
      </c>
      <c r="F170" s="1">
        <v>0</v>
      </c>
      <c r="G170" s="1">
        <v>-0.19123200000000001</v>
      </c>
      <c r="H170" s="1">
        <v>0</v>
      </c>
      <c r="I170" s="1">
        <v>0</v>
      </c>
      <c r="J170" s="1">
        <v>0</v>
      </c>
      <c r="K170" s="1">
        <v>92.601299999999995</v>
      </c>
      <c r="L170" s="1">
        <v>0.63029999999999997</v>
      </c>
      <c r="N170" s="37" t="s">
        <v>309</v>
      </c>
    </row>
    <row r="171" spans="1:14" x14ac:dyDescent="0.25">
      <c r="A171" s="37">
        <v>6.5</v>
      </c>
      <c r="B171" s="1">
        <v>0.85307999999999995</v>
      </c>
      <c r="C171" s="1">
        <v>2.4209999999999999E-2</v>
      </c>
      <c r="D171" s="1">
        <v>9.7370000000000009E-3</v>
      </c>
      <c r="E171" s="1">
        <v>3.3946999999999998E-2</v>
      </c>
      <c r="F171" s="1">
        <v>0</v>
      </c>
      <c r="G171" s="1">
        <v>-0.20157</v>
      </c>
      <c r="H171" s="1">
        <v>0</v>
      </c>
      <c r="I171" s="1">
        <v>0</v>
      </c>
      <c r="J171" s="1">
        <v>0</v>
      </c>
      <c r="K171" s="1">
        <v>92.601299999999995</v>
      </c>
      <c r="L171" s="1">
        <v>0.63200000000000001</v>
      </c>
      <c r="N171" s="37" t="s">
        <v>310</v>
      </c>
    </row>
    <row r="172" spans="1:14" x14ac:dyDescent="0.25">
      <c r="A172" s="37">
        <v>7</v>
      </c>
      <c r="B172" s="1">
        <v>0.90148300000000003</v>
      </c>
      <c r="C172" s="1">
        <v>2.7505999999999999E-2</v>
      </c>
      <c r="D172" s="1">
        <v>1.0326999999999999E-2</v>
      </c>
      <c r="E172" s="1">
        <v>3.7831999999999998E-2</v>
      </c>
      <c r="F172" s="1">
        <v>0</v>
      </c>
      <c r="G172" s="1">
        <v>-0.21121100000000001</v>
      </c>
      <c r="H172" s="1">
        <v>0</v>
      </c>
      <c r="I172" s="1">
        <v>0</v>
      </c>
      <c r="J172" s="1">
        <v>0</v>
      </c>
      <c r="K172" s="1">
        <v>92.601299999999995</v>
      </c>
      <c r="L172" s="1">
        <v>0.6331</v>
      </c>
      <c r="N172" s="37" t="s">
        <v>311</v>
      </c>
    </row>
    <row r="173" spans="1:14" x14ac:dyDescent="0.25">
      <c r="A173" s="37">
        <v>7.5</v>
      </c>
      <c r="B173" s="1">
        <v>0.947496</v>
      </c>
      <c r="C173" s="1">
        <v>2.9131000000000001E-2</v>
      </c>
      <c r="D173" s="1">
        <v>1.0928E-2</v>
      </c>
      <c r="E173" s="1">
        <v>4.0058999999999997E-2</v>
      </c>
      <c r="F173" s="1">
        <v>0</v>
      </c>
      <c r="G173" s="1">
        <v>-0.22084000000000001</v>
      </c>
      <c r="H173" s="1">
        <v>0</v>
      </c>
      <c r="I173" s="1">
        <v>0</v>
      </c>
      <c r="J173" s="1">
        <v>0</v>
      </c>
      <c r="K173" s="1">
        <v>92.601299999999995</v>
      </c>
      <c r="L173" s="1">
        <v>0.63619999999999999</v>
      </c>
      <c r="N173" s="37" t="s">
        <v>312</v>
      </c>
    </row>
    <row r="174" spans="1:14" x14ac:dyDescent="0.25">
      <c r="A174" s="37">
        <v>8</v>
      </c>
      <c r="B174" s="1">
        <v>0.99698699999999996</v>
      </c>
      <c r="C174" s="1">
        <v>3.0450000000000001E-2</v>
      </c>
      <c r="D174" s="1">
        <v>1.1571E-2</v>
      </c>
      <c r="E174" s="1">
        <v>4.2021000000000003E-2</v>
      </c>
      <c r="F174" s="1">
        <v>0</v>
      </c>
      <c r="G174" s="1">
        <v>-0.23350299999999999</v>
      </c>
      <c r="H174" s="1">
        <v>0</v>
      </c>
      <c r="I174" s="1">
        <v>0</v>
      </c>
      <c r="J174" s="1">
        <v>0</v>
      </c>
      <c r="K174" s="1">
        <v>92.601299999999995</v>
      </c>
      <c r="L174" s="1">
        <v>0.64129999999999998</v>
      </c>
      <c r="N174" s="37" t="s">
        <v>313</v>
      </c>
    </row>
    <row r="175" spans="1:14" x14ac:dyDescent="0.25">
      <c r="A175" s="37">
        <v>8.5</v>
      </c>
      <c r="B175" s="1">
        <v>1.045218</v>
      </c>
      <c r="C175" s="1">
        <v>3.7440000000000001E-2</v>
      </c>
      <c r="D175" s="1">
        <v>1.2189999999999999E-2</v>
      </c>
      <c r="E175" s="1">
        <v>4.9630000000000001E-2</v>
      </c>
      <c r="F175" s="1">
        <v>0</v>
      </c>
      <c r="G175" s="1">
        <v>-0.23911199999999999</v>
      </c>
      <c r="H175" s="1">
        <v>0</v>
      </c>
      <c r="I175" s="1">
        <v>0</v>
      </c>
      <c r="J175" s="1">
        <v>0</v>
      </c>
      <c r="K175" s="1">
        <v>92.601299999999995</v>
      </c>
      <c r="L175" s="1">
        <v>0.63839999999999997</v>
      </c>
      <c r="N175" s="37" t="s">
        <v>314</v>
      </c>
    </row>
    <row r="176" spans="1:14" x14ac:dyDescent="0.25">
      <c r="A176" s="37">
        <v>9</v>
      </c>
      <c r="B176" s="1">
        <v>1.092047</v>
      </c>
      <c r="C176" s="1">
        <v>4.2168999999999998E-2</v>
      </c>
      <c r="D176" s="1">
        <v>1.2793000000000001E-2</v>
      </c>
      <c r="E176" s="1">
        <v>5.4961999999999997E-2</v>
      </c>
      <c r="F176" s="1">
        <v>0</v>
      </c>
      <c r="G176" s="1">
        <v>-0.245146</v>
      </c>
      <c r="H176" s="1">
        <v>0</v>
      </c>
      <c r="I176" s="1">
        <v>0</v>
      </c>
      <c r="J176" s="1">
        <v>0</v>
      </c>
      <c r="K176" s="1">
        <v>92.601299999999995</v>
      </c>
      <c r="L176" s="1">
        <v>0.63749999999999996</v>
      </c>
      <c r="N176" s="37" t="s">
        <v>315</v>
      </c>
    </row>
    <row r="177" spans="1:14" x14ac:dyDescent="0.25">
      <c r="A177" s="37">
        <v>9.5</v>
      </c>
      <c r="B177" s="1">
        <v>1.1415599999999999</v>
      </c>
      <c r="C177" s="1">
        <v>4.2627999999999999E-2</v>
      </c>
      <c r="D177" s="1">
        <v>1.3445E-2</v>
      </c>
      <c r="E177" s="1">
        <v>5.6072999999999998E-2</v>
      </c>
      <c r="F177" s="1">
        <v>0</v>
      </c>
      <c r="G177" s="1">
        <v>-0.25560899999999998</v>
      </c>
      <c r="H177" s="1">
        <v>0</v>
      </c>
      <c r="I177" s="1">
        <v>0</v>
      </c>
      <c r="J177" s="1">
        <v>0</v>
      </c>
      <c r="K177" s="1">
        <v>92.601299999999995</v>
      </c>
      <c r="L177" s="1">
        <v>0.64100000000000001</v>
      </c>
      <c r="N177" s="37" t="s">
        <v>316</v>
      </c>
    </row>
    <row r="178" spans="1:14" x14ac:dyDescent="0.25">
      <c r="A178" s="37">
        <v>10</v>
      </c>
      <c r="B178" s="1">
        <v>1.186917</v>
      </c>
      <c r="C178" s="1">
        <v>4.1312000000000001E-2</v>
      </c>
      <c r="D178" s="1">
        <v>1.4116999999999999E-2</v>
      </c>
      <c r="E178" s="1">
        <v>5.5428999999999999E-2</v>
      </c>
      <c r="F178" s="1">
        <v>0</v>
      </c>
      <c r="G178" s="1">
        <v>-0.253444</v>
      </c>
      <c r="H178" s="1">
        <v>0</v>
      </c>
      <c r="I178" s="1">
        <v>0</v>
      </c>
      <c r="J178" s="1">
        <v>0</v>
      </c>
      <c r="K178" s="1">
        <v>92.601299999999995</v>
      </c>
      <c r="L178" s="1">
        <v>0.63260000000000005</v>
      </c>
      <c r="N178" s="37" t="s">
        <v>317</v>
      </c>
    </row>
    <row r="179" spans="1:14" x14ac:dyDescent="0.25">
      <c r="A179" s="37">
        <v>10.5</v>
      </c>
      <c r="B179" s="1">
        <v>1.2335259999999999</v>
      </c>
      <c r="C179" s="1">
        <v>4.9936000000000001E-2</v>
      </c>
      <c r="D179" s="1">
        <v>1.4834E-2</v>
      </c>
      <c r="E179" s="1">
        <v>6.4769999999999994E-2</v>
      </c>
      <c r="F179" s="1">
        <v>0</v>
      </c>
      <c r="G179" s="1">
        <v>-0.25185400000000002</v>
      </c>
      <c r="H179" s="1">
        <v>0</v>
      </c>
      <c r="I179" s="1">
        <v>0</v>
      </c>
      <c r="J179" s="1">
        <v>0</v>
      </c>
      <c r="K179" s="1">
        <v>92.601299999999995</v>
      </c>
      <c r="L179" s="1">
        <v>0.62519999999999998</v>
      </c>
      <c r="N179" s="37" t="s">
        <v>318</v>
      </c>
    </row>
    <row r="180" spans="1:14" x14ac:dyDescent="0.25">
      <c r="A180" s="37">
        <v>11</v>
      </c>
      <c r="B180" s="1">
        <v>1.2832680000000001</v>
      </c>
      <c r="C180" s="1">
        <v>5.4885999999999997E-2</v>
      </c>
      <c r="D180" s="1">
        <v>1.5610000000000001E-2</v>
      </c>
      <c r="E180" s="1">
        <v>7.0496000000000003E-2</v>
      </c>
      <c r="F180" s="1">
        <v>0</v>
      </c>
      <c r="G180" s="1">
        <v>-0.26386900000000002</v>
      </c>
      <c r="H180" s="1">
        <v>0</v>
      </c>
      <c r="I180" s="1">
        <v>0</v>
      </c>
      <c r="J180" s="1">
        <v>0</v>
      </c>
      <c r="K180" s="1">
        <v>92.601299999999995</v>
      </c>
      <c r="L180" s="1">
        <v>0.63180000000000003</v>
      </c>
      <c r="N180" s="37" t="s">
        <v>319</v>
      </c>
    </row>
    <row r="181" spans="1:14" x14ac:dyDescent="0.25">
      <c r="A181" s="37">
        <v>11.5</v>
      </c>
      <c r="B181" s="1">
        <v>1.3339890000000001</v>
      </c>
      <c r="C181" s="1">
        <v>5.9325000000000003E-2</v>
      </c>
      <c r="D181" s="1">
        <v>1.6448999999999998E-2</v>
      </c>
      <c r="E181" s="1">
        <v>7.5774999999999995E-2</v>
      </c>
      <c r="F181" s="1">
        <v>0</v>
      </c>
      <c r="G181" s="1">
        <v>-0.27708700000000003</v>
      </c>
      <c r="H181" s="1">
        <v>0</v>
      </c>
      <c r="I181" s="1">
        <v>0</v>
      </c>
      <c r="J181" s="1">
        <v>0</v>
      </c>
      <c r="K181" s="1">
        <v>92.601299999999995</v>
      </c>
      <c r="L181" s="1">
        <v>0.63929999999999998</v>
      </c>
      <c r="N181" s="37" t="s">
        <v>320</v>
      </c>
    </row>
    <row r="182" spans="1:14" x14ac:dyDescent="0.25">
      <c r="A182" s="37">
        <v>12</v>
      </c>
      <c r="B182" s="1">
        <v>1.3841349999999999</v>
      </c>
      <c r="C182" s="1">
        <v>6.3902E-2</v>
      </c>
      <c r="D182" s="1">
        <v>1.7361000000000001E-2</v>
      </c>
      <c r="E182" s="1">
        <v>8.1263000000000002E-2</v>
      </c>
      <c r="F182" s="1">
        <v>0</v>
      </c>
      <c r="G182" s="1">
        <v>-0.28713300000000003</v>
      </c>
      <c r="H182" s="1">
        <v>0</v>
      </c>
      <c r="I182" s="1">
        <v>0</v>
      </c>
      <c r="J182" s="1">
        <v>0</v>
      </c>
      <c r="K182" s="1">
        <v>92.601299999999995</v>
      </c>
      <c r="L182" s="1">
        <v>0.64390000000000003</v>
      </c>
      <c r="N182" s="37" t="s">
        <v>321</v>
      </c>
    </row>
    <row r="183" spans="1:14" x14ac:dyDescent="0.25">
      <c r="A183" s="37">
        <v>12.5</v>
      </c>
      <c r="B183" s="1">
        <v>1.434016</v>
      </c>
      <c r="C183" s="1">
        <v>6.8636000000000003E-2</v>
      </c>
      <c r="D183" s="1">
        <v>1.8350000000000002E-2</v>
      </c>
      <c r="E183" s="1">
        <v>8.6986999999999995E-2</v>
      </c>
      <c r="F183" s="1">
        <v>0</v>
      </c>
      <c r="G183" s="1">
        <v>-0.29521900000000001</v>
      </c>
      <c r="H183" s="1">
        <v>0</v>
      </c>
      <c r="I183" s="1">
        <v>0</v>
      </c>
      <c r="J183" s="1">
        <v>0</v>
      </c>
      <c r="K183" s="1">
        <v>92.601299999999995</v>
      </c>
      <c r="L183" s="1">
        <v>0.64710000000000001</v>
      </c>
      <c r="N183" s="37" t="s">
        <v>322</v>
      </c>
    </row>
    <row r="184" spans="1:14" x14ac:dyDescent="0.25">
      <c r="A184" s="37">
        <v>13</v>
      </c>
      <c r="B184" s="1">
        <v>1.4836800000000001</v>
      </c>
      <c r="C184" s="1">
        <v>7.3512999999999995E-2</v>
      </c>
      <c r="D184" s="1">
        <v>1.9386E-2</v>
      </c>
      <c r="E184" s="1">
        <v>9.2897999999999994E-2</v>
      </c>
      <c r="F184" s="1">
        <v>0</v>
      </c>
      <c r="G184" s="1">
        <v>-0.301705</v>
      </c>
      <c r="H184" s="1">
        <v>0</v>
      </c>
      <c r="I184" s="1">
        <v>0</v>
      </c>
      <c r="J184" s="1">
        <v>0</v>
      </c>
      <c r="K184" s="1">
        <v>92.601299999999995</v>
      </c>
      <c r="L184" s="1">
        <v>0.6492</v>
      </c>
      <c r="N184" s="37" t="s">
        <v>323</v>
      </c>
    </row>
    <row r="185" spans="1:14" x14ac:dyDescent="0.25">
      <c r="A185" s="37">
        <v>13.5</v>
      </c>
      <c r="B185" s="1">
        <v>1.533153</v>
      </c>
      <c r="C185" s="1">
        <v>7.8524999999999998E-2</v>
      </c>
      <c r="D185" s="1">
        <v>2.0451E-2</v>
      </c>
      <c r="E185" s="1">
        <v>9.8975999999999995E-2</v>
      </c>
      <c r="F185" s="1">
        <v>0</v>
      </c>
      <c r="G185" s="1">
        <v>-0.30677700000000002</v>
      </c>
      <c r="H185" s="1">
        <v>0</v>
      </c>
      <c r="I185" s="1">
        <v>0</v>
      </c>
      <c r="J185" s="1">
        <v>0</v>
      </c>
      <c r="K185" s="1">
        <v>92.601299999999995</v>
      </c>
      <c r="L185" s="1">
        <v>0.65049999999999997</v>
      </c>
      <c r="N185" s="37" t="s">
        <v>324</v>
      </c>
    </row>
    <row r="186" spans="1:14" x14ac:dyDescent="0.25">
      <c r="A186" s="37">
        <v>14</v>
      </c>
      <c r="B186" s="1">
        <v>1.5823449999999999</v>
      </c>
      <c r="C186" s="1">
        <v>8.3656999999999995E-2</v>
      </c>
      <c r="D186" s="1">
        <v>2.1565999999999998E-2</v>
      </c>
      <c r="E186" s="1">
        <v>0.105224</v>
      </c>
      <c r="F186" s="1">
        <v>0</v>
      </c>
      <c r="G186" s="1">
        <v>-0.31032700000000002</v>
      </c>
      <c r="H186" s="1">
        <v>0</v>
      </c>
      <c r="I186" s="1">
        <v>0</v>
      </c>
      <c r="J186" s="1">
        <v>0</v>
      </c>
      <c r="K186" s="1">
        <v>92.601299999999995</v>
      </c>
      <c r="L186" s="1">
        <v>0.65100000000000002</v>
      </c>
    </row>
    <row r="187" spans="1:14" x14ac:dyDescent="0.25">
      <c r="A187" s="37">
        <v>14.5</v>
      </c>
      <c r="B187" s="1">
        <v>1.6313249999999999</v>
      </c>
      <c r="C187" s="1">
        <v>8.8915999999999995E-2</v>
      </c>
      <c r="D187" s="1">
        <v>2.283E-2</v>
      </c>
      <c r="E187" s="1">
        <v>0.111746</v>
      </c>
      <c r="F187" s="1">
        <v>0</v>
      </c>
      <c r="G187" s="1">
        <v>-0.312587</v>
      </c>
      <c r="H187" s="1">
        <v>0</v>
      </c>
      <c r="I187" s="1">
        <v>0</v>
      </c>
      <c r="J187" s="1">
        <v>0</v>
      </c>
      <c r="K187" s="1">
        <v>92.601299999999995</v>
      </c>
      <c r="L187" s="1">
        <v>0.65100000000000002</v>
      </c>
    </row>
    <row r="190" spans="1:14" x14ac:dyDescent="0.25">
      <c r="A190" s="13" t="s">
        <v>325</v>
      </c>
    </row>
    <row r="191" spans="1:14" x14ac:dyDescent="0.25">
      <c r="A191" s="44" t="s">
        <v>119</v>
      </c>
      <c r="B191">
        <f>MATCH($B$7,B196:B232,1)+ROW()+4</f>
        <v>207</v>
      </c>
      <c r="F191" s="21" t="s">
        <v>736</v>
      </c>
      <c r="G191">
        <f>MATCH(0,G196:G232,-1)+ROW()+4</f>
        <v>199</v>
      </c>
    </row>
    <row r="192" spans="1:14" x14ac:dyDescent="0.25">
      <c r="A192" s="45" t="s">
        <v>186</v>
      </c>
      <c r="B192">
        <f ca="1">INDIRECT(CONCATENATE("C",B191+1)) - (INDIRECT(CONCATENATE("B",B191+1))-$B$7) / (INDIRECT(CONCATENATE("B",B191+1))-INDIRECT(CONCATENATE("B",B191))) * (INDIRECT(CONCATENATE("C",B191+1)) - INDIRECT(CONCATENATE("C",B191)) )</f>
        <v>8.5620338060746152E-3</v>
      </c>
      <c r="F192" s="21" t="s">
        <v>737</v>
      </c>
      <c r="G192" s="1">
        <f ca="1">INDIRECT(CONCATENATE("B",G191+1)) - (INDIRECT(CONCATENATE("B",G191+1))-INDIRECT(CONCATENATE("B",G191))) / (INDIRECT(CONCATENATE("G",G191+1))-INDIRECT(CONCATENATE("G",G191))) * (INDIRECT(CONCATENATE("G",G191+1)) - 0)</f>
        <v>9.3303884291960987E-2</v>
      </c>
    </row>
    <row r="193" spans="1:14" x14ac:dyDescent="0.25">
      <c r="A193" s="13" t="s">
        <v>2</v>
      </c>
      <c r="B193" s="13">
        <f ca="1">$B$7^2/(PI()*$B$2*B192)</f>
        <v>0.98621502287602758</v>
      </c>
      <c r="N193" s="37" t="s">
        <v>146</v>
      </c>
    </row>
    <row r="194" spans="1:14" x14ac:dyDescent="0.25">
      <c r="N194" s="37" t="s">
        <v>147</v>
      </c>
    </row>
    <row r="195" spans="1:14" x14ac:dyDescent="0.25">
      <c r="A195" s="1" t="s">
        <v>128</v>
      </c>
      <c r="B195" s="1" t="s">
        <v>118</v>
      </c>
      <c r="C195" s="1" t="s">
        <v>149</v>
      </c>
      <c r="D195" s="1" t="s">
        <v>150</v>
      </c>
      <c r="E195" s="1" t="s">
        <v>151</v>
      </c>
      <c r="F195" s="1" t="s">
        <v>152</v>
      </c>
      <c r="G195" s="1" t="s">
        <v>153</v>
      </c>
      <c r="H195" s="1" t="s">
        <v>154</v>
      </c>
      <c r="I195" s="1" t="s">
        <v>155</v>
      </c>
      <c r="J195" s="1" t="s">
        <v>156</v>
      </c>
      <c r="K195" s="1" t="s">
        <v>157</v>
      </c>
      <c r="L195" s="1" t="s">
        <v>158</v>
      </c>
      <c r="N195" s="37" t="s">
        <v>326</v>
      </c>
    </row>
    <row r="196" spans="1:14" x14ac:dyDescent="0.25">
      <c r="A196" s="37">
        <v>-2.5</v>
      </c>
      <c r="B196" s="1">
        <v>-5.5391999999999997E-2</v>
      </c>
      <c r="C196" s="1">
        <v>4.08E-4</v>
      </c>
      <c r="D196" s="1">
        <v>7.43E-3</v>
      </c>
      <c r="E196" s="1">
        <v>7.8379999999999995E-3</v>
      </c>
      <c r="F196" s="1">
        <v>0</v>
      </c>
      <c r="G196" s="1">
        <v>5.6258000000000002E-2</v>
      </c>
      <c r="H196" s="1">
        <v>0</v>
      </c>
      <c r="I196" s="1">
        <v>0</v>
      </c>
      <c r="J196" s="1">
        <v>0</v>
      </c>
      <c r="K196" s="1">
        <v>92.601299999999995</v>
      </c>
      <c r="L196" s="1">
        <v>1.5653999999999999</v>
      </c>
      <c r="N196" s="37" t="s">
        <v>327</v>
      </c>
    </row>
    <row r="197" spans="1:14" x14ac:dyDescent="0.25">
      <c r="A197" s="37">
        <v>-2</v>
      </c>
      <c r="B197" s="1">
        <v>-6.3839999999999999E-3</v>
      </c>
      <c r="C197" s="1">
        <v>2.43E-4</v>
      </c>
      <c r="D197" s="1">
        <v>7.2170000000000003E-3</v>
      </c>
      <c r="E197" s="1">
        <v>7.4599999999999996E-3</v>
      </c>
      <c r="F197" s="1">
        <v>0</v>
      </c>
      <c r="G197" s="1">
        <v>3.7386999999999997E-2</v>
      </c>
      <c r="H197" s="1">
        <v>0</v>
      </c>
      <c r="I197" s="1">
        <v>0</v>
      </c>
      <c r="J197" s="1">
        <v>0</v>
      </c>
      <c r="K197" s="1">
        <v>92.601299999999995</v>
      </c>
      <c r="L197" s="1">
        <v>7.6410999999999998</v>
      </c>
      <c r="N197" s="37" t="s">
        <v>328</v>
      </c>
    </row>
    <row r="198" spans="1:14" x14ac:dyDescent="0.25">
      <c r="A198" s="37">
        <v>-1.5</v>
      </c>
      <c r="B198" s="1">
        <v>4.2617000000000002E-2</v>
      </c>
      <c r="C198" s="1">
        <v>2.3699999999999999E-4</v>
      </c>
      <c r="D198" s="1">
        <v>7.0099999999999997E-3</v>
      </c>
      <c r="E198" s="1">
        <v>7.247E-3</v>
      </c>
      <c r="F198" s="1">
        <v>0</v>
      </c>
      <c r="G198" s="1">
        <v>1.883E-2</v>
      </c>
      <c r="H198" s="1">
        <v>0</v>
      </c>
      <c r="I198" s="1">
        <v>0</v>
      </c>
      <c r="J198" s="1">
        <v>0</v>
      </c>
      <c r="K198" s="1">
        <v>92.601299999999995</v>
      </c>
      <c r="L198" s="1">
        <v>-0.26090000000000002</v>
      </c>
      <c r="N198" s="37" t="s">
        <v>329</v>
      </c>
    </row>
    <row r="199" spans="1:14" x14ac:dyDescent="0.25">
      <c r="A199" s="37">
        <v>-1</v>
      </c>
      <c r="B199" s="1">
        <v>9.1606999999999994E-2</v>
      </c>
      <c r="C199" s="1">
        <v>3.88E-4</v>
      </c>
      <c r="D199" s="1">
        <v>6.7840000000000001E-3</v>
      </c>
      <c r="E199" s="1">
        <v>7.1720000000000004E-3</v>
      </c>
      <c r="F199" s="1">
        <v>0</v>
      </c>
      <c r="G199" s="1">
        <v>6.1799999999999995E-4</v>
      </c>
      <c r="H199" s="1">
        <v>0</v>
      </c>
      <c r="I199" s="1">
        <v>0</v>
      </c>
      <c r="J199" s="1">
        <v>0</v>
      </c>
      <c r="K199" s="1">
        <v>92.601299999999995</v>
      </c>
      <c r="L199" s="1">
        <v>0.28660000000000002</v>
      </c>
      <c r="N199" s="37" t="s">
        <v>330</v>
      </c>
    </row>
    <row r="200" spans="1:14" x14ac:dyDescent="0.25">
      <c r="A200" s="37">
        <v>-0.5</v>
      </c>
      <c r="B200" s="1">
        <v>0.14058599999999999</v>
      </c>
      <c r="C200" s="1">
        <v>6.9800000000000005E-4</v>
      </c>
      <c r="D200" s="1">
        <v>6.5269999999999998E-3</v>
      </c>
      <c r="E200" s="1">
        <v>7.2249999999999997E-3</v>
      </c>
      <c r="F200" s="1">
        <v>0</v>
      </c>
      <c r="G200" s="1">
        <v>-1.7219999999999999E-2</v>
      </c>
      <c r="H200" s="1">
        <v>0</v>
      </c>
      <c r="I200" s="1">
        <v>0</v>
      </c>
      <c r="J200" s="1">
        <v>0</v>
      </c>
      <c r="K200" s="1">
        <v>92.601299999999995</v>
      </c>
      <c r="L200" s="1">
        <v>0.45050000000000001</v>
      </c>
      <c r="N200" s="37" t="s">
        <v>331</v>
      </c>
    </row>
    <row r="201" spans="1:14" x14ac:dyDescent="0.25">
      <c r="A201" s="37">
        <v>0</v>
      </c>
      <c r="B201" s="1">
        <v>0.189551</v>
      </c>
      <c r="C201" s="1">
        <v>1.1659999999999999E-3</v>
      </c>
      <c r="D201" s="1">
        <v>6.2290000000000002E-3</v>
      </c>
      <c r="E201" s="1">
        <v>7.3949999999999997E-3</v>
      </c>
      <c r="F201" s="1">
        <v>0</v>
      </c>
      <c r="G201" s="1">
        <v>-3.4653999999999997E-2</v>
      </c>
      <c r="H201" s="1">
        <v>0</v>
      </c>
      <c r="I201" s="1">
        <v>0</v>
      </c>
      <c r="J201" s="1">
        <v>0</v>
      </c>
      <c r="K201" s="1">
        <v>92.601299999999995</v>
      </c>
      <c r="L201" s="1">
        <v>0.5282</v>
      </c>
      <c r="N201" s="37" t="s">
        <v>332</v>
      </c>
    </row>
    <row r="202" spans="1:14" x14ac:dyDescent="0.25">
      <c r="A202" s="37">
        <v>0.5</v>
      </c>
      <c r="B202" s="1">
        <v>0.23850099999999999</v>
      </c>
      <c r="C202" s="1">
        <v>1.7930000000000001E-3</v>
      </c>
      <c r="D202" s="1">
        <v>5.7499999999999999E-3</v>
      </c>
      <c r="E202" s="1">
        <v>7.5430000000000002E-3</v>
      </c>
      <c r="F202" s="1">
        <v>0</v>
      </c>
      <c r="G202" s="1">
        <v>-5.1628E-2</v>
      </c>
      <c r="H202" s="1">
        <v>0</v>
      </c>
      <c r="I202" s="1">
        <v>0</v>
      </c>
      <c r="J202" s="1">
        <v>0</v>
      </c>
      <c r="K202" s="1">
        <v>92.601299999999995</v>
      </c>
      <c r="L202" s="1">
        <v>0.57269999999999999</v>
      </c>
      <c r="N202" s="37" t="s">
        <v>333</v>
      </c>
    </row>
    <row r="203" spans="1:14" x14ac:dyDescent="0.25">
      <c r="A203" s="37">
        <v>1</v>
      </c>
      <c r="B203" s="1">
        <v>0.28743400000000002</v>
      </c>
      <c r="C203" s="1">
        <v>2.578E-3</v>
      </c>
      <c r="D203" s="1">
        <v>5.0359999999999997E-3</v>
      </c>
      <c r="E203" s="1">
        <v>7.6150000000000002E-3</v>
      </c>
      <c r="F203" s="1">
        <v>0</v>
      </c>
      <c r="G203" s="1">
        <v>-6.8097000000000005E-2</v>
      </c>
      <c r="H203" s="1">
        <v>0</v>
      </c>
      <c r="I203" s="1">
        <v>0</v>
      </c>
      <c r="J203" s="1">
        <v>0</v>
      </c>
      <c r="K203" s="1">
        <v>92.601299999999995</v>
      </c>
      <c r="L203" s="1">
        <v>0.60099999999999998</v>
      </c>
      <c r="N203" s="37" t="s">
        <v>334</v>
      </c>
    </row>
    <row r="204" spans="1:14" x14ac:dyDescent="0.25">
      <c r="A204" s="37">
        <v>1.5</v>
      </c>
      <c r="B204" s="1">
        <v>0.33634799999999998</v>
      </c>
      <c r="C204" s="1">
        <v>3.522E-3</v>
      </c>
      <c r="D204" s="1">
        <v>4.3489999999999996E-3</v>
      </c>
      <c r="E204" s="1">
        <v>7.8720000000000005E-3</v>
      </c>
      <c r="F204" s="1">
        <v>0</v>
      </c>
      <c r="G204" s="1">
        <v>-8.4114999999999995E-2</v>
      </c>
      <c r="H204" s="1">
        <v>0</v>
      </c>
      <c r="I204" s="1">
        <v>0</v>
      </c>
      <c r="J204" s="1">
        <v>0</v>
      </c>
      <c r="K204" s="1">
        <v>92.601299999999995</v>
      </c>
      <c r="L204" s="1">
        <v>0.62009999999999998</v>
      </c>
      <c r="N204" s="37" t="s">
        <v>335</v>
      </c>
    </row>
    <row r="205" spans="1:14" x14ac:dyDescent="0.25">
      <c r="A205" s="37">
        <v>2</v>
      </c>
      <c r="B205" s="1">
        <v>0.38524000000000003</v>
      </c>
      <c r="C205" s="1">
        <v>4.6249999999999998E-3</v>
      </c>
      <c r="D205" s="1">
        <v>4.2090000000000001E-3</v>
      </c>
      <c r="E205" s="1">
        <v>8.8339999999999998E-3</v>
      </c>
      <c r="F205" s="1">
        <v>0</v>
      </c>
      <c r="G205" s="1">
        <v>-9.9781999999999996E-2</v>
      </c>
      <c r="H205" s="1">
        <v>0</v>
      </c>
      <c r="I205" s="1">
        <v>0</v>
      </c>
      <c r="J205" s="1">
        <v>0</v>
      </c>
      <c r="K205" s="1">
        <v>92.601299999999995</v>
      </c>
      <c r="L205" s="1">
        <v>0.63349999999999995</v>
      </c>
      <c r="N205" s="37" t="s">
        <v>336</v>
      </c>
    </row>
    <row r="206" spans="1:14" x14ac:dyDescent="0.25">
      <c r="A206" s="37">
        <v>2.5</v>
      </c>
      <c r="B206" s="1">
        <v>0.43411</v>
      </c>
      <c r="C206" s="1">
        <v>5.8869999999999999E-3</v>
      </c>
      <c r="D206" s="1">
        <v>4.1799999999999997E-3</v>
      </c>
      <c r="E206" s="1">
        <v>1.0067E-2</v>
      </c>
      <c r="F206" s="1">
        <v>0</v>
      </c>
      <c r="G206" s="1">
        <v>-0.11495</v>
      </c>
      <c r="H206" s="1">
        <v>0</v>
      </c>
      <c r="I206" s="1">
        <v>0</v>
      </c>
      <c r="J206" s="1">
        <v>0</v>
      </c>
      <c r="K206" s="1">
        <v>92.601299999999995</v>
      </c>
      <c r="L206" s="1">
        <v>0.6431</v>
      </c>
      <c r="N206" s="37" t="s">
        <v>337</v>
      </c>
    </row>
    <row r="207" spans="1:14" x14ac:dyDescent="0.25">
      <c r="A207" s="37">
        <v>3</v>
      </c>
      <c r="B207" s="1">
        <v>0.482956</v>
      </c>
      <c r="C207" s="1">
        <v>7.3080000000000003E-3</v>
      </c>
      <c r="D207" s="1">
        <v>4.365E-3</v>
      </c>
      <c r="E207" s="1">
        <v>1.1672999999999999E-2</v>
      </c>
      <c r="F207" s="1">
        <v>0</v>
      </c>
      <c r="G207" s="1">
        <v>-0.12962899999999999</v>
      </c>
      <c r="H207" s="1">
        <v>0</v>
      </c>
      <c r="I207" s="1">
        <v>0</v>
      </c>
      <c r="J207" s="1">
        <v>0</v>
      </c>
      <c r="K207" s="1">
        <v>92.601299999999995</v>
      </c>
      <c r="L207" s="1">
        <v>0.65</v>
      </c>
      <c r="N207" s="37" t="s">
        <v>338</v>
      </c>
    </row>
    <row r="208" spans="1:14" x14ac:dyDescent="0.25">
      <c r="A208" s="37">
        <v>3.5</v>
      </c>
      <c r="B208" s="1">
        <v>0.53177399999999997</v>
      </c>
      <c r="C208" s="1">
        <v>8.8880000000000001E-3</v>
      </c>
      <c r="D208" s="1">
        <v>4.9670000000000001E-3</v>
      </c>
      <c r="E208" s="1">
        <v>1.3856E-2</v>
      </c>
      <c r="F208" s="1">
        <v>0</v>
      </c>
      <c r="G208" s="1">
        <v>-0.143849</v>
      </c>
      <c r="H208" s="1">
        <v>0</v>
      </c>
      <c r="I208" s="1">
        <v>0</v>
      </c>
      <c r="J208" s="1">
        <v>0</v>
      </c>
      <c r="K208" s="1">
        <v>92.601299999999995</v>
      </c>
      <c r="L208" s="1">
        <v>0.65510000000000002</v>
      </c>
      <c r="N208" s="37" t="s">
        <v>339</v>
      </c>
    </row>
    <row r="209" spans="1:14" x14ac:dyDescent="0.25">
      <c r="A209" s="37">
        <v>4</v>
      </c>
      <c r="B209" s="1">
        <v>0.580565</v>
      </c>
      <c r="C209" s="1">
        <v>1.0628E-2</v>
      </c>
      <c r="D209" s="1">
        <v>5.9100000000000003E-3</v>
      </c>
      <c r="E209" s="1">
        <v>1.6538000000000001E-2</v>
      </c>
      <c r="F209" s="1">
        <v>0</v>
      </c>
      <c r="G209" s="1">
        <v>-0.15756000000000001</v>
      </c>
      <c r="H209" s="1">
        <v>0</v>
      </c>
      <c r="I209" s="1">
        <v>0</v>
      </c>
      <c r="J209" s="1">
        <v>0</v>
      </c>
      <c r="K209" s="1">
        <v>92.601299999999995</v>
      </c>
      <c r="L209" s="1">
        <v>0.65859999999999996</v>
      </c>
      <c r="N209" s="37" t="s">
        <v>340</v>
      </c>
    </row>
    <row r="210" spans="1:14" x14ac:dyDescent="0.25">
      <c r="A210" s="37">
        <v>4.5</v>
      </c>
      <c r="B210" s="1">
        <v>0.62932500000000002</v>
      </c>
      <c r="C210" s="1">
        <v>1.2527E-2</v>
      </c>
      <c r="D210" s="1">
        <v>6.8060000000000004E-3</v>
      </c>
      <c r="E210" s="1">
        <v>1.9332999999999999E-2</v>
      </c>
      <c r="F210" s="1">
        <v>0</v>
      </c>
      <c r="G210" s="1">
        <v>-0.17064099999999999</v>
      </c>
      <c r="H210" s="1">
        <v>0</v>
      </c>
      <c r="I210" s="1">
        <v>0</v>
      </c>
      <c r="J210" s="1">
        <v>0</v>
      </c>
      <c r="K210" s="1">
        <v>92.601299999999995</v>
      </c>
      <c r="L210" s="1">
        <v>0.66110000000000002</v>
      </c>
      <c r="N210" s="37" t="s">
        <v>341</v>
      </c>
    </row>
    <row r="211" spans="1:14" x14ac:dyDescent="0.25">
      <c r="A211" s="37">
        <v>5</v>
      </c>
      <c r="B211" s="1">
        <v>0.67805300000000002</v>
      </c>
      <c r="C211" s="1">
        <v>1.4589E-2</v>
      </c>
      <c r="D211" s="1">
        <v>7.5500000000000003E-3</v>
      </c>
      <c r="E211" s="1">
        <v>2.2138999999999999E-2</v>
      </c>
      <c r="F211" s="1">
        <v>0</v>
      </c>
      <c r="G211" s="1">
        <v>-0.18304699999999999</v>
      </c>
      <c r="H211" s="1">
        <v>0</v>
      </c>
      <c r="I211" s="1">
        <v>0</v>
      </c>
      <c r="J211" s="1">
        <v>0</v>
      </c>
      <c r="K211" s="1">
        <v>92.601299999999995</v>
      </c>
      <c r="L211" s="1">
        <v>0.66259999999999997</v>
      </c>
      <c r="N211" s="37" t="s">
        <v>342</v>
      </c>
    </row>
    <row r="212" spans="1:14" x14ac:dyDescent="0.25">
      <c r="A212" s="37">
        <v>5.5</v>
      </c>
      <c r="B212" s="1">
        <v>0.72674899999999998</v>
      </c>
      <c r="C212" s="1">
        <v>1.6820000000000002E-2</v>
      </c>
      <c r="D212" s="1">
        <v>8.2159999999999993E-3</v>
      </c>
      <c r="E212" s="1">
        <v>2.5035999999999999E-2</v>
      </c>
      <c r="F212" s="1">
        <v>0</v>
      </c>
      <c r="G212" s="1">
        <v>-0.19477700000000001</v>
      </c>
      <c r="H212" s="1">
        <v>0</v>
      </c>
      <c r="I212" s="1">
        <v>0</v>
      </c>
      <c r="J212" s="1">
        <v>0</v>
      </c>
      <c r="K212" s="1">
        <v>92.601299999999995</v>
      </c>
      <c r="L212" s="1">
        <v>0.66339999999999999</v>
      </c>
      <c r="N212" s="37" t="s">
        <v>343</v>
      </c>
    </row>
    <row r="213" spans="1:14" x14ac:dyDescent="0.25">
      <c r="A213" s="37">
        <v>6</v>
      </c>
      <c r="B213" s="1">
        <v>0.77541400000000005</v>
      </c>
      <c r="C213" s="1">
        <v>1.9241999999999999E-2</v>
      </c>
      <c r="D213" s="1">
        <v>8.8109999999999994E-3</v>
      </c>
      <c r="E213" s="1">
        <v>2.8053000000000002E-2</v>
      </c>
      <c r="F213" s="1">
        <v>0</v>
      </c>
      <c r="G213" s="1">
        <v>-0.20580399999999999</v>
      </c>
      <c r="H213" s="1">
        <v>0</v>
      </c>
      <c r="I213" s="1">
        <v>0</v>
      </c>
      <c r="J213" s="1">
        <v>0</v>
      </c>
      <c r="K213" s="1">
        <v>92.601299999999995</v>
      </c>
      <c r="L213" s="1">
        <v>0.66359999999999997</v>
      </c>
      <c r="N213" s="37" t="s">
        <v>344</v>
      </c>
    </row>
    <row r="214" spans="1:14" x14ac:dyDescent="0.25">
      <c r="A214" s="37">
        <v>6.5</v>
      </c>
      <c r="B214" s="1">
        <v>0.82406500000000005</v>
      </c>
      <c r="C214" s="1">
        <v>2.1940999999999999E-2</v>
      </c>
      <c r="D214" s="1">
        <v>9.3390000000000001E-3</v>
      </c>
      <c r="E214" s="1">
        <v>3.1280000000000002E-2</v>
      </c>
      <c r="F214" s="1">
        <v>0</v>
      </c>
      <c r="G214" s="1">
        <v>-0.21609200000000001</v>
      </c>
      <c r="H214" s="1">
        <v>0</v>
      </c>
      <c r="I214" s="1">
        <v>0</v>
      </c>
      <c r="J214" s="1">
        <v>0</v>
      </c>
      <c r="K214" s="1">
        <v>92.601299999999995</v>
      </c>
      <c r="L214" s="1">
        <v>0.66320000000000001</v>
      </c>
      <c r="N214" s="37" t="s">
        <v>345</v>
      </c>
    </row>
    <row r="215" spans="1:14" x14ac:dyDescent="0.25">
      <c r="A215" s="37">
        <v>7</v>
      </c>
      <c r="B215" s="1">
        <v>0.87279499999999999</v>
      </c>
      <c r="C215" s="1">
        <v>2.5255E-2</v>
      </c>
      <c r="D215" s="1">
        <v>9.8930000000000008E-3</v>
      </c>
      <c r="E215" s="1">
        <v>3.5147999999999999E-2</v>
      </c>
      <c r="F215" s="1">
        <v>0</v>
      </c>
      <c r="G215" s="1">
        <v>-0.22570399999999999</v>
      </c>
      <c r="H215" s="1">
        <v>0</v>
      </c>
      <c r="I215" s="1">
        <v>0</v>
      </c>
      <c r="J215" s="1">
        <v>0</v>
      </c>
      <c r="K215" s="1">
        <v>92.601299999999995</v>
      </c>
      <c r="L215" s="1">
        <v>0.66239999999999999</v>
      </c>
      <c r="N215" s="37" t="s">
        <v>346</v>
      </c>
    </row>
    <row r="216" spans="1:14" x14ac:dyDescent="0.25">
      <c r="A216" s="37">
        <v>7.5</v>
      </c>
      <c r="B216" s="1">
        <v>0.92102200000000001</v>
      </c>
      <c r="C216" s="1">
        <v>2.6993E-2</v>
      </c>
      <c r="D216" s="1">
        <v>1.0489E-2</v>
      </c>
      <c r="E216" s="1">
        <v>3.7482000000000001E-2</v>
      </c>
      <c r="F216" s="1">
        <v>0</v>
      </c>
      <c r="G216" s="1">
        <v>-0.235655</v>
      </c>
      <c r="H216" s="1">
        <v>0</v>
      </c>
      <c r="I216" s="1">
        <v>0</v>
      </c>
      <c r="J216" s="1">
        <v>0</v>
      </c>
      <c r="K216" s="1">
        <v>92.601299999999995</v>
      </c>
      <c r="L216" s="1">
        <v>0.66300000000000003</v>
      </c>
      <c r="N216" s="37" t="s">
        <v>347</v>
      </c>
    </row>
    <row r="217" spans="1:14" x14ac:dyDescent="0.25">
      <c r="A217" s="37">
        <v>8</v>
      </c>
      <c r="B217" s="1">
        <v>0.96948199999999995</v>
      </c>
      <c r="C217" s="1">
        <v>2.8334999999999999E-2</v>
      </c>
      <c r="D217" s="1">
        <v>1.1122999999999999E-2</v>
      </c>
      <c r="E217" s="1">
        <v>3.9458E-2</v>
      </c>
      <c r="F217" s="1">
        <v>0</v>
      </c>
      <c r="G217" s="1">
        <v>-0.249335</v>
      </c>
      <c r="H217" s="1">
        <v>0</v>
      </c>
      <c r="I217" s="1">
        <v>0</v>
      </c>
      <c r="J217" s="1">
        <v>0</v>
      </c>
      <c r="K217" s="1">
        <v>92.601299999999995</v>
      </c>
      <c r="L217" s="1">
        <v>0.66910000000000003</v>
      </c>
      <c r="N217" s="37" t="s">
        <v>348</v>
      </c>
    </row>
    <row r="218" spans="1:14" x14ac:dyDescent="0.25">
      <c r="A218" s="37">
        <v>8.5</v>
      </c>
      <c r="B218" s="1">
        <v>1.015882</v>
      </c>
      <c r="C218" s="1">
        <v>3.5659999999999997E-2</v>
      </c>
      <c r="D218" s="1">
        <v>1.1754000000000001E-2</v>
      </c>
      <c r="E218" s="1">
        <v>4.7413999999999998E-2</v>
      </c>
      <c r="F218" s="1">
        <v>0</v>
      </c>
      <c r="G218" s="1">
        <v>-0.248443</v>
      </c>
      <c r="H218" s="1">
        <v>0</v>
      </c>
      <c r="I218" s="1">
        <v>0</v>
      </c>
      <c r="J218" s="1">
        <v>0</v>
      </c>
      <c r="K218" s="1">
        <v>92.601299999999995</v>
      </c>
      <c r="L218" s="1">
        <v>0.65749999999999997</v>
      </c>
      <c r="N218" s="37" t="s">
        <v>349</v>
      </c>
    </row>
    <row r="219" spans="1:14" x14ac:dyDescent="0.25">
      <c r="A219" s="37">
        <v>9</v>
      </c>
      <c r="B219" s="1">
        <v>1.065407</v>
      </c>
      <c r="C219" s="1">
        <v>3.5680000000000003E-2</v>
      </c>
      <c r="D219" s="1">
        <v>1.2371E-2</v>
      </c>
      <c r="E219" s="1">
        <v>4.8051000000000003E-2</v>
      </c>
      <c r="F219" s="1">
        <v>0</v>
      </c>
      <c r="G219" s="1">
        <v>-0.262158</v>
      </c>
      <c r="H219" s="1">
        <v>0</v>
      </c>
      <c r="I219" s="1">
        <v>0</v>
      </c>
      <c r="J219" s="1">
        <v>0</v>
      </c>
      <c r="K219" s="1">
        <v>92.601299999999995</v>
      </c>
      <c r="L219" s="1">
        <v>0.66379999999999995</v>
      </c>
      <c r="N219" s="37" t="s">
        <v>350</v>
      </c>
    </row>
    <row r="220" spans="1:14" x14ac:dyDescent="0.25">
      <c r="A220" s="37">
        <v>9.5</v>
      </c>
      <c r="B220" s="1">
        <v>1.1120479999999999</v>
      </c>
      <c r="C220" s="1">
        <v>4.1778999999999997E-2</v>
      </c>
      <c r="D220" s="1">
        <v>1.2999999999999999E-2</v>
      </c>
      <c r="E220" s="1">
        <v>5.4780000000000002E-2</v>
      </c>
      <c r="F220" s="1">
        <v>0</v>
      </c>
      <c r="G220" s="1">
        <v>-0.26212000000000002</v>
      </c>
      <c r="H220" s="1">
        <v>0</v>
      </c>
      <c r="I220" s="1">
        <v>0</v>
      </c>
      <c r="J220" s="1">
        <v>0</v>
      </c>
      <c r="K220" s="1">
        <v>92.601299999999995</v>
      </c>
      <c r="L220" s="1">
        <v>0.65529999999999999</v>
      </c>
      <c r="N220" s="37" t="s">
        <v>351</v>
      </c>
    </row>
    <row r="221" spans="1:14" x14ac:dyDescent="0.25">
      <c r="A221" s="37">
        <v>10</v>
      </c>
      <c r="B221" s="1">
        <v>1.1630050000000001</v>
      </c>
      <c r="C221" s="1">
        <v>4.4004000000000001E-2</v>
      </c>
      <c r="D221" s="1">
        <v>1.3677E-2</v>
      </c>
      <c r="E221" s="1">
        <v>5.7680000000000002E-2</v>
      </c>
      <c r="F221" s="1">
        <v>0</v>
      </c>
      <c r="G221" s="1">
        <v>-0.27663399999999999</v>
      </c>
      <c r="H221" s="1">
        <v>0</v>
      </c>
      <c r="I221" s="1">
        <v>0</v>
      </c>
      <c r="J221" s="1">
        <v>0</v>
      </c>
      <c r="K221" s="1">
        <v>92.601299999999995</v>
      </c>
      <c r="L221" s="1">
        <v>0.66239999999999999</v>
      </c>
      <c r="N221" s="37" t="s">
        <v>352</v>
      </c>
    </row>
    <row r="222" spans="1:14" x14ac:dyDescent="0.25">
      <c r="A222" s="37">
        <v>10.5</v>
      </c>
      <c r="B222" s="1">
        <v>1.2125060000000001</v>
      </c>
      <c r="C222" s="1">
        <v>4.7642999999999998E-2</v>
      </c>
      <c r="D222" s="1">
        <v>1.4382000000000001E-2</v>
      </c>
      <c r="E222" s="1">
        <v>6.2024000000000003E-2</v>
      </c>
      <c r="F222" s="1">
        <v>0</v>
      </c>
      <c r="G222" s="1">
        <v>-0.28535899999999997</v>
      </c>
      <c r="H222" s="1">
        <v>0</v>
      </c>
      <c r="I222" s="1">
        <v>0</v>
      </c>
      <c r="J222" s="1">
        <v>0</v>
      </c>
      <c r="K222" s="1">
        <v>92.601299999999995</v>
      </c>
      <c r="L222" s="1">
        <v>0.66400000000000003</v>
      </c>
      <c r="N222" s="37" t="s">
        <v>353</v>
      </c>
    </row>
    <row r="223" spans="1:14" x14ac:dyDescent="0.25">
      <c r="A223" s="37">
        <v>11</v>
      </c>
      <c r="B223" s="1">
        <v>1.261134</v>
      </c>
      <c r="C223" s="1">
        <v>5.1541999999999998E-2</v>
      </c>
      <c r="D223" s="1">
        <v>1.5119E-2</v>
      </c>
      <c r="E223" s="1">
        <v>6.6661999999999999E-2</v>
      </c>
      <c r="F223" s="1">
        <v>0</v>
      </c>
      <c r="G223" s="1">
        <v>-0.291157</v>
      </c>
      <c r="H223" s="1">
        <v>0</v>
      </c>
      <c r="I223" s="1">
        <v>0</v>
      </c>
      <c r="J223" s="1">
        <v>0</v>
      </c>
      <c r="K223" s="1">
        <v>92.601299999999995</v>
      </c>
      <c r="L223" s="1">
        <v>0.66320000000000001</v>
      </c>
      <c r="N223" s="37" t="s">
        <v>354</v>
      </c>
    </row>
    <row r="224" spans="1:14" x14ac:dyDescent="0.25">
      <c r="A224" s="37">
        <v>11.5</v>
      </c>
      <c r="B224" s="1">
        <v>1.311121</v>
      </c>
      <c r="C224" s="1">
        <v>5.5775999999999999E-2</v>
      </c>
      <c r="D224" s="1">
        <v>1.5931000000000001E-2</v>
      </c>
      <c r="E224" s="1">
        <v>7.1707000000000007E-2</v>
      </c>
      <c r="F224" s="1">
        <v>0</v>
      </c>
      <c r="G224" s="1">
        <v>-0.29977100000000001</v>
      </c>
      <c r="H224" s="1">
        <v>0</v>
      </c>
      <c r="I224" s="1">
        <v>0</v>
      </c>
      <c r="J224" s="1">
        <v>0</v>
      </c>
      <c r="K224" s="1">
        <v>92.601299999999995</v>
      </c>
      <c r="L224" s="1">
        <v>0.6653</v>
      </c>
      <c r="N224" s="37" t="s">
        <v>355</v>
      </c>
    </row>
    <row r="225" spans="1:14" x14ac:dyDescent="0.25">
      <c r="A225" s="37">
        <v>12</v>
      </c>
      <c r="B225" s="1">
        <v>1.36046</v>
      </c>
      <c r="C225" s="1">
        <v>6.0089999999999998E-2</v>
      </c>
      <c r="D225" s="1">
        <v>1.6795000000000001E-2</v>
      </c>
      <c r="E225" s="1">
        <v>7.6884999999999995E-2</v>
      </c>
      <c r="F225" s="1">
        <v>0</v>
      </c>
      <c r="G225" s="1">
        <v>-0.30587900000000001</v>
      </c>
      <c r="H225" s="1">
        <v>0</v>
      </c>
      <c r="I225" s="1">
        <v>0</v>
      </c>
      <c r="J225" s="1">
        <v>0</v>
      </c>
      <c r="K225" s="1">
        <v>92.601299999999995</v>
      </c>
      <c r="L225" s="1">
        <v>0.66559999999999997</v>
      </c>
      <c r="N225" s="37" t="s">
        <v>356</v>
      </c>
    </row>
    <row r="226" spans="1:14" x14ac:dyDescent="0.25">
      <c r="A226" s="37">
        <v>12.5</v>
      </c>
      <c r="B226" s="1">
        <v>1.409672</v>
      </c>
      <c r="C226" s="1">
        <v>6.4544000000000004E-2</v>
      </c>
      <c r="D226" s="1">
        <v>1.7735999999999998E-2</v>
      </c>
      <c r="E226" s="1">
        <v>8.2280000000000006E-2</v>
      </c>
      <c r="F226" s="1">
        <v>0</v>
      </c>
      <c r="G226" s="1">
        <v>-0.31091099999999999</v>
      </c>
      <c r="H226" s="1">
        <v>0</v>
      </c>
      <c r="I226" s="1">
        <v>0</v>
      </c>
      <c r="J226" s="1">
        <v>0</v>
      </c>
      <c r="K226" s="1">
        <v>92.601299999999995</v>
      </c>
      <c r="L226" s="1">
        <v>0.66549999999999998</v>
      </c>
      <c r="N226" s="37" t="s">
        <v>357</v>
      </c>
    </row>
    <row r="227" spans="1:14" x14ac:dyDescent="0.25">
      <c r="A227" s="37">
        <v>13</v>
      </c>
      <c r="B227" s="1">
        <v>1.458831</v>
      </c>
      <c r="C227" s="1">
        <v>6.9147E-2</v>
      </c>
      <c r="D227" s="1">
        <v>1.8749999999999999E-2</v>
      </c>
      <c r="E227" s="1">
        <v>8.7898000000000004E-2</v>
      </c>
      <c r="F227" s="1">
        <v>0</v>
      </c>
      <c r="G227" s="1">
        <v>-0.31506200000000001</v>
      </c>
      <c r="H227" s="1">
        <v>0</v>
      </c>
      <c r="I227" s="1">
        <v>0</v>
      </c>
      <c r="J227" s="1">
        <v>0</v>
      </c>
      <c r="K227" s="1">
        <v>92.601299999999995</v>
      </c>
      <c r="L227" s="1">
        <v>0.66510000000000002</v>
      </c>
      <c r="N227" s="37" t="s">
        <v>358</v>
      </c>
    </row>
    <row r="228" spans="1:14" x14ac:dyDescent="0.25">
      <c r="A228" s="37">
        <v>13.5</v>
      </c>
      <c r="B228" s="1">
        <v>1.5079640000000001</v>
      </c>
      <c r="C228" s="1">
        <v>7.3901999999999995E-2</v>
      </c>
      <c r="D228" s="1">
        <v>1.9792000000000001E-2</v>
      </c>
      <c r="E228" s="1">
        <v>9.3695000000000001E-2</v>
      </c>
      <c r="F228" s="1">
        <v>0</v>
      </c>
      <c r="G228" s="1">
        <v>-0.31837399999999999</v>
      </c>
      <c r="H228" s="1">
        <v>0</v>
      </c>
      <c r="I228" s="1">
        <v>0</v>
      </c>
      <c r="J228" s="1">
        <v>0</v>
      </c>
      <c r="K228" s="1">
        <v>92.601299999999995</v>
      </c>
      <c r="L228" s="1">
        <v>0.66449999999999998</v>
      </c>
      <c r="N228" s="37" t="s">
        <v>359</v>
      </c>
    </row>
    <row r="229" spans="1:14" x14ac:dyDescent="0.25">
      <c r="A229" s="37">
        <v>14</v>
      </c>
      <c r="B229" s="1">
        <v>1.557083</v>
      </c>
      <c r="C229" s="1">
        <v>7.8810000000000005E-2</v>
      </c>
      <c r="D229" s="1">
        <v>2.0882000000000001E-2</v>
      </c>
      <c r="E229" s="1">
        <v>9.9692000000000003E-2</v>
      </c>
      <c r="F229" s="1">
        <v>0</v>
      </c>
      <c r="G229" s="1">
        <v>-0.32086599999999998</v>
      </c>
      <c r="H229" s="1">
        <v>0</v>
      </c>
      <c r="I229" s="1">
        <v>0</v>
      </c>
      <c r="J229" s="1">
        <v>0</v>
      </c>
      <c r="K229" s="1">
        <v>92.601299999999995</v>
      </c>
      <c r="L229" s="1">
        <v>0.66369999999999996</v>
      </c>
      <c r="N229" s="37" t="s">
        <v>360</v>
      </c>
    </row>
    <row r="230" spans="1:14" x14ac:dyDescent="0.25">
      <c r="A230" s="37">
        <v>14.5</v>
      </c>
      <c r="B230" s="1">
        <v>1.6061890000000001</v>
      </c>
      <c r="C230" s="1">
        <v>8.387E-2</v>
      </c>
      <c r="D230" s="1">
        <v>2.2048000000000002E-2</v>
      </c>
      <c r="E230" s="1">
        <v>0.105918</v>
      </c>
      <c r="F230" s="1">
        <v>0</v>
      </c>
      <c r="G230" s="1">
        <v>-0.32253300000000001</v>
      </c>
      <c r="H230" s="1">
        <v>0</v>
      </c>
      <c r="I230" s="1">
        <v>0</v>
      </c>
      <c r="J230" s="1">
        <v>0</v>
      </c>
      <c r="K230" s="1">
        <v>92.601299999999995</v>
      </c>
      <c r="L230" s="1">
        <v>0.66279999999999994</v>
      </c>
      <c r="N230" s="37" t="s">
        <v>361</v>
      </c>
    </row>
    <row r="231" spans="1:14" x14ac:dyDescent="0.25">
      <c r="A231" s="37">
        <v>15</v>
      </c>
      <c r="B231" s="1">
        <v>1.6552830000000001</v>
      </c>
      <c r="C231" s="1">
        <v>8.9081999999999995E-2</v>
      </c>
      <c r="D231" s="1">
        <v>2.3401000000000002E-2</v>
      </c>
      <c r="E231" s="1">
        <v>0.112484</v>
      </c>
      <c r="F231" s="1">
        <v>0</v>
      </c>
      <c r="G231" s="1">
        <v>-0.32338099999999997</v>
      </c>
      <c r="H231" s="1">
        <v>0</v>
      </c>
      <c r="I231" s="1">
        <v>0</v>
      </c>
      <c r="J231" s="1">
        <v>0</v>
      </c>
      <c r="K231" s="1">
        <v>92.601299999999995</v>
      </c>
      <c r="L231" s="1">
        <v>0.66180000000000005</v>
      </c>
    </row>
    <row r="234" spans="1:14" x14ac:dyDescent="0.25">
      <c r="A234" s="13" t="s">
        <v>362</v>
      </c>
    </row>
    <row r="235" spans="1:14" x14ac:dyDescent="0.25">
      <c r="A235" s="44" t="s">
        <v>119</v>
      </c>
      <c r="B235">
        <f>MATCH($B$7,B240:B276,1)+ROW()+4</f>
        <v>252</v>
      </c>
      <c r="F235" s="21" t="s">
        <v>736</v>
      </c>
      <c r="G235">
        <f>MATCH(0,G240:G276,-1)+ROW()+4</f>
        <v>243</v>
      </c>
    </row>
    <row r="236" spans="1:14" x14ac:dyDescent="0.25">
      <c r="A236" s="45" t="s">
        <v>186</v>
      </c>
      <c r="B236">
        <f ca="1">INDIRECT(CONCATENATE("C",B235+1)) - (INDIRECT(CONCATENATE("B",B235+1))-$B$7) / (INDIRECT(CONCATENATE("B",B235+1))-INDIRECT(CONCATENATE("B",B235))) * (INDIRECT(CONCATENATE("C",B235+1)) - INDIRECT(CONCATENATE("C",B235)) )</f>
        <v>8.5360869242686477E-3</v>
      </c>
      <c r="F236" s="21" t="s">
        <v>737</v>
      </c>
      <c r="G236" s="1">
        <f ca="1">INDIRECT(CONCATENATE("B",G235+1)) - (INDIRECT(CONCATENATE("B",G235+1))-INDIRECT(CONCATENATE("B",G235))) / (INDIRECT(CONCATENATE("G",G235+1))-INDIRECT(CONCATENATE("G",G235))) * (INDIRECT(CONCATENATE("G",G235+1)) - 0)</f>
        <v>0.10114541017618969</v>
      </c>
    </row>
    <row r="237" spans="1:14" x14ac:dyDescent="0.25">
      <c r="A237" s="13" t="s">
        <v>2</v>
      </c>
      <c r="B237" s="13">
        <f ca="1">$B$7^2/(PI()*$B$2*B236)</f>
        <v>0.98921279045511368</v>
      </c>
      <c r="N237" s="37" t="s">
        <v>146</v>
      </c>
    </row>
    <row r="238" spans="1:14" x14ac:dyDescent="0.25">
      <c r="N238" s="37" t="s">
        <v>147</v>
      </c>
    </row>
    <row r="239" spans="1:14" x14ac:dyDescent="0.25">
      <c r="A239" s="1" t="s">
        <v>128</v>
      </c>
      <c r="B239" s="1" t="s">
        <v>118</v>
      </c>
      <c r="C239" s="1" t="s">
        <v>149</v>
      </c>
      <c r="D239" s="1" t="s">
        <v>150</v>
      </c>
      <c r="E239" s="1" t="s">
        <v>151</v>
      </c>
      <c r="F239" s="1" t="s">
        <v>152</v>
      </c>
      <c r="G239" s="1" t="s">
        <v>153</v>
      </c>
      <c r="H239" s="1" t="s">
        <v>154</v>
      </c>
      <c r="I239" s="1" t="s">
        <v>155</v>
      </c>
      <c r="J239" s="1" t="s">
        <v>156</v>
      </c>
      <c r="K239" s="1" t="s">
        <v>157</v>
      </c>
      <c r="L239" s="1" t="s">
        <v>158</v>
      </c>
      <c r="N239" s="37" t="s">
        <v>363</v>
      </c>
    </row>
    <row r="240" spans="1:14" x14ac:dyDescent="0.25">
      <c r="A240" s="37">
        <v>-3</v>
      </c>
      <c r="B240" s="1">
        <v>-9.2047000000000004E-2</v>
      </c>
      <c r="C240" s="1">
        <v>6.5499999999999998E-4</v>
      </c>
      <c r="D240" s="1">
        <v>7.554E-3</v>
      </c>
      <c r="E240" s="1">
        <v>8.2089999999999993E-3</v>
      </c>
      <c r="F240" s="1">
        <v>0</v>
      </c>
      <c r="G240" s="1">
        <v>7.3736999999999997E-2</v>
      </c>
      <c r="H240" s="1">
        <v>0</v>
      </c>
      <c r="I240" s="1">
        <v>0</v>
      </c>
      <c r="J240" s="1">
        <v>0</v>
      </c>
      <c r="K240" s="1">
        <v>92.601299999999995</v>
      </c>
      <c r="L240" s="1">
        <v>1.2932999999999999</v>
      </c>
      <c r="N240" s="37" t="s">
        <v>364</v>
      </c>
    </row>
    <row r="241" spans="1:14" x14ac:dyDescent="0.25">
      <c r="A241" s="37">
        <v>-2.5</v>
      </c>
      <c r="B241" s="1">
        <v>-4.2995999999999999E-2</v>
      </c>
      <c r="C241" s="1">
        <v>3.6900000000000002E-4</v>
      </c>
      <c r="D241" s="1">
        <v>7.3439999999999998E-3</v>
      </c>
      <c r="E241" s="1">
        <v>7.7130000000000002E-3</v>
      </c>
      <c r="F241" s="1">
        <v>0</v>
      </c>
      <c r="G241" s="1">
        <v>5.4566999999999997E-2</v>
      </c>
      <c r="H241" s="1">
        <v>0</v>
      </c>
      <c r="I241" s="1">
        <v>0</v>
      </c>
      <c r="J241" s="1">
        <v>0</v>
      </c>
      <c r="K241" s="1">
        <v>92.601299999999995</v>
      </c>
      <c r="L241" s="1">
        <v>1.8795999999999999</v>
      </c>
      <c r="N241" s="37" t="s">
        <v>365</v>
      </c>
    </row>
    <row r="242" spans="1:14" x14ac:dyDescent="0.25">
      <c r="A242" s="37">
        <v>-2</v>
      </c>
      <c r="B242" s="1">
        <v>6.0489999999999997E-3</v>
      </c>
      <c r="C242" s="1">
        <v>2.42E-4</v>
      </c>
      <c r="D242" s="1">
        <v>7.1419999999999999E-3</v>
      </c>
      <c r="E242" s="1">
        <v>7.3839999999999999E-3</v>
      </c>
      <c r="F242" s="1">
        <v>0</v>
      </c>
      <c r="G242" s="1">
        <v>3.5685000000000001E-2</v>
      </c>
      <c r="H242" s="1">
        <v>0</v>
      </c>
      <c r="I242" s="1">
        <v>0</v>
      </c>
      <c r="J242" s="1">
        <v>0</v>
      </c>
      <c r="K242" s="1">
        <v>92.601299999999995</v>
      </c>
      <c r="L242" s="1">
        <v>-7.0848000000000004</v>
      </c>
      <c r="N242" s="37" t="s">
        <v>366</v>
      </c>
    </row>
    <row r="243" spans="1:14" x14ac:dyDescent="0.25">
      <c r="A243" s="37">
        <v>-1.5</v>
      </c>
      <c r="B243" s="1">
        <v>5.5084000000000001E-2</v>
      </c>
      <c r="C243" s="1">
        <v>2.72E-4</v>
      </c>
      <c r="D243" s="1">
        <v>6.9239999999999996E-3</v>
      </c>
      <c r="E243" s="1">
        <v>7.1960000000000001E-3</v>
      </c>
      <c r="F243" s="1">
        <v>0</v>
      </c>
      <c r="G243" s="1">
        <v>1.7118000000000001E-2</v>
      </c>
      <c r="H243" s="1">
        <v>0</v>
      </c>
      <c r="I243" s="1">
        <v>0</v>
      </c>
      <c r="J243" s="1">
        <v>0</v>
      </c>
      <c r="K243" s="1">
        <v>92.601299999999995</v>
      </c>
      <c r="L243" s="1">
        <v>-9.3799999999999994E-2</v>
      </c>
      <c r="N243" s="37" t="s">
        <v>367</v>
      </c>
    </row>
    <row r="244" spans="1:14" x14ac:dyDescent="0.25">
      <c r="A244" s="37">
        <v>-1</v>
      </c>
      <c r="B244" s="1">
        <v>0.10410800000000001</v>
      </c>
      <c r="C244" s="1">
        <v>4.6000000000000001E-4</v>
      </c>
      <c r="D244" s="1">
        <v>6.7080000000000004E-3</v>
      </c>
      <c r="E244" s="1">
        <v>7.1679999999999999E-3</v>
      </c>
      <c r="F244" s="1">
        <v>0</v>
      </c>
      <c r="G244" s="1">
        <v>-1.101E-3</v>
      </c>
      <c r="H244" s="1">
        <v>0</v>
      </c>
      <c r="I244" s="1">
        <v>0</v>
      </c>
      <c r="J244" s="1">
        <v>0</v>
      </c>
      <c r="K244" s="1">
        <v>92.601299999999995</v>
      </c>
      <c r="L244" s="1">
        <v>0.30969999999999998</v>
      </c>
      <c r="N244" s="37" t="s">
        <v>368</v>
      </c>
    </row>
    <row r="245" spans="1:14" x14ac:dyDescent="0.25">
      <c r="A245" s="37">
        <v>-0.5</v>
      </c>
      <c r="B245" s="1">
        <v>0.15312000000000001</v>
      </c>
      <c r="C245" s="1">
        <v>8.0699999999999999E-4</v>
      </c>
      <c r="D245" s="1">
        <v>6.4380000000000001E-3</v>
      </c>
      <c r="E245" s="1">
        <v>7.2449999999999997E-3</v>
      </c>
      <c r="F245" s="1">
        <v>0</v>
      </c>
      <c r="G245" s="1">
        <v>-1.8943000000000002E-2</v>
      </c>
      <c r="H245" s="1">
        <v>0</v>
      </c>
      <c r="I245" s="1">
        <v>0</v>
      </c>
      <c r="J245" s="1">
        <v>0</v>
      </c>
      <c r="K245" s="1">
        <v>92.601299999999995</v>
      </c>
      <c r="L245" s="1">
        <v>0.45290000000000002</v>
      </c>
      <c r="N245" s="37" t="s">
        <v>369</v>
      </c>
    </row>
    <row r="246" spans="1:14" x14ac:dyDescent="0.25">
      <c r="A246" s="37">
        <v>0</v>
      </c>
      <c r="B246" s="1">
        <v>0.20211799999999999</v>
      </c>
      <c r="C246" s="1">
        <v>1.312E-3</v>
      </c>
      <c r="D246" s="1">
        <v>6.13E-3</v>
      </c>
      <c r="E246" s="1">
        <v>7.4409999999999997E-3</v>
      </c>
      <c r="F246" s="1">
        <v>0</v>
      </c>
      <c r="G246" s="1">
        <v>-3.6379000000000002E-2</v>
      </c>
      <c r="H246" s="1">
        <v>0</v>
      </c>
      <c r="I246" s="1">
        <v>0</v>
      </c>
      <c r="J246" s="1">
        <v>0</v>
      </c>
      <c r="K246" s="1">
        <v>92.601299999999995</v>
      </c>
      <c r="L246" s="1">
        <v>0.5252</v>
      </c>
      <c r="N246" s="37" t="s">
        <v>370</v>
      </c>
    </row>
    <row r="247" spans="1:14" x14ac:dyDescent="0.25">
      <c r="A247" s="37">
        <v>0.5</v>
      </c>
      <c r="B247" s="1">
        <v>0.25109900000000002</v>
      </c>
      <c r="C247" s="1">
        <v>1.9750000000000002E-3</v>
      </c>
      <c r="D247" s="1">
        <v>5.6290000000000003E-3</v>
      </c>
      <c r="E247" s="1">
        <v>7.6039999999999996E-3</v>
      </c>
      <c r="F247" s="1">
        <v>0</v>
      </c>
      <c r="G247" s="1">
        <v>-5.3350000000000002E-2</v>
      </c>
      <c r="H247" s="1">
        <v>0</v>
      </c>
      <c r="I247" s="1">
        <v>0</v>
      </c>
      <c r="J247" s="1">
        <v>0</v>
      </c>
      <c r="K247" s="1">
        <v>92.601299999999995</v>
      </c>
      <c r="L247" s="1">
        <v>0.56810000000000005</v>
      </c>
      <c r="N247" s="37" t="s">
        <v>371</v>
      </c>
    </row>
    <row r="248" spans="1:14" x14ac:dyDescent="0.25">
      <c r="A248" s="37">
        <v>1</v>
      </c>
      <c r="B248" s="1">
        <v>0.30006100000000002</v>
      </c>
      <c r="C248" s="1">
        <v>2.7980000000000001E-3</v>
      </c>
      <c r="D248" s="1">
        <v>4.8310000000000002E-3</v>
      </c>
      <c r="E248" s="1">
        <v>7.6290000000000004E-3</v>
      </c>
      <c r="F248" s="1">
        <v>0</v>
      </c>
      <c r="G248" s="1">
        <v>-6.9807999999999995E-2</v>
      </c>
      <c r="H248" s="1">
        <v>0</v>
      </c>
      <c r="I248" s="1">
        <v>0</v>
      </c>
      <c r="J248" s="1">
        <v>0</v>
      </c>
      <c r="K248" s="1">
        <v>92.601299999999995</v>
      </c>
      <c r="L248" s="1">
        <v>0.59599999999999997</v>
      </c>
      <c r="N248" s="37" t="s">
        <v>372</v>
      </c>
    </row>
    <row r="249" spans="1:14" x14ac:dyDescent="0.25">
      <c r="A249" s="37">
        <v>1.5</v>
      </c>
      <c r="B249" s="1">
        <v>0.34900399999999998</v>
      </c>
      <c r="C249" s="1">
        <v>3.7789999999999998E-3</v>
      </c>
      <c r="D249" s="1">
        <v>4.1999999999999997E-3</v>
      </c>
      <c r="E249" s="1">
        <v>7.9780000000000007E-3</v>
      </c>
      <c r="F249" s="1">
        <v>0</v>
      </c>
      <c r="G249" s="1">
        <v>-8.5841000000000001E-2</v>
      </c>
      <c r="H249" s="1">
        <v>0</v>
      </c>
      <c r="I249" s="1">
        <v>0</v>
      </c>
      <c r="J249" s="1">
        <v>0</v>
      </c>
      <c r="K249" s="1">
        <v>92.601299999999995</v>
      </c>
      <c r="L249" s="1">
        <v>0.61509999999999998</v>
      </c>
      <c r="N249" s="37" t="s">
        <v>373</v>
      </c>
    </row>
    <row r="250" spans="1:14" x14ac:dyDescent="0.25">
      <c r="A250" s="37">
        <v>2</v>
      </c>
      <c r="B250" s="1">
        <v>0.39792499999999997</v>
      </c>
      <c r="C250" s="1">
        <v>4.9189999999999998E-3</v>
      </c>
      <c r="D250" s="1">
        <v>4.1370000000000001E-3</v>
      </c>
      <c r="E250" s="1">
        <v>9.0559999999999998E-3</v>
      </c>
      <c r="F250" s="1">
        <v>0</v>
      </c>
      <c r="G250" s="1">
        <v>-0.10151399999999999</v>
      </c>
      <c r="H250" s="1">
        <v>0</v>
      </c>
      <c r="I250" s="1">
        <v>0</v>
      </c>
      <c r="J250" s="1">
        <v>0</v>
      </c>
      <c r="K250" s="1">
        <v>92.601299999999995</v>
      </c>
      <c r="L250" s="1">
        <v>0.62870000000000004</v>
      </c>
      <c r="N250" s="37" t="s">
        <v>374</v>
      </c>
    </row>
    <row r="251" spans="1:14" x14ac:dyDescent="0.25">
      <c r="A251" s="37">
        <v>2.5</v>
      </c>
      <c r="B251" s="1">
        <v>0.44682100000000002</v>
      </c>
      <c r="C251" s="1">
        <v>6.2179999999999996E-3</v>
      </c>
      <c r="D251" s="1">
        <v>4.15E-3</v>
      </c>
      <c r="E251" s="1">
        <v>1.0368E-2</v>
      </c>
      <c r="F251" s="1">
        <v>0</v>
      </c>
      <c r="G251" s="1">
        <v>-0.11668000000000001</v>
      </c>
      <c r="H251" s="1">
        <v>0</v>
      </c>
      <c r="I251" s="1">
        <v>0</v>
      </c>
      <c r="J251" s="1">
        <v>0</v>
      </c>
      <c r="K251" s="1">
        <v>92.601299999999995</v>
      </c>
      <c r="L251" s="1">
        <v>0.63849999999999996</v>
      </c>
      <c r="N251" s="37" t="s">
        <v>375</v>
      </c>
    </row>
    <row r="252" spans="1:14" x14ac:dyDescent="0.25">
      <c r="A252" s="37">
        <v>3</v>
      </c>
      <c r="B252" s="1">
        <v>0.49569200000000002</v>
      </c>
      <c r="C252" s="1">
        <v>7.6750000000000004E-3</v>
      </c>
      <c r="D252" s="1">
        <v>4.3829999999999997E-3</v>
      </c>
      <c r="E252" s="1">
        <v>1.2059E-2</v>
      </c>
      <c r="F252" s="1">
        <v>0</v>
      </c>
      <c r="G252" s="1">
        <v>-0.13136</v>
      </c>
      <c r="H252" s="1">
        <v>0</v>
      </c>
      <c r="I252" s="1">
        <v>0</v>
      </c>
      <c r="J252" s="1">
        <v>0</v>
      </c>
      <c r="K252" s="1">
        <v>92.601299999999995</v>
      </c>
      <c r="L252" s="1">
        <v>0.64580000000000004</v>
      </c>
      <c r="N252" s="37" t="s">
        <v>376</v>
      </c>
    </row>
    <row r="253" spans="1:14" x14ac:dyDescent="0.25">
      <c r="A253" s="37">
        <v>3.5</v>
      </c>
      <c r="B253" s="1">
        <v>0.54453600000000002</v>
      </c>
      <c r="C253" s="1">
        <v>9.2919999999999999E-3</v>
      </c>
      <c r="D253" s="1">
        <v>5.0740000000000004E-3</v>
      </c>
      <c r="E253" s="1">
        <v>1.4366E-2</v>
      </c>
      <c r="F253" s="1">
        <v>0</v>
      </c>
      <c r="G253" s="1">
        <v>-0.14558599999999999</v>
      </c>
      <c r="H253" s="1">
        <v>0</v>
      </c>
      <c r="I253" s="1">
        <v>0</v>
      </c>
      <c r="J253" s="1">
        <v>0</v>
      </c>
      <c r="K253" s="1">
        <v>92.601299999999995</v>
      </c>
      <c r="L253" s="1">
        <v>0.65110000000000001</v>
      </c>
      <c r="N253" s="37" t="s">
        <v>377</v>
      </c>
    </row>
    <row r="254" spans="1:14" x14ac:dyDescent="0.25">
      <c r="A254" s="37">
        <v>4</v>
      </c>
      <c r="B254" s="1">
        <v>0.59335000000000004</v>
      </c>
      <c r="C254" s="1">
        <v>1.1069000000000001E-2</v>
      </c>
      <c r="D254" s="1">
        <v>6.0910000000000001E-3</v>
      </c>
      <c r="E254" s="1">
        <v>1.7160000000000002E-2</v>
      </c>
      <c r="F254" s="1">
        <v>0</v>
      </c>
      <c r="G254" s="1">
        <v>-0.15929099999999999</v>
      </c>
      <c r="H254" s="1">
        <v>0</v>
      </c>
      <c r="I254" s="1">
        <v>0</v>
      </c>
      <c r="J254" s="1">
        <v>0</v>
      </c>
      <c r="K254" s="1">
        <v>92.601299999999995</v>
      </c>
      <c r="L254" s="1">
        <v>0.65490000000000004</v>
      </c>
      <c r="N254" s="37" t="s">
        <v>378</v>
      </c>
    </row>
    <row r="255" spans="1:14" x14ac:dyDescent="0.25">
      <c r="A255" s="37">
        <v>4.5</v>
      </c>
      <c r="B255" s="1">
        <v>0.64213200000000004</v>
      </c>
      <c r="C255" s="1">
        <v>1.3004999999999999E-2</v>
      </c>
      <c r="D255" s="1">
        <v>6.9979999999999999E-3</v>
      </c>
      <c r="E255" s="1">
        <v>2.0003E-2</v>
      </c>
      <c r="F255" s="1">
        <v>0</v>
      </c>
      <c r="G255" s="1">
        <v>-0.17235500000000001</v>
      </c>
      <c r="H255" s="1">
        <v>0</v>
      </c>
      <c r="I255" s="1">
        <v>0</v>
      </c>
      <c r="J255" s="1">
        <v>0</v>
      </c>
      <c r="K255" s="1">
        <v>92.601299999999995</v>
      </c>
      <c r="L255" s="1">
        <v>0.65759999999999996</v>
      </c>
      <c r="N255" s="37" t="s">
        <v>379</v>
      </c>
    </row>
    <row r="256" spans="1:14" x14ac:dyDescent="0.25">
      <c r="A256" s="37">
        <v>5</v>
      </c>
      <c r="B256" s="1">
        <v>0.690882</v>
      </c>
      <c r="C256" s="1">
        <v>1.5103999999999999E-2</v>
      </c>
      <c r="D256" s="1">
        <v>7.7400000000000004E-3</v>
      </c>
      <c r="E256" s="1">
        <v>2.2844E-2</v>
      </c>
      <c r="F256" s="1">
        <v>0</v>
      </c>
      <c r="G256" s="1">
        <v>-0.18474299999999999</v>
      </c>
      <c r="H256" s="1">
        <v>0</v>
      </c>
      <c r="I256" s="1">
        <v>0</v>
      </c>
      <c r="J256" s="1">
        <v>0</v>
      </c>
      <c r="K256" s="1">
        <v>92.601299999999995</v>
      </c>
      <c r="L256" s="1">
        <v>0.6593</v>
      </c>
      <c r="N256" s="37" t="s">
        <v>380</v>
      </c>
    </row>
    <row r="257" spans="1:14" x14ac:dyDescent="0.25">
      <c r="A257" s="37">
        <v>5.5</v>
      </c>
      <c r="B257" s="1">
        <v>0.73959799999999998</v>
      </c>
      <c r="C257" s="1">
        <v>1.7371999999999999E-2</v>
      </c>
      <c r="D257" s="1">
        <v>8.3990000000000002E-3</v>
      </c>
      <c r="E257" s="1">
        <v>2.5770999999999999E-2</v>
      </c>
      <c r="F257" s="1">
        <v>0</v>
      </c>
      <c r="G257" s="1">
        <v>-0.19645299999999999</v>
      </c>
      <c r="H257" s="1">
        <v>0</v>
      </c>
      <c r="I257" s="1">
        <v>0</v>
      </c>
      <c r="J257" s="1">
        <v>0</v>
      </c>
      <c r="K257" s="1">
        <v>92.601299999999995</v>
      </c>
      <c r="L257" s="1">
        <v>0.6603</v>
      </c>
      <c r="N257" s="37" t="s">
        <v>381</v>
      </c>
    </row>
    <row r="258" spans="1:14" x14ac:dyDescent="0.25">
      <c r="A258" s="37">
        <v>6</v>
      </c>
      <c r="B258" s="1">
        <v>0.78828200000000004</v>
      </c>
      <c r="C258" s="1">
        <v>1.9831000000000001E-2</v>
      </c>
      <c r="D258" s="1">
        <v>8.9809999999999994E-3</v>
      </c>
      <c r="E258" s="1">
        <v>2.8812000000000001E-2</v>
      </c>
      <c r="F258" s="1">
        <v>0</v>
      </c>
      <c r="G258" s="1">
        <v>-0.207457</v>
      </c>
      <c r="H258" s="1">
        <v>0</v>
      </c>
      <c r="I258" s="1">
        <v>0</v>
      </c>
      <c r="J258" s="1">
        <v>0</v>
      </c>
      <c r="K258" s="1">
        <v>92.601299999999995</v>
      </c>
      <c r="L258" s="1">
        <v>0.66069999999999995</v>
      </c>
      <c r="N258" s="37" t="s">
        <v>382</v>
      </c>
    </row>
    <row r="259" spans="1:14" x14ac:dyDescent="0.25">
      <c r="A259" s="37">
        <v>6.5</v>
      </c>
      <c r="B259" s="1">
        <v>0.836951</v>
      </c>
      <c r="C259" s="1">
        <v>2.257E-2</v>
      </c>
      <c r="D259" s="1">
        <v>9.502E-3</v>
      </c>
      <c r="E259" s="1">
        <v>3.2072000000000003E-2</v>
      </c>
      <c r="F259" s="1">
        <v>0</v>
      </c>
      <c r="G259" s="1">
        <v>-0.217723</v>
      </c>
      <c r="H259" s="1">
        <v>0</v>
      </c>
      <c r="I259" s="1">
        <v>0</v>
      </c>
      <c r="J259" s="1">
        <v>0</v>
      </c>
      <c r="K259" s="1">
        <v>92.601299999999995</v>
      </c>
      <c r="L259" s="1">
        <v>0.66049999999999998</v>
      </c>
      <c r="N259" s="37" t="s">
        <v>383</v>
      </c>
    </row>
    <row r="260" spans="1:14" x14ac:dyDescent="0.25">
      <c r="A260" s="37">
        <v>7</v>
      </c>
      <c r="B260" s="1">
        <v>0.88569900000000001</v>
      </c>
      <c r="C260" s="1">
        <v>2.5929000000000001E-2</v>
      </c>
      <c r="D260" s="1">
        <v>1.0055E-2</v>
      </c>
      <c r="E260" s="1">
        <v>3.5984000000000002E-2</v>
      </c>
      <c r="F260" s="1">
        <v>0</v>
      </c>
      <c r="G260" s="1">
        <v>-0.22731199999999999</v>
      </c>
      <c r="H260" s="1">
        <v>0</v>
      </c>
      <c r="I260" s="1">
        <v>0</v>
      </c>
      <c r="J260" s="1">
        <v>0</v>
      </c>
      <c r="K260" s="1">
        <v>92.601299999999995</v>
      </c>
      <c r="L260" s="1">
        <v>0.65980000000000005</v>
      </c>
      <c r="N260" s="37" t="s">
        <v>384</v>
      </c>
    </row>
    <row r="261" spans="1:14" x14ac:dyDescent="0.25">
      <c r="A261" s="37">
        <v>7.5</v>
      </c>
      <c r="B261" s="1">
        <v>0.93391999999999997</v>
      </c>
      <c r="C261" s="1">
        <v>2.7698E-2</v>
      </c>
      <c r="D261" s="1">
        <v>1.0652E-2</v>
      </c>
      <c r="E261" s="1">
        <v>3.8350000000000002E-2</v>
      </c>
      <c r="F261" s="1">
        <v>0</v>
      </c>
      <c r="G261" s="1">
        <v>-0.23722499999999999</v>
      </c>
      <c r="H261" s="1">
        <v>0</v>
      </c>
      <c r="I261" s="1">
        <v>0</v>
      </c>
      <c r="J261" s="1">
        <v>0</v>
      </c>
      <c r="K261" s="1">
        <v>92.601299999999995</v>
      </c>
      <c r="L261" s="1">
        <v>0.66049999999999998</v>
      </c>
      <c r="N261" s="37" t="s">
        <v>385</v>
      </c>
    </row>
    <row r="262" spans="1:14" x14ac:dyDescent="0.25">
      <c r="A262" s="37">
        <v>8</v>
      </c>
      <c r="B262" s="1">
        <v>0.98237099999999999</v>
      </c>
      <c r="C262" s="1">
        <v>2.9073000000000002E-2</v>
      </c>
      <c r="D262" s="1">
        <v>1.1283E-2</v>
      </c>
      <c r="E262" s="1">
        <v>4.0356000000000003E-2</v>
      </c>
      <c r="F262" s="1">
        <v>0</v>
      </c>
      <c r="G262" s="1">
        <v>-0.25081399999999998</v>
      </c>
      <c r="H262" s="1">
        <v>0</v>
      </c>
      <c r="I262" s="1">
        <v>0</v>
      </c>
      <c r="J262" s="1">
        <v>0</v>
      </c>
      <c r="K262" s="1">
        <v>92.601299999999995</v>
      </c>
      <c r="L262" s="1">
        <v>0.66659999999999997</v>
      </c>
      <c r="N262" s="37" t="s">
        <v>386</v>
      </c>
    </row>
    <row r="263" spans="1:14" x14ac:dyDescent="0.25">
      <c r="A263" s="37">
        <v>8.5</v>
      </c>
      <c r="B263" s="1">
        <v>1.0287980000000001</v>
      </c>
      <c r="C263" s="1">
        <v>3.6423999999999998E-2</v>
      </c>
      <c r="D263" s="1">
        <v>1.1906E-2</v>
      </c>
      <c r="E263" s="1">
        <v>4.8329999999999998E-2</v>
      </c>
      <c r="F263" s="1">
        <v>0</v>
      </c>
      <c r="G263" s="1">
        <v>-0.249949</v>
      </c>
      <c r="H263" s="1">
        <v>0</v>
      </c>
      <c r="I263" s="1">
        <v>0</v>
      </c>
      <c r="J263" s="1">
        <v>0</v>
      </c>
      <c r="K263" s="1">
        <v>92.601299999999995</v>
      </c>
      <c r="L263" s="1">
        <v>0.65529999999999999</v>
      </c>
      <c r="N263" s="37" t="s">
        <v>387</v>
      </c>
    </row>
    <row r="264" spans="1:14" x14ac:dyDescent="0.25">
      <c r="A264" s="37">
        <v>9</v>
      </c>
      <c r="B264" s="1">
        <v>1.0783180000000001</v>
      </c>
      <c r="C264" s="1">
        <v>3.6486999999999999E-2</v>
      </c>
      <c r="D264" s="1">
        <v>1.2527E-2</v>
      </c>
      <c r="E264" s="1">
        <v>4.9014000000000002E-2</v>
      </c>
      <c r="F264" s="1">
        <v>0</v>
      </c>
      <c r="G264" s="1">
        <v>-0.26358199999999998</v>
      </c>
      <c r="H264" s="1">
        <v>0</v>
      </c>
      <c r="I264" s="1">
        <v>0</v>
      </c>
      <c r="J264" s="1">
        <v>0</v>
      </c>
      <c r="K264" s="1">
        <v>92.601299999999995</v>
      </c>
      <c r="L264" s="1">
        <v>0.66159999999999997</v>
      </c>
      <c r="N264" s="37" t="s">
        <v>388</v>
      </c>
    </row>
    <row r="265" spans="1:14" x14ac:dyDescent="0.25">
      <c r="A265" s="37">
        <v>9.5</v>
      </c>
      <c r="B265" s="1">
        <v>1.1249640000000001</v>
      </c>
      <c r="C265" s="1">
        <v>4.2623000000000001E-2</v>
      </c>
      <c r="D265" s="1">
        <v>1.316E-2</v>
      </c>
      <c r="E265" s="1">
        <v>5.5782999999999999E-2</v>
      </c>
      <c r="F265" s="1">
        <v>0</v>
      </c>
      <c r="G265" s="1">
        <v>-0.26349699999999998</v>
      </c>
      <c r="H265" s="1">
        <v>0</v>
      </c>
      <c r="I265" s="1">
        <v>0</v>
      </c>
      <c r="J265" s="1">
        <v>0</v>
      </c>
      <c r="K265" s="1">
        <v>92.601299999999995</v>
      </c>
      <c r="L265" s="1">
        <v>0.6532</v>
      </c>
      <c r="N265" s="37" t="s">
        <v>389</v>
      </c>
    </row>
    <row r="266" spans="1:14" x14ac:dyDescent="0.25">
      <c r="A266" s="37">
        <v>10</v>
      </c>
      <c r="B266" s="1">
        <v>1.1759109999999999</v>
      </c>
      <c r="C266" s="1">
        <v>4.4881999999999998E-2</v>
      </c>
      <c r="D266" s="1">
        <v>1.3842999999999999E-2</v>
      </c>
      <c r="E266" s="1">
        <v>5.8724999999999999E-2</v>
      </c>
      <c r="F266" s="1">
        <v>0</v>
      </c>
      <c r="G266" s="1">
        <v>-0.27792699999999998</v>
      </c>
      <c r="H266" s="1">
        <v>0</v>
      </c>
      <c r="I266" s="1">
        <v>0</v>
      </c>
      <c r="J266" s="1">
        <v>0</v>
      </c>
      <c r="K266" s="1">
        <v>92.601299999999995</v>
      </c>
      <c r="L266" s="1">
        <v>0.6603</v>
      </c>
      <c r="N266" s="37" t="s">
        <v>390</v>
      </c>
    </row>
    <row r="267" spans="1:14" x14ac:dyDescent="0.25">
      <c r="A267" s="37">
        <v>10.5</v>
      </c>
      <c r="B267" s="1">
        <v>1.2254080000000001</v>
      </c>
      <c r="C267" s="1">
        <v>4.8555000000000001E-2</v>
      </c>
      <c r="D267" s="1">
        <v>1.4553E-2</v>
      </c>
      <c r="E267" s="1">
        <v>6.3107999999999997E-2</v>
      </c>
      <c r="F267" s="1">
        <v>0</v>
      </c>
      <c r="G267" s="1">
        <v>-0.28658099999999997</v>
      </c>
      <c r="H267" s="1">
        <v>0</v>
      </c>
      <c r="I267" s="1">
        <v>0</v>
      </c>
      <c r="J267" s="1">
        <v>0</v>
      </c>
      <c r="K267" s="1">
        <v>92.601299999999995</v>
      </c>
      <c r="L267" s="1">
        <v>0.66190000000000004</v>
      </c>
      <c r="N267" s="37" t="s">
        <v>391</v>
      </c>
    </row>
    <row r="268" spans="1:14" x14ac:dyDescent="0.25">
      <c r="A268" s="37">
        <v>11</v>
      </c>
      <c r="B268" s="1">
        <v>1.2740320000000001</v>
      </c>
      <c r="C268" s="1">
        <v>5.2490000000000002E-2</v>
      </c>
      <c r="D268" s="1">
        <v>1.5301E-2</v>
      </c>
      <c r="E268" s="1">
        <v>6.7792000000000005E-2</v>
      </c>
      <c r="F268" s="1">
        <v>0</v>
      </c>
      <c r="G268" s="1">
        <v>-0.29231499999999999</v>
      </c>
      <c r="H268" s="1">
        <v>0</v>
      </c>
      <c r="I268" s="1">
        <v>0</v>
      </c>
      <c r="J268" s="1">
        <v>0</v>
      </c>
      <c r="K268" s="1">
        <v>92.601299999999995</v>
      </c>
      <c r="L268" s="1">
        <v>0.66110000000000002</v>
      </c>
      <c r="N268" s="37" t="s">
        <v>392</v>
      </c>
    </row>
    <row r="269" spans="1:14" x14ac:dyDescent="0.25">
      <c r="A269" s="37">
        <v>11.5</v>
      </c>
      <c r="B269" s="1">
        <v>1.324011</v>
      </c>
      <c r="C269" s="1">
        <v>5.6758000000000003E-2</v>
      </c>
      <c r="D269" s="1">
        <v>1.6123999999999999E-2</v>
      </c>
      <c r="E269" s="1">
        <v>7.2882000000000002E-2</v>
      </c>
      <c r="F269" s="1">
        <v>0</v>
      </c>
      <c r="G269" s="1">
        <v>-0.30085600000000001</v>
      </c>
      <c r="H269" s="1">
        <v>0</v>
      </c>
      <c r="I269" s="1">
        <v>0</v>
      </c>
      <c r="J269" s="1">
        <v>0</v>
      </c>
      <c r="K269" s="1">
        <v>92.601299999999995</v>
      </c>
      <c r="L269" s="1">
        <v>0.6633</v>
      </c>
      <c r="N269" s="37" t="s">
        <v>393</v>
      </c>
    </row>
    <row r="270" spans="1:14" x14ac:dyDescent="0.25">
      <c r="A270" s="37">
        <v>12</v>
      </c>
      <c r="B270" s="1">
        <v>1.3733420000000001</v>
      </c>
      <c r="C270" s="1">
        <v>6.1107000000000002E-2</v>
      </c>
      <c r="D270" s="1">
        <v>1.7000999999999999E-2</v>
      </c>
      <c r="E270" s="1">
        <v>7.8108999999999998E-2</v>
      </c>
      <c r="F270" s="1">
        <v>0</v>
      </c>
      <c r="G270" s="1">
        <v>-0.306894</v>
      </c>
      <c r="H270" s="1">
        <v>0</v>
      </c>
      <c r="I270" s="1">
        <v>0</v>
      </c>
      <c r="J270" s="1">
        <v>0</v>
      </c>
      <c r="K270" s="1">
        <v>92.601299999999995</v>
      </c>
      <c r="L270" s="1">
        <v>0.66369999999999996</v>
      </c>
      <c r="N270" s="37" t="s">
        <v>394</v>
      </c>
    </row>
    <row r="271" spans="1:14" x14ac:dyDescent="0.25">
      <c r="A271" s="37">
        <v>12.5</v>
      </c>
      <c r="B271" s="1">
        <v>1.4225460000000001</v>
      </c>
      <c r="C271" s="1">
        <v>6.5596000000000002E-2</v>
      </c>
      <c r="D271" s="1">
        <v>1.7957999999999998E-2</v>
      </c>
      <c r="E271" s="1">
        <v>8.3554000000000003E-2</v>
      </c>
      <c r="F271" s="1">
        <v>0</v>
      </c>
      <c r="G271" s="1">
        <v>-0.311857</v>
      </c>
      <c r="H271" s="1">
        <v>0</v>
      </c>
      <c r="I271" s="1">
        <v>0</v>
      </c>
      <c r="J271" s="1">
        <v>0</v>
      </c>
      <c r="K271" s="1">
        <v>92.601299999999995</v>
      </c>
      <c r="L271" s="1">
        <v>0.66349999999999998</v>
      </c>
      <c r="N271" s="37" t="s">
        <v>395</v>
      </c>
    </row>
    <row r="272" spans="1:14" x14ac:dyDescent="0.25">
      <c r="A272" s="37">
        <v>13</v>
      </c>
      <c r="B272" s="1">
        <v>1.471695</v>
      </c>
      <c r="C272" s="1">
        <v>7.0234000000000005E-2</v>
      </c>
      <c r="D272" s="1">
        <v>1.8984999999999998E-2</v>
      </c>
      <c r="E272" s="1">
        <v>8.9219000000000007E-2</v>
      </c>
      <c r="F272" s="1">
        <v>0</v>
      </c>
      <c r="G272" s="1">
        <v>-0.31593500000000002</v>
      </c>
      <c r="H272" s="1">
        <v>0</v>
      </c>
      <c r="I272" s="1">
        <v>0</v>
      </c>
      <c r="J272" s="1">
        <v>0</v>
      </c>
      <c r="K272" s="1">
        <v>92.601299999999995</v>
      </c>
      <c r="L272" s="1">
        <v>0.66320000000000001</v>
      </c>
      <c r="N272" s="37" t="s">
        <v>396</v>
      </c>
    </row>
    <row r="273" spans="1:14" x14ac:dyDescent="0.25">
      <c r="A273" s="37">
        <v>13.5</v>
      </c>
      <c r="B273" s="1">
        <v>1.520818</v>
      </c>
      <c r="C273" s="1">
        <v>7.5023000000000006E-2</v>
      </c>
      <c r="D273" s="1">
        <v>2.0036000000000002E-2</v>
      </c>
      <c r="E273" s="1">
        <v>9.5060000000000006E-2</v>
      </c>
      <c r="F273" s="1">
        <v>0</v>
      </c>
      <c r="G273" s="1">
        <v>-0.31917499999999999</v>
      </c>
      <c r="H273" s="1">
        <v>0</v>
      </c>
      <c r="I273" s="1">
        <v>0</v>
      </c>
      <c r="J273" s="1">
        <v>0</v>
      </c>
      <c r="K273" s="1">
        <v>92.601299999999995</v>
      </c>
      <c r="L273" s="1">
        <v>0.66259999999999997</v>
      </c>
      <c r="N273" s="37" t="s">
        <v>397</v>
      </c>
    </row>
    <row r="274" spans="1:14" x14ac:dyDescent="0.25">
      <c r="A274" s="37">
        <v>14</v>
      </c>
      <c r="B274" s="1">
        <v>1.569925</v>
      </c>
      <c r="C274" s="1">
        <v>7.9964999999999994E-2</v>
      </c>
      <c r="D274" s="1">
        <v>2.1139000000000002E-2</v>
      </c>
      <c r="E274" s="1">
        <v>0.101105</v>
      </c>
      <c r="F274" s="1">
        <v>0</v>
      </c>
      <c r="G274" s="1">
        <v>-0.32159399999999999</v>
      </c>
      <c r="H274" s="1">
        <v>0</v>
      </c>
      <c r="I274" s="1">
        <v>0</v>
      </c>
      <c r="J274" s="1">
        <v>0</v>
      </c>
      <c r="K274" s="1">
        <v>92.601299999999995</v>
      </c>
      <c r="L274" s="1">
        <v>0.66190000000000004</v>
      </c>
      <c r="N274" s="37" t="s">
        <v>398</v>
      </c>
    </row>
    <row r="275" spans="1:14" x14ac:dyDescent="0.25">
      <c r="A275" s="37">
        <v>14.5</v>
      </c>
      <c r="B275" s="1">
        <v>1.6190180000000001</v>
      </c>
      <c r="C275" s="1">
        <v>8.5059999999999997E-2</v>
      </c>
      <c r="D275" s="1">
        <v>2.2336000000000002E-2</v>
      </c>
      <c r="E275" s="1">
        <v>0.10739600000000001</v>
      </c>
      <c r="F275" s="1">
        <v>0</v>
      </c>
      <c r="G275" s="1">
        <v>-0.32318999999999998</v>
      </c>
      <c r="H275" s="1">
        <v>0</v>
      </c>
      <c r="I275" s="1">
        <v>0</v>
      </c>
      <c r="J275" s="1">
        <v>0</v>
      </c>
      <c r="K275" s="1">
        <v>92.601299999999995</v>
      </c>
      <c r="L275" s="1">
        <v>0.66100000000000003</v>
      </c>
      <c r="N275" s="37" t="s">
        <v>399</v>
      </c>
    </row>
    <row r="276" spans="1:14" x14ac:dyDescent="0.25">
      <c r="A276" s="37">
        <v>15</v>
      </c>
      <c r="B276" s="1">
        <v>1.6680969999999999</v>
      </c>
      <c r="C276" s="1">
        <v>9.0306999999999998E-2</v>
      </c>
      <c r="D276" s="1">
        <v>2.3732E-2</v>
      </c>
      <c r="E276" s="1">
        <v>0.114039</v>
      </c>
      <c r="F276" s="1">
        <v>0</v>
      </c>
      <c r="G276" s="1">
        <v>-0.32396999999999998</v>
      </c>
      <c r="H276" s="1">
        <v>0</v>
      </c>
      <c r="I276" s="1">
        <v>0</v>
      </c>
      <c r="J276" s="1">
        <v>0</v>
      </c>
      <c r="K276" s="1">
        <v>92.601299999999995</v>
      </c>
      <c r="L276" s="1">
        <v>0.66</v>
      </c>
    </row>
    <row r="279" spans="1:14" x14ac:dyDescent="0.25">
      <c r="A279" s="13" t="s">
        <v>400</v>
      </c>
    </row>
    <row r="280" spans="1:14" x14ac:dyDescent="0.25">
      <c r="A280" s="44" t="s">
        <v>119</v>
      </c>
      <c r="B280">
        <f>MATCH($B$7,B285:B321,1)+ROW()+4</f>
        <v>297</v>
      </c>
      <c r="F280" s="21" t="s">
        <v>736</v>
      </c>
      <c r="G280">
        <f>MATCH(0,G285:G321,-1)+ROW()+4</f>
        <v>288</v>
      </c>
    </row>
    <row r="281" spans="1:14" x14ac:dyDescent="0.25">
      <c r="A281" s="45" t="s">
        <v>186</v>
      </c>
      <c r="B281">
        <f ca="1">INDIRECT(CONCATENATE("C",B280+1)) - (INDIRECT(CONCATENATE("B",B280+1))-$B$7) / (INDIRECT(CONCATENATE("B",B280+1))-INDIRECT(CONCATENATE("B",B280))) * (INDIRECT(CONCATENATE("C",B280+1)) - INDIRECT(CONCATENATE("C",B280)) )</f>
        <v>8.6221306691737359E-3</v>
      </c>
      <c r="F281" s="21" t="s">
        <v>737</v>
      </c>
      <c r="G281" s="1">
        <f ca="1">INDIRECT(CONCATENATE("B",G280+1)) - (INDIRECT(CONCATENATE("B",G280+1))-INDIRECT(CONCATENATE("B",G280))) / (INDIRECT(CONCATENATE("G",G280+1))-INDIRECT(CONCATENATE("G",G280))) * (INDIRECT(CONCATENATE("G",G280+1)) - 0)</f>
        <v>7.749364158027458E-2</v>
      </c>
    </row>
    <row r="282" spans="1:14" x14ac:dyDescent="0.25">
      <c r="A282" s="13" t="s">
        <v>2</v>
      </c>
      <c r="B282" s="13">
        <f ca="1">$B$7^2/(PI()*$B$2*B281)</f>
        <v>0.97934103412659035</v>
      </c>
      <c r="N282" s="37" t="s">
        <v>146</v>
      </c>
    </row>
    <row r="283" spans="1:14" x14ac:dyDescent="0.25">
      <c r="N283" s="37" t="s">
        <v>147</v>
      </c>
    </row>
    <row r="284" spans="1:14" x14ac:dyDescent="0.25">
      <c r="A284" s="1" t="s">
        <v>128</v>
      </c>
      <c r="B284" s="1" t="s">
        <v>118</v>
      </c>
      <c r="C284" s="1" t="s">
        <v>149</v>
      </c>
      <c r="D284" s="1" t="s">
        <v>150</v>
      </c>
      <c r="E284" s="1" t="s">
        <v>151</v>
      </c>
      <c r="F284" s="1" t="s">
        <v>152</v>
      </c>
      <c r="G284" s="1" t="s">
        <v>153</v>
      </c>
      <c r="H284" s="1" t="s">
        <v>154</v>
      </c>
      <c r="I284" s="1" t="s">
        <v>155</v>
      </c>
      <c r="J284" s="1" t="s">
        <v>156</v>
      </c>
      <c r="K284" s="1" t="s">
        <v>157</v>
      </c>
      <c r="L284" s="1" t="s">
        <v>158</v>
      </c>
      <c r="N284" s="37" t="s">
        <v>401</v>
      </c>
    </row>
    <row r="285" spans="1:14" x14ac:dyDescent="0.25">
      <c r="A285" s="37">
        <v>-2.5</v>
      </c>
      <c r="B285" s="1">
        <v>-6.9943000000000005E-2</v>
      </c>
      <c r="C285" s="1">
        <v>4.15E-4</v>
      </c>
      <c r="D285" s="1">
        <v>7.4780000000000003E-3</v>
      </c>
      <c r="E285" s="1">
        <v>7.8930000000000007E-3</v>
      </c>
      <c r="F285" s="1">
        <v>0</v>
      </c>
      <c r="G285" s="1">
        <v>5.5839E-2</v>
      </c>
      <c r="H285" s="1">
        <v>0</v>
      </c>
      <c r="I285" s="1">
        <v>0</v>
      </c>
      <c r="J285" s="1">
        <v>0</v>
      </c>
      <c r="K285" s="1">
        <v>92.601299999999995</v>
      </c>
      <c r="L285" s="1">
        <v>1.2957000000000001</v>
      </c>
      <c r="N285" s="37" t="s">
        <v>402</v>
      </c>
    </row>
    <row r="286" spans="1:14" x14ac:dyDescent="0.25">
      <c r="A286" s="37">
        <v>-2</v>
      </c>
      <c r="B286" s="1">
        <v>-2.095E-2</v>
      </c>
      <c r="C286" s="1">
        <v>2.14E-4</v>
      </c>
      <c r="D286" s="1">
        <v>7.2649999999999998E-3</v>
      </c>
      <c r="E286" s="1">
        <v>7.4790000000000004E-3</v>
      </c>
      <c r="F286" s="1">
        <v>0</v>
      </c>
      <c r="G286" s="1">
        <v>3.6961000000000001E-2</v>
      </c>
      <c r="H286" s="1">
        <v>0</v>
      </c>
      <c r="I286" s="1">
        <v>0</v>
      </c>
      <c r="J286" s="1">
        <v>0</v>
      </c>
      <c r="K286" s="1">
        <v>92.601299999999995</v>
      </c>
      <c r="L286" s="1">
        <v>2.5165000000000002</v>
      </c>
      <c r="N286" s="37" t="s">
        <v>403</v>
      </c>
    </row>
    <row r="287" spans="1:14" x14ac:dyDescent="0.25">
      <c r="A287" s="37">
        <v>-1.5</v>
      </c>
      <c r="B287" s="1">
        <v>2.8034E-2</v>
      </c>
      <c r="C287" s="1">
        <v>1.7100000000000001E-4</v>
      </c>
      <c r="D287" s="1">
        <v>7.0619999999999997E-3</v>
      </c>
      <c r="E287" s="1">
        <v>7.2329999999999998E-3</v>
      </c>
      <c r="F287" s="1">
        <v>0</v>
      </c>
      <c r="G287" s="1">
        <v>1.8395999999999999E-2</v>
      </c>
      <c r="H287" s="1">
        <v>0</v>
      </c>
      <c r="I287" s="1">
        <v>0</v>
      </c>
      <c r="J287" s="1">
        <v>0</v>
      </c>
      <c r="K287" s="1">
        <v>92.601299999999995</v>
      </c>
      <c r="L287" s="1">
        <v>-0.53859999999999997</v>
      </c>
      <c r="N287" s="37" t="s">
        <v>404</v>
      </c>
    </row>
    <row r="288" spans="1:14" x14ac:dyDescent="0.25">
      <c r="A288" s="37">
        <v>-1</v>
      </c>
      <c r="B288" s="1">
        <v>7.7007999999999993E-2</v>
      </c>
      <c r="C288" s="1">
        <v>2.8600000000000001E-4</v>
      </c>
      <c r="D288" s="1">
        <v>6.8399999999999997E-3</v>
      </c>
      <c r="E288" s="1">
        <v>7.1260000000000004E-3</v>
      </c>
      <c r="F288" s="1">
        <v>0</v>
      </c>
      <c r="G288" s="1">
        <v>1.7699999999999999E-4</v>
      </c>
      <c r="H288" s="1">
        <v>0</v>
      </c>
      <c r="I288" s="1">
        <v>0</v>
      </c>
      <c r="J288" s="1">
        <v>0</v>
      </c>
      <c r="K288" s="1">
        <v>92.601299999999995</v>
      </c>
      <c r="L288" s="1">
        <v>0.2888</v>
      </c>
      <c r="N288" s="37" t="s">
        <v>405</v>
      </c>
    </row>
    <row r="289" spans="1:14" x14ac:dyDescent="0.25">
      <c r="A289" s="37">
        <v>-0.5</v>
      </c>
      <c r="B289" s="1">
        <v>0.12597</v>
      </c>
      <c r="C289" s="1">
        <v>5.5900000000000004E-4</v>
      </c>
      <c r="D289" s="1">
        <v>6.6140000000000001E-3</v>
      </c>
      <c r="E289" s="1">
        <v>7.1729999999999997E-3</v>
      </c>
      <c r="F289" s="1">
        <v>0</v>
      </c>
      <c r="G289" s="1">
        <v>-1.7668E-2</v>
      </c>
      <c r="H289" s="1">
        <v>0</v>
      </c>
      <c r="I289" s="1">
        <v>0</v>
      </c>
      <c r="J289" s="1">
        <v>0</v>
      </c>
      <c r="K289" s="1">
        <v>92.601299999999995</v>
      </c>
      <c r="L289" s="1">
        <v>0.47060000000000002</v>
      </c>
      <c r="N289" s="37" t="s">
        <v>406</v>
      </c>
    </row>
    <row r="290" spans="1:14" x14ac:dyDescent="0.25">
      <c r="A290" s="37">
        <v>0</v>
      </c>
      <c r="B290" s="1">
        <v>0.17491799999999999</v>
      </c>
      <c r="C290" s="1">
        <v>9.9099999999999991E-4</v>
      </c>
      <c r="D290" s="1">
        <v>6.3210000000000002E-3</v>
      </c>
      <c r="E290" s="1">
        <v>7.3119999999999999E-3</v>
      </c>
      <c r="F290" s="1">
        <v>0</v>
      </c>
      <c r="G290" s="1">
        <v>-3.5105999999999998E-2</v>
      </c>
      <c r="H290" s="1">
        <v>0</v>
      </c>
      <c r="I290" s="1">
        <v>0</v>
      </c>
      <c r="J290" s="1">
        <v>0</v>
      </c>
      <c r="K290" s="1">
        <v>92.601299999999995</v>
      </c>
      <c r="L290" s="1">
        <v>0.54900000000000004</v>
      </c>
      <c r="N290" s="37" t="s">
        <v>407</v>
      </c>
    </row>
    <row r="291" spans="1:14" x14ac:dyDescent="0.25">
      <c r="A291" s="37">
        <v>0.5</v>
      </c>
      <c r="B291" s="1">
        <v>0.22385099999999999</v>
      </c>
      <c r="C291" s="1">
        <v>1.5809999999999999E-3</v>
      </c>
      <c r="D291" s="1">
        <v>5.934E-3</v>
      </c>
      <c r="E291" s="1">
        <v>7.515E-3</v>
      </c>
      <c r="F291" s="1">
        <v>0</v>
      </c>
      <c r="G291" s="1">
        <v>-5.2095000000000002E-2</v>
      </c>
      <c r="H291" s="1">
        <v>0</v>
      </c>
      <c r="I291" s="1">
        <v>0</v>
      </c>
      <c r="J291" s="1">
        <v>0</v>
      </c>
      <c r="K291" s="1">
        <v>92.601299999999995</v>
      </c>
      <c r="L291" s="1">
        <v>0.5917</v>
      </c>
      <c r="N291" s="37" t="s">
        <v>408</v>
      </c>
    </row>
    <row r="292" spans="1:14" x14ac:dyDescent="0.25">
      <c r="A292" s="37">
        <v>1</v>
      </c>
      <c r="B292" s="1">
        <v>0.27276499999999998</v>
      </c>
      <c r="C292" s="1">
        <v>2.33E-3</v>
      </c>
      <c r="D292" s="1">
        <v>5.3489999999999996E-3</v>
      </c>
      <c r="E292" s="1">
        <v>7.6779999999999999E-3</v>
      </c>
      <c r="F292" s="1">
        <v>0</v>
      </c>
      <c r="G292" s="1">
        <v>-6.8593000000000001E-2</v>
      </c>
      <c r="H292" s="1">
        <v>0</v>
      </c>
      <c r="I292" s="1">
        <v>0</v>
      </c>
      <c r="J292" s="1">
        <v>0</v>
      </c>
      <c r="K292" s="1">
        <v>92.601299999999995</v>
      </c>
      <c r="L292" s="1">
        <v>0.6179</v>
      </c>
      <c r="N292" s="37" t="s">
        <v>409</v>
      </c>
    </row>
    <row r="293" spans="1:14" x14ac:dyDescent="0.25">
      <c r="A293" s="37">
        <v>1.5</v>
      </c>
      <c r="B293" s="1">
        <v>0.32166</v>
      </c>
      <c r="C293" s="1">
        <v>3.238E-3</v>
      </c>
      <c r="D293" s="1">
        <v>4.4640000000000001E-3</v>
      </c>
      <c r="E293" s="1">
        <v>7.7019999999999996E-3</v>
      </c>
      <c r="F293" s="1">
        <v>0</v>
      </c>
      <c r="G293" s="1">
        <v>-8.4552000000000002E-2</v>
      </c>
      <c r="H293" s="1">
        <v>0</v>
      </c>
      <c r="I293" s="1">
        <v>0</v>
      </c>
      <c r="J293" s="1">
        <v>0</v>
      </c>
      <c r="K293" s="1">
        <v>92.601299999999995</v>
      </c>
      <c r="L293" s="1">
        <v>0.63519999999999999</v>
      </c>
      <c r="N293" s="37" t="s">
        <v>410</v>
      </c>
    </row>
    <row r="294" spans="1:14" x14ac:dyDescent="0.25">
      <c r="A294" s="37">
        <v>2</v>
      </c>
      <c r="B294" s="1">
        <v>0.370533</v>
      </c>
      <c r="C294" s="1">
        <v>4.3039999999999997E-3</v>
      </c>
      <c r="D294" s="1">
        <v>4.1920000000000004E-3</v>
      </c>
      <c r="E294" s="1">
        <v>8.4960000000000001E-3</v>
      </c>
      <c r="F294" s="1">
        <v>0</v>
      </c>
      <c r="G294" s="1">
        <v>-0.100187</v>
      </c>
      <c r="H294" s="1">
        <v>0</v>
      </c>
      <c r="I294" s="1">
        <v>0</v>
      </c>
      <c r="J294" s="1">
        <v>0</v>
      </c>
      <c r="K294" s="1">
        <v>92.601299999999995</v>
      </c>
      <c r="L294" s="1">
        <v>0.64700000000000002</v>
      </c>
      <c r="N294" s="37" t="s">
        <v>411</v>
      </c>
    </row>
    <row r="295" spans="1:14" x14ac:dyDescent="0.25">
      <c r="A295" s="37">
        <v>2.5</v>
      </c>
      <c r="B295" s="1">
        <v>0.41938300000000001</v>
      </c>
      <c r="C295" s="1">
        <v>5.5300000000000002E-3</v>
      </c>
      <c r="D295" s="1">
        <v>4.1510000000000002E-3</v>
      </c>
      <c r="E295" s="1">
        <v>9.6799999999999994E-3</v>
      </c>
      <c r="F295" s="1">
        <v>0</v>
      </c>
      <c r="G295" s="1">
        <v>-0.115342</v>
      </c>
      <c r="H295" s="1">
        <v>0</v>
      </c>
      <c r="I295" s="1">
        <v>0</v>
      </c>
      <c r="J295" s="1">
        <v>0</v>
      </c>
      <c r="K295" s="1">
        <v>92.601299999999995</v>
      </c>
      <c r="L295" s="1">
        <v>0.65529999999999999</v>
      </c>
      <c r="N295" s="37" t="s">
        <v>412</v>
      </c>
    </row>
    <row r="296" spans="1:14" x14ac:dyDescent="0.25">
      <c r="A296" s="37">
        <v>3</v>
      </c>
      <c r="B296" s="1">
        <v>0.46820800000000001</v>
      </c>
      <c r="C296" s="1">
        <v>6.9150000000000001E-3</v>
      </c>
      <c r="D296" s="1">
        <v>4.2379999999999996E-3</v>
      </c>
      <c r="E296" s="1">
        <v>1.1153E-2</v>
      </c>
      <c r="F296" s="1">
        <v>0</v>
      </c>
      <c r="G296" s="1">
        <v>-0.12998199999999999</v>
      </c>
      <c r="H296" s="1">
        <v>0</v>
      </c>
      <c r="I296" s="1">
        <v>0</v>
      </c>
      <c r="J296" s="1">
        <v>0</v>
      </c>
      <c r="K296" s="1">
        <v>92.601299999999995</v>
      </c>
      <c r="L296" s="1">
        <v>0.66110000000000002</v>
      </c>
      <c r="N296" s="37" t="s">
        <v>413</v>
      </c>
    </row>
    <row r="297" spans="1:14" x14ac:dyDescent="0.25">
      <c r="A297" s="37">
        <v>3.5</v>
      </c>
      <c r="B297" s="1">
        <v>0.51700500000000005</v>
      </c>
      <c r="C297" s="1">
        <v>8.4580000000000002E-3</v>
      </c>
      <c r="D297" s="1">
        <v>4.6239999999999996E-3</v>
      </c>
      <c r="E297" s="1">
        <v>1.3082E-2</v>
      </c>
      <c r="F297" s="1">
        <v>0</v>
      </c>
      <c r="G297" s="1">
        <v>-0.14413699999999999</v>
      </c>
      <c r="H297" s="1">
        <v>0</v>
      </c>
      <c r="I297" s="1">
        <v>0</v>
      </c>
      <c r="J297" s="1">
        <v>0</v>
      </c>
      <c r="K297" s="1">
        <v>92.601299999999995</v>
      </c>
      <c r="L297" s="1">
        <v>0.66510000000000002</v>
      </c>
      <c r="N297" s="37" t="s">
        <v>414</v>
      </c>
    </row>
    <row r="298" spans="1:14" x14ac:dyDescent="0.25">
      <c r="A298" s="37">
        <v>4</v>
      </c>
      <c r="B298" s="1">
        <v>0.565774</v>
      </c>
      <c r="C298" s="1">
        <v>1.0161999999999999E-2</v>
      </c>
      <c r="D298" s="1">
        <v>5.5069999999999997E-3</v>
      </c>
      <c r="E298" s="1">
        <v>1.5668999999999999E-2</v>
      </c>
      <c r="F298" s="1">
        <v>0</v>
      </c>
      <c r="G298" s="1">
        <v>-0.15782399999999999</v>
      </c>
      <c r="H298" s="1">
        <v>0</v>
      </c>
      <c r="I298" s="1">
        <v>0</v>
      </c>
      <c r="J298" s="1">
        <v>0</v>
      </c>
      <c r="K298" s="1">
        <v>92.601299999999995</v>
      </c>
      <c r="L298" s="1">
        <v>0.66779999999999995</v>
      </c>
      <c r="N298" s="37" t="s">
        <v>415</v>
      </c>
    </row>
    <row r="299" spans="1:14" x14ac:dyDescent="0.25">
      <c r="A299" s="37">
        <v>4.5</v>
      </c>
      <c r="B299" s="1">
        <v>0.61451100000000003</v>
      </c>
      <c r="C299" s="1">
        <v>1.2024999999999999E-2</v>
      </c>
      <c r="D299" s="1">
        <v>6.489E-3</v>
      </c>
      <c r="E299" s="1">
        <v>1.8513999999999999E-2</v>
      </c>
      <c r="F299" s="1">
        <v>0</v>
      </c>
      <c r="G299" s="1">
        <v>-0.170904</v>
      </c>
      <c r="H299" s="1">
        <v>0</v>
      </c>
      <c r="I299" s="1">
        <v>0</v>
      </c>
      <c r="J299" s="1">
        <v>0</v>
      </c>
      <c r="K299" s="1">
        <v>92.601299999999995</v>
      </c>
      <c r="L299" s="1">
        <v>0.66949999999999998</v>
      </c>
      <c r="N299" s="37" t="s">
        <v>416</v>
      </c>
    </row>
    <row r="300" spans="1:14" x14ac:dyDescent="0.25">
      <c r="A300" s="37">
        <v>5</v>
      </c>
      <c r="B300" s="1">
        <v>0.66321699999999995</v>
      </c>
      <c r="C300" s="1">
        <v>1.4052E-2</v>
      </c>
      <c r="D300" s="1">
        <v>7.3010000000000002E-3</v>
      </c>
      <c r="E300" s="1">
        <v>2.1353E-2</v>
      </c>
      <c r="F300" s="1">
        <v>0</v>
      </c>
      <c r="G300" s="1">
        <v>-0.183305</v>
      </c>
      <c r="H300" s="1">
        <v>0</v>
      </c>
      <c r="I300" s="1">
        <v>0</v>
      </c>
      <c r="J300" s="1">
        <v>0</v>
      </c>
      <c r="K300" s="1">
        <v>92.601299999999995</v>
      </c>
      <c r="L300" s="1">
        <v>0.6704</v>
      </c>
      <c r="N300" s="37" t="s">
        <v>417</v>
      </c>
    </row>
    <row r="301" spans="1:14" x14ac:dyDescent="0.25">
      <c r="A301" s="37">
        <v>5.5</v>
      </c>
      <c r="B301" s="1">
        <v>0.71188799999999997</v>
      </c>
      <c r="C301" s="1">
        <v>1.6249E-2</v>
      </c>
      <c r="D301" s="1">
        <v>8.0020000000000004E-3</v>
      </c>
      <c r="E301" s="1">
        <v>2.4250000000000001E-2</v>
      </c>
      <c r="F301" s="1">
        <v>0</v>
      </c>
      <c r="G301" s="1">
        <v>-0.195017</v>
      </c>
      <c r="H301" s="1">
        <v>0</v>
      </c>
      <c r="I301" s="1">
        <v>0</v>
      </c>
      <c r="J301" s="1">
        <v>0</v>
      </c>
      <c r="K301" s="1">
        <v>92.601299999999995</v>
      </c>
      <c r="L301" s="1">
        <v>0.67059999999999997</v>
      </c>
      <c r="N301" s="37" t="s">
        <v>418</v>
      </c>
    </row>
    <row r="302" spans="1:14" x14ac:dyDescent="0.25">
      <c r="A302" s="37">
        <v>6</v>
      </c>
      <c r="B302" s="1">
        <v>0.76052900000000001</v>
      </c>
      <c r="C302" s="1">
        <v>1.8641999999999999E-2</v>
      </c>
      <c r="D302" s="1">
        <v>8.6289999999999995E-3</v>
      </c>
      <c r="E302" s="1">
        <v>2.7271E-2</v>
      </c>
      <c r="F302" s="1">
        <v>0</v>
      </c>
      <c r="G302" s="1">
        <v>-0.20602200000000001</v>
      </c>
      <c r="H302" s="1">
        <v>0</v>
      </c>
      <c r="I302" s="1">
        <v>0</v>
      </c>
      <c r="J302" s="1">
        <v>0</v>
      </c>
      <c r="K302" s="1">
        <v>92.601299999999995</v>
      </c>
      <c r="L302" s="1">
        <v>0.67020000000000002</v>
      </c>
      <c r="N302" s="37" t="s">
        <v>419</v>
      </c>
    </row>
    <row r="303" spans="1:14" x14ac:dyDescent="0.25">
      <c r="A303" s="37">
        <v>6.5</v>
      </c>
      <c r="B303" s="1">
        <v>0.80915700000000002</v>
      </c>
      <c r="C303" s="1">
        <v>2.1336999999999998E-2</v>
      </c>
      <c r="D303" s="1">
        <v>9.1800000000000007E-3</v>
      </c>
      <c r="E303" s="1">
        <v>3.0518E-2</v>
      </c>
      <c r="F303" s="1">
        <v>0</v>
      </c>
      <c r="G303" s="1">
        <v>-0.216277</v>
      </c>
      <c r="H303" s="1">
        <v>0</v>
      </c>
      <c r="I303" s="1">
        <v>0</v>
      </c>
      <c r="J303" s="1">
        <v>0</v>
      </c>
      <c r="K303" s="1">
        <v>92.601299999999995</v>
      </c>
      <c r="L303" s="1">
        <v>0.66930000000000001</v>
      </c>
      <c r="N303" s="37" t="s">
        <v>420</v>
      </c>
    </row>
    <row r="304" spans="1:14" x14ac:dyDescent="0.25">
      <c r="A304" s="37">
        <v>7</v>
      </c>
      <c r="B304" s="1">
        <v>0.85790699999999998</v>
      </c>
      <c r="C304" s="1">
        <v>2.4723999999999999E-2</v>
      </c>
      <c r="D304" s="1">
        <v>9.7169999999999999E-3</v>
      </c>
      <c r="E304" s="1">
        <v>3.4442E-2</v>
      </c>
      <c r="F304" s="1">
        <v>0</v>
      </c>
      <c r="G304" s="1">
        <v>-0.22587399999999999</v>
      </c>
      <c r="H304" s="1">
        <v>0</v>
      </c>
      <c r="I304" s="1">
        <v>0</v>
      </c>
      <c r="J304" s="1">
        <v>0</v>
      </c>
      <c r="K304" s="1">
        <v>92.601299999999995</v>
      </c>
      <c r="L304" s="1">
        <v>0.66800000000000004</v>
      </c>
      <c r="N304" s="37" t="s">
        <v>421</v>
      </c>
    </row>
    <row r="305" spans="1:14" x14ac:dyDescent="0.25">
      <c r="A305" s="37">
        <v>7.5</v>
      </c>
      <c r="B305" s="1">
        <v>0.90704200000000001</v>
      </c>
      <c r="C305" s="1">
        <v>2.5127E-2</v>
      </c>
      <c r="D305" s="1">
        <v>1.0305E-2</v>
      </c>
      <c r="E305" s="1">
        <v>3.5430999999999997E-2</v>
      </c>
      <c r="F305" s="1">
        <v>0</v>
      </c>
      <c r="G305" s="1">
        <v>-0.23616400000000001</v>
      </c>
      <c r="H305" s="1">
        <v>0</v>
      </c>
      <c r="I305" s="1">
        <v>0</v>
      </c>
      <c r="J305" s="1">
        <v>0</v>
      </c>
      <c r="K305" s="1">
        <v>92.601299999999995</v>
      </c>
      <c r="L305" s="1">
        <v>0.66810000000000003</v>
      </c>
      <c r="N305" s="37" t="s">
        <v>422</v>
      </c>
    </row>
    <row r="306" spans="1:14" x14ac:dyDescent="0.25">
      <c r="A306" s="37">
        <v>8</v>
      </c>
      <c r="B306" s="1">
        <v>0.95489000000000002</v>
      </c>
      <c r="C306" s="1">
        <v>2.7685000000000001E-2</v>
      </c>
      <c r="D306" s="1">
        <v>1.0909E-2</v>
      </c>
      <c r="E306" s="1">
        <v>3.8593000000000002E-2</v>
      </c>
      <c r="F306" s="1">
        <v>0</v>
      </c>
      <c r="G306" s="1">
        <v>-0.25047900000000001</v>
      </c>
      <c r="H306" s="1">
        <v>0</v>
      </c>
      <c r="I306" s="1">
        <v>0</v>
      </c>
      <c r="J306" s="1">
        <v>0</v>
      </c>
      <c r="K306" s="1">
        <v>92.601299999999995</v>
      </c>
      <c r="L306" s="1">
        <v>0.67530000000000001</v>
      </c>
      <c r="N306" s="37" t="s">
        <v>423</v>
      </c>
    </row>
    <row r="307" spans="1:14" x14ac:dyDescent="0.25">
      <c r="A307" s="37">
        <v>8.5</v>
      </c>
      <c r="B307" s="1">
        <v>1.000993</v>
      </c>
      <c r="C307" s="1">
        <v>3.5249999999999997E-2</v>
      </c>
      <c r="D307" s="1">
        <v>1.1552E-2</v>
      </c>
      <c r="E307" s="1">
        <v>4.6802000000000003E-2</v>
      </c>
      <c r="F307" s="1">
        <v>0</v>
      </c>
      <c r="G307" s="1">
        <v>-0.24859200000000001</v>
      </c>
      <c r="H307" s="1">
        <v>0</v>
      </c>
      <c r="I307" s="1">
        <v>0</v>
      </c>
      <c r="J307" s="1">
        <v>0</v>
      </c>
      <c r="K307" s="1">
        <v>92.601299999999995</v>
      </c>
      <c r="L307" s="1">
        <v>0.66200000000000003</v>
      </c>
      <c r="N307" s="37" t="s">
        <v>424</v>
      </c>
    </row>
    <row r="308" spans="1:14" x14ac:dyDescent="0.25">
      <c r="A308" s="37">
        <v>9</v>
      </c>
      <c r="B308" s="1">
        <v>1.0507310000000001</v>
      </c>
      <c r="C308" s="1">
        <v>3.4738999999999999E-2</v>
      </c>
      <c r="D308" s="1">
        <v>1.2166E-2</v>
      </c>
      <c r="E308" s="1">
        <v>4.6906000000000003E-2</v>
      </c>
      <c r="F308" s="1">
        <v>0</v>
      </c>
      <c r="G308" s="1">
        <v>-0.26316800000000001</v>
      </c>
      <c r="H308" s="1">
        <v>0</v>
      </c>
      <c r="I308" s="1">
        <v>0</v>
      </c>
      <c r="J308" s="1">
        <v>0</v>
      </c>
      <c r="K308" s="1">
        <v>92.601299999999995</v>
      </c>
      <c r="L308" s="1">
        <v>0.66910000000000003</v>
      </c>
      <c r="N308" s="37" t="s">
        <v>425</v>
      </c>
    </row>
    <row r="309" spans="1:14" x14ac:dyDescent="0.25">
      <c r="A309" s="37">
        <v>9.5</v>
      </c>
      <c r="B309" s="1">
        <v>1.0974969999999999</v>
      </c>
      <c r="C309" s="1">
        <v>4.0750000000000001E-2</v>
      </c>
      <c r="D309" s="1">
        <v>1.2789E-2</v>
      </c>
      <c r="E309" s="1">
        <v>5.3539000000000003E-2</v>
      </c>
      <c r="F309" s="1">
        <v>0</v>
      </c>
      <c r="G309" s="1">
        <v>-0.26355099999999998</v>
      </c>
      <c r="H309" s="1">
        <v>0</v>
      </c>
      <c r="I309" s="1">
        <v>0</v>
      </c>
      <c r="J309" s="1">
        <v>0</v>
      </c>
      <c r="K309" s="1">
        <v>92.601299999999995</v>
      </c>
      <c r="L309" s="1">
        <v>0.66069999999999995</v>
      </c>
      <c r="N309" s="37" t="s">
        <v>426</v>
      </c>
    </row>
    <row r="310" spans="1:14" x14ac:dyDescent="0.25">
      <c r="A310" s="37">
        <v>10</v>
      </c>
      <c r="B310" s="1">
        <v>1.148407</v>
      </c>
      <c r="C310" s="1">
        <v>4.3111999999999998E-2</v>
      </c>
      <c r="D310" s="1">
        <v>1.3445E-2</v>
      </c>
      <c r="E310" s="1">
        <v>5.6557000000000003E-2</v>
      </c>
      <c r="F310" s="1">
        <v>0</v>
      </c>
      <c r="G310" s="1">
        <v>-0.27785799999999999</v>
      </c>
      <c r="H310" s="1">
        <v>0</v>
      </c>
      <c r="I310" s="1">
        <v>0</v>
      </c>
      <c r="J310" s="1">
        <v>0</v>
      </c>
      <c r="K310" s="1">
        <v>92.601299999999995</v>
      </c>
      <c r="L310" s="1">
        <v>0.66739999999999999</v>
      </c>
      <c r="N310" s="37" t="s">
        <v>427</v>
      </c>
    </row>
    <row r="311" spans="1:14" x14ac:dyDescent="0.25">
      <c r="A311" s="37">
        <v>10.5</v>
      </c>
      <c r="B311" s="1">
        <v>1.1977180000000001</v>
      </c>
      <c r="C311" s="1">
        <v>4.6695E-2</v>
      </c>
      <c r="D311" s="1">
        <v>1.4139000000000001E-2</v>
      </c>
      <c r="E311" s="1">
        <v>6.0835E-2</v>
      </c>
      <c r="F311" s="1">
        <v>0</v>
      </c>
      <c r="G311" s="1">
        <v>-0.28608699999999998</v>
      </c>
      <c r="H311" s="1">
        <v>0</v>
      </c>
      <c r="I311" s="1">
        <v>0</v>
      </c>
      <c r="J311" s="1">
        <v>0</v>
      </c>
      <c r="K311" s="1">
        <v>92.601299999999995</v>
      </c>
      <c r="L311" s="1">
        <v>0.66820000000000002</v>
      </c>
      <c r="N311" s="37" t="s">
        <v>428</v>
      </c>
    </row>
    <row r="312" spans="1:14" x14ac:dyDescent="0.25">
      <c r="A312" s="37">
        <v>11</v>
      </c>
      <c r="B312" s="1">
        <v>1.246513</v>
      </c>
      <c r="C312" s="1">
        <v>5.0575000000000002E-2</v>
      </c>
      <c r="D312" s="1">
        <v>1.4853999999999999E-2</v>
      </c>
      <c r="E312" s="1">
        <v>6.5430000000000002E-2</v>
      </c>
      <c r="F312" s="1">
        <v>0</v>
      </c>
      <c r="G312" s="1">
        <v>-0.29239999999999999</v>
      </c>
      <c r="H312" s="1">
        <v>0</v>
      </c>
      <c r="I312" s="1">
        <v>0</v>
      </c>
      <c r="J312" s="1">
        <v>0</v>
      </c>
      <c r="K312" s="1">
        <v>92.601299999999995</v>
      </c>
      <c r="L312" s="1">
        <v>0.66769999999999996</v>
      </c>
      <c r="N312" s="37" t="s">
        <v>429</v>
      </c>
    </row>
    <row r="313" spans="1:14" x14ac:dyDescent="0.25">
      <c r="A313" s="37">
        <v>11.5</v>
      </c>
      <c r="B313" s="1">
        <v>1.2965990000000001</v>
      </c>
      <c r="C313" s="1">
        <v>5.4781999999999997E-2</v>
      </c>
      <c r="D313" s="1">
        <v>1.5643000000000001E-2</v>
      </c>
      <c r="E313" s="1">
        <v>7.0425000000000001E-2</v>
      </c>
      <c r="F313" s="1">
        <v>0</v>
      </c>
      <c r="G313" s="1">
        <v>-0.30131400000000003</v>
      </c>
      <c r="H313" s="1">
        <v>0</v>
      </c>
      <c r="I313" s="1">
        <v>0</v>
      </c>
      <c r="J313" s="1">
        <v>0</v>
      </c>
      <c r="K313" s="1">
        <v>92.601299999999995</v>
      </c>
      <c r="L313" s="1">
        <v>0.67</v>
      </c>
      <c r="N313" s="37" t="s">
        <v>430</v>
      </c>
    </row>
    <row r="314" spans="1:14" x14ac:dyDescent="0.25">
      <c r="A314" s="37">
        <v>12</v>
      </c>
      <c r="B314" s="1">
        <v>1.345966</v>
      </c>
      <c r="C314" s="1">
        <v>5.9061000000000002E-2</v>
      </c>
      <c r="D314" s="1">
        <v>1.6483000000000001E-2</v>
      </c>
      <c r="E314" s="1">
        <v>7.5542999999999999E-2</v>
      </c>
      <c r="F314" s="1">
        <v>0</v>
      </c>
      <c r="G314" s="1">
        <v>-0.30753399999999997</v>
      </c>
      <c r="H314" s="1">
        <v>0</v>
      </c>
      <c r="I314" s="1">
        <v>0</v>
      </c>
      <c r="J314" s="1">
        <v>0</v>
      </c>
      <c r="K314" s="1">
        <v>92.601299999999995</v>
      </c>
      <c r="L314" s="1">
        <v>0.67020000000000002</v>
      </c>
      <c r="N314" s="37" t="s">
        <v>431</v>
      </c>
    </row>
    <row r="315" spans="1:14" x14ac:dyDescent="0.25">
      <c r="A315" s="37">
        <v>12.5</v>
      </c>
      <c r="B315" s="1">
        <v>1.395216</v>
      </c>
      <c r="C315" s="1">
        <v>6.3480999999999996E-2</v>
      </c>
      <c r="D315" s="1">
        <v>1.7389000000000002E-2</v>
      </c>
      <c r="E315" s="1">
        <v>8.0869999999999997E-2</v>
      </c>
      <c r="F315" s="1">
        <v>0</v>
      </c>
      <c r="G315" s="1">
        <v>-0.31269799999999998</v>
      </c>
      <c r="H315" s="1">
        <v>0</v>
      </c>
      <c r="I315" s="1">
        <v>0</v>
      </c>
      <c r="J315" s="1">
        <v>0</v>
      </c>
      <c r="K315" s="1">
        <v>92.601299999999995</v>
      </c>
      <c r="L315" s="1">
        <v>0.66990000000000005</v>
      </c>
      <c r="N315" s="37" t="s">
        <v>432</v>
      </c>
    </row>
    <row r="316" spans="1:14" x14ac:dyDescent="0.25">
      <c r="A316" s="37">
        <v>13</v>
      </c>
      <c r="B316" s="1">
        <v>1.4444140000000001</v>
      </c>
      <c r="C316" s="1">
        <v>6.8049999999999999E-2</v>
      </c>
      <c r="D316" s="1">
        <v>1.8380000000000001E-2</v>
      </c>
      <c r="E316" s="1">
        <v>8.6430000000000007E-2</v>
      </c>
      <c r="F316" s="1">
        <v>0</v>
      </c>
      <c r="G316" s="1">
        <v>-0.31698199999999999</v>
      </c>
      <c r="H316" s="1">
        <v>0</v>
      </c>
      <c r="I316" s="1">
        <v>0</v>
      </c>
      <c r="J316" s="1">
        <v>0</v>
      </c>
      <c r="K316" s="1">
        <v>92.601299999999995</v>
      </c>
      <c r="L316" s="1">
        <v>0.6694</v>
      </c>
      <c r="N316" s="37" t="s">
        <v>433</v>
      </c>
    </row>
    <row r="317" spans="1:14" x14ac:dyDescent="0.25">
      <c r="A317" s="37">
        <v>13.5</v>
      </c>
      <c r="B317" s="1">
        <v>1.4935849999999999</v>
      </c>
      <c r="C317" s="1">
        <v>7.2771000000000002E-2</v>
      </c>
      <c r="D317" s="1">
        <v>1.9421000000000001E-2</v>
      </c>
      <c r="E317" s="1">
        <v>9.2191999999999996E-2</v>
      </c>
      <c r="F317" s="1">
        <v>0</v>
      </c>
      <c r="G317" s="1">
        <v>-0.32042599999999999</v>
      </c>
      <c r="H317" s="1">
        <v>0</v>
      </c>
      <c r="I317" s="1">
        <v>0</v>
      </c>
      <c r="J317" s="1">
        <v>0</v>
      </c>
      <c r="K317" s="1">
        <v>92.601299999999995</v>
      </c>
      <c r="L317" s="1">
        <v>0.66879999999999995</v>
      </c>
      <c r="N317" s="37" t="s">
        <v>434</v>
      </c>
    </row>
    <row r="318" spans="1:14" x14ac:dyDescent="0.25">
      <c r="A318" s="37">
        <v>14</v>
      </c>
      <c r="B318" s="1">
        <v>1.54274</v>
      </c>
      <c r="C318" s="1">
        <v>7.7644000000000005E-2</v>
      </c>
      <c r="D318" s="1">
        <v>2.0493999999999998E-2</v>
      </c>
      <c r="E318" s="1">
        <v>9.8138000000000003E-2</v>
      </c>
      <c r="F318" s="1">
        <v>0</v>
      </c>
      <c r="G318" s="1">
        <v>-0.32304300000000002</v>
      </c>
      <c r="H318" s="1">
        <v>0</v>
      </c>
      <c r="I318" s="1">
        <v>0</v>
      </c>
      <c r="J318" s="1">
        <v>0</v>
      </c>
      <c r="K318" s="1">
        <v>92.601299999999995</v>
      </c>
      <c r="L318" s="1">
        <v>0.66790000000000005</v>
      </c>
      <c r="N318" s="37" t="s">
        <v>435</v>
      </c>
    </row>
    <row r="319" spans="1:14" x14ac:dyDescent="0.25">
      <c r="A319" s="37">
        <v>14.5</v>
      </c>
      <c r="B319" s="1">
        <v>1.591882</v>
      </c>
      <c r="C319" s="1">
        <v>8.2669999999999993E-2</v>
      </c>
      <c r="D319" s="1">
        <v>2.1614999999999999E-2</v>
      </c>
      <c r="E319" s="1">
        <v>0.104286</v>
      </c>
      <c r="F319" s="1">
        <v>0</v>
      </c>
      <c r="G319" s="1">
        <v>-0.32482499999999997</v>
      </c>
      <c r="H319" s="1">
        <v>0</v>
      </c>
      <c r="I319" s="1">
        <v>0</v>
      </c>
      <c r="J319" s="1">
        <v>0</v>
      </c>
      <c r="K319" s="1">
        <v>92.601299999999995</v>
      </c>
      <c r="L319" s="1">
        <v>0.66700000000000004</v>
      </c>
      <c r="N319" s="37" t="s">
        <v>436</v>
      </c>
    </row>
    <row r="320" spans="1:14" x14ac:dyDescent="0.25">
      <c r="A320" s="37">
        <v>15</v>
      </c>
      <c r="B320" s="1">
        <v>1.641011</v>
      </c>
      <c r="C320" s="1">
        <v>8.7848999999999997E-2</v>
      </c>
      <c r="D320" s="1">
        <v>2.2867999999999999E-2</v>
      </c>
      <c r="E320" s="1">
        <v>0.110717</v>
      </c>
      <c r="F320" s="1">
        <v>0</v>
      </c>
      <c r="G320" s="1">
        <v>-0.32577200000000001</v>
      </c>
      <c r="H320" s="1">
        <v>0</v>
      </c>
      <c r="I320" s="1">
        <v>0</v>
      </c>
      <c r="J320" s="1">
        <v>0</v>
      </c>
      <c r="K320" s="1">
        <v>92.601299999999995</v>
      </c>
      <c r="L320" s="1">
        <v>0.66590000000000005</v>
      </c>
    </row>
    <row r="323" spans="1:14" x14ac:dyDescent="0.25">
      <c r="A323" s="13" t="s">
        <v>437</v>
      </c>
    </row>
    <row r="324" spans="1:14" x14ac:dyDescent="0.25">
      <c r="A324" s="44" t="s">
        <v>119</v>
      </c>
      <c r="B324">
        <f>MATCH($B$7,B329:B365,1)+ROW()+4</f>
        <v>341</v>
      </c>
      <c r="F324" s="21" t="s">
        <v>736</v>
      </c>
      <c r="G324">
        <f>MATCH(0,G329:G365,-1)+ROW()+4</f>
        <v>332</v>
      </c>
    </row>
    <row r="325" spans="1:14" x14ac:dyDescent="0.25">
      <c r="A325" s="45" t="s">
        <v>186</v>
      </c>
      <c r="B325">
        <f ca="1">INDIRECT(CONCATENATE("C",B324+1)) - (INDIRECT(CONCATENATE("B",B324+1))-$B$7) / (INDIRECT(CONCATENATE("B",B324+1))-INDIRECT(CONCATENATE("B",B324))) * (INDIRECT(CONCATENATE("C",B324+1)) - INDIRECT(CONCATENATE("C",B324)) )</f>
        <v>8.6533785646779118E-3</v>
      </c>
      <c r="F325" s="21" t="s">
        <v>737</v>
      </c>
      <c r="G325" s="1">
        <f ca="1">INDIRECT(CONCATENATE("B",G324+1)) - (INDIRECT(CONCATENATE("B",G324+1))-INDIRECT(CONCATENATE("B",G324))) / (INDIRECT(CONCATENATE("G",G324+1))-INDIRECT(CONCATENATE("G",G324))) * (INDIRECT(CONCATENATE("G",G324+1)) - 0)</f>
        <v>7.3607733591166416E-2</v>
      </c>
    </row>
    <row r="326" spans="1:14" x14ac:dyDescent="0.25">
      <c r="A326" s="13" t="s">
        <v>2</v>
      </c>
      <c r="B326" s="13">
        <f ca="1">$B$7^2/(PI()*$B$2*B325)</f>
        <v>0.9758045719149111</v>
      </c>
      <c r="N326" s="37" t="s">
        <v>146</v>
      </c>
    </row>
    <row r="327" spans="1:14" x14ac:dyDescent="0.25">
      <c r="N327" s="37" t="s">
        <v>147</v>
      </c>
    </row>
    <row r="328" spans="1:14" x14ac:dyDescent="0.25">
      <c r="A328" s="1" t="s">
        <v>128</v>
      </c>
      <c r="B328" s="1" t="s">
        <v>118</v>
      </c>
      <c r="C328" s="1" t="s">
        <v>149</v>
      </c>
      <c r="D328" s="1" t="s">
        <v>150</v>
      </c>
      <c r="E328" s="1" t="s">
        <v>151</v>
      </c>
      <c r="F328" s="1" t="s">
        <v>152</v>
      </c>
      <c r="G328" s="1" t="s">
        <v>153</v>
      </c>
      <c r="H328" s="1" t="s">
        <v>154</v>
      </c>
      <c r="I328" s="1" t="s">
        <v>155</v>
      </c>
      <c r="J328" s="1" t="s">
        <v>156</v>
      </c>
      <c r="K328" s="1" t="s">
        <v>157</v>
      </c>
      <c r="L328" s="1" t="s">
        <v>158</v>
      </c>
      <c r="N328" s="37" t="s">
        <v>438</v>
      </c>
    </row>
    <row r="329" spans="1:14" x14ac:dyDescent="0.25">
      <c r="A329" s="37">
        <v>-2.5</v>
      </c>
      <c r="B329" s="1">
        <v>-7.6128000000000001E-2</v>
      </c>
      <c r="C329" s="1">
        <v>4.4799999999999999E-4</v>
      </c>
      <c r="D329" s="1">
        <v>7.5170000000000002E-3</v>
      </c>
      <c r="E329" s="1">
        <v>7.9660000000000009E-3</v>
      </c>
      <c r="F329" s="1">
        <v>0</v>
      </c>
      <c r="G329" s="1">
        <v>5.6683999999999998E-2</v>
      </c>
      <c r="H329" s="1">
        <v>0</v>
      </c>
      <c r="I329" s="1">
        <v>0</v>
      </c>
      <c r="J329" s="1">
        <v>0</v>
      </c>
      <c r="K329" s="1">
        <v>92.601299999999995</v>
      </c>
      <c r="L329" s="1">
        <v>1.2290000000000001</v>
      </c>
      <c r="N329" s="37" t="s">
        <v>439</v>
      </c>
    </row>
    <row r="330" spans="1:14" x14ac:dyDescent="0.25">
      <c r="A330" s="37">
        <v>-2</v>
      </c>
      <c r="B330" s="1">
        <v>-2.7153E-2</v>
      </c>
      <c r="C330" s="1">
        <v>2.2900000000000001E-4</v>
      </c>
      <c r="D330" s="1">
        <v>7.3080000000000003E-3</v>
      </c>
      <c r="E330" s="1">
        <v>7.5370000000000003E-3</v>
      </c>
      <c r="F330" s="1">
        <v>0</v>
      </c>
      <c r="G330" s="1">
        <v>3.7810000000000003E-2</v>
      </c>
      <c r="H330" s="1">
        <v>0</v>
      </c>
      <c r="I330" s="1">
        <v>0</v>
      </c>
      <c r="J330" s="1">
        <v>0</v>
      </c>
      <c r="K330" s="1">
        <v>92.601299999999995</v>
      </c>
      <c r="L330" s="1">
        <v>2.0506000000000002</v>
      </c>
      <c r="N330" s="37" t="s">
        <v>440</v>
      </c>
    </row>
    <row r="331" spans="1:14" x14ac:dyDescent="0.25">
      <c r="A331" s="37">
        <v>-1.5</v>
      </c>
      <c r="B331" s="1">
        <v>2.1814E-2</v>
      </c>
      <c r="C331" s="1">
        <v>1.6799999999999999E-4</v>
      </c>
      <c r="D331" s="1">
        <v>7.1009999999999997E-3</v>
      </c>
      <c r="E331" s="1">
        <v>7.2680000000000002E-3</v>
      </c>
      <c r="F331" s="1">
        <v>0</v>
      </c>
      <c r="G331" s="1">
        <v>1.9251000000000001E-2</v>
      </c>
      <c r="H331" s="1">
        <v>0</v>
      </c>
      <c r="I331" s="1">
        <v>0</v>
      </c>
      <c r="J331" s="1">
        <v>0</v>
      </c>
      <c r="K331" s="1">
        <v>92.601299999999995</v>
      </c>
      <c r="L331" s="1">
        <v>-0.82840000000000003</v>
      </c>
      <c r="N331" s="37" t="s">
        <v>441</v>
      </c>
    </row>
    <row r="332" spans="1:14" x14ac:dyDescent="0.25">
      <c r="A332" s="37">
        <v>-1</v>
      </c>
      <c r="B332" s="1">
        <v>7.0771000000000001E-2</v>
      </c>
      <c r="C332" s="1">
        <v>2.6400000000000002E-4</v>
      </c>
      <c r="D332" s="1">
        <v>6.8890000000000002E-3</v>
      </c>
      <c r="E332" s="1">
        <v>7.1529999999999996E-3</v>
      </c>
      <c r="F332" s="1">
        <v>0</v>
      </c>
      <c r="G332" s="1">
        <v>1.034E-3</v>
      </c>
      <c r="H332" s="1">
        <v>0</v>
      </c>
      <c r="I332" s="1">
        <v>0</v>
      </c>
      <c r="J332" s="1">
        <v>0</v>
      </c>
      <c r="K332" s="1">
        <v>92.601299999999995</v>
      </c>
      <c r="L332" s="1">
        <v>0.27210000000000001</v>
      </c>
      <c r="N332" s="37" t="s">
        <v>442</v>
      </c>
    </row>
    <row r="333" spans="1:14" x14ac:dyDescent="0.25">
      <c r="A333" s="37">
        <v>-0.5</v>
      </c>
      <c r="B333" s="1">
        <v>0.119717</v>
      </c>
      <c r="C333" s="1">
        <v>5.1900000000000004E-4</v>
      </c>
      <c r="D333" s="1">
        <v>6.6449999999999999E-3</v>
      </c>
      <c r="E333" s="1">
        <v>7.1640000000000002E-3</v>
      </c>
      <c r="F333" s="1">
        <v>0</v>
      </c>
      <c r="G333" s="1">
        <v>-1.6806999999999999E-2</v>
      </c>
      <c r="H333" s="1">
        <v>0</v>
      </c>
      <c r="I333" s="1">
        <v>0</v>
      </c>
      <c r="J333" s="1">
        <v>0</v>
      </c>
      <c r="K333" s="1">
        <v>92.601299999999995</v>
      </c>
      <c r="L333" s="1">
        <v>0.47010000000000002</v>
      </c>
      <c r="N333" s="37" t="s">
        <v>443</v>
      </c>
    </row>
    <row r="334" spans="1:14" x14ac:dyDescent="0.25">
      <c r="A334" s="37">
        <v>0</v>
      </c>
      <c r="B334" s="1">
        <v>0.16864899999999999</v>
      </c>
      <c r="C334" s="1">
        <v>9.3199999999999999E-4</v>
      </c>
      <c r="D334" s="1">
        <v>6.3759999999999997E-3</v>
      </c>
      <c r="E334" s="1">
        <v>7.3080000000000003E-3</v>
      </c>
      <c r="F334" s="1">
        <v>0</v>
      </c>
      <c r="G334" s="1">
        <v>-3.4243999999999997E-2</v>
      </c>
      <c r="H334" s="1">
        <v>0</v>
      </c>
      <c r="I334" s="1">
        <v>0</v>
      </c>
      <c r="J334" s="1">
        <v>0</v>
      </c>
      <c r="K334" s="1">
        <v>92.601299999999995</v>
      </c>
      <c r="L334" s="1">
        <v>0.55149999999999999</v>
      </c>
      <c r="N334" s="37" t="s">
        <v>444</v>
      </c>
    </row>
    <row r="335" spans="1:14" x14ac:dyDescent="0.25">
      <c r="A335" s="37">
        <v>0.5</v>
      </c>
      <c r="B335" s="1">
        <v>0.21756600000000001</v>
      </c>
      <c r="C335" s="1">
        <v>1.5039999999999999E-3</v>
      </c>
      <c r="D335" s="1">
        <v>5.9800000000000001E-3</v>
      </c>
      <c r="E335" s="1">
        <v>7.4840000000000002E-3</v>
      </c>
      <c r="F335" s="1">
        <v>0</v>
      </c>
      <c r="G335" s="1">
        <v>-5.1234000000000002E-2</v>
      </c>
      <c r="H335" s="1">
        <v>0</v>
      </c>
      <c r="I335" s="1">
        <v>0</v>
      </c>
      <c r="J335" s="1">
        <v>0</v>
      </c>
      <c r="K335" s="1">
        <v>92.601299999999995</v>
      </c>
      <c r="L335" s="1">
        <v>0.5948</v>
      </c>
      <c r="N335" s="37" t="s">
        <v>445</v>
      </c>
    </row>
    <row r="336" spans="1:14" x14ac:dyDescent="0.25">
      <c r="A336" s="37">
        <v>1</v>
      </c>
      <c r="B336" s="1">
        <v>0.26646500000000001</v>
      </c>
      <c r="C336" s="1">
        <v>2.2339999999999999E-3</v>
      </c>
      <c r="D336" s="1">
        <v>5.424E-3</v>
      </c>
      <c r="E336" s="1">
        <v>7.6579999999999999E-3</v>
      </c>
      <c r="F336" s="1">
        <v>0</v>
      </c>
      <c r="G336" s="1">
        <v>-6.7736000000000005E-2</v>
      </c>
      <c r="H336" s="1">
        <v>0</v>
      </c>
      <c r="I336" s="1">
        <v>0</v>
      </c>
      <c r="J336" s="1">
        <v>0</v>
      </c>
      <c r="K336" s="1">
        <v>92.601299999999995</v>
      </c>
      <c r="L336" s="1">
        <v>0.62109999999999999</v>
      </c>
      <c r="N336" s="37" t="s">
        <v>446</v>
      </c>
    </row>
    <row r="337" spans="1:14" x14ac:dyDescent="0.25">
      <c r="A337" s="37">
        <v>1.5</v>
      </c>
      <c r="B337" s="1">
        <v>0.31534499999999999</v>
      </c>
      <c r="C337" s="1">
        <v>3.124E-3</v>
      </c>
      <c r="D337" s="1">
        <v>4.5669999999999999E-3</v>
      </c>
      <c r="E337" s="1">
        <v>7.6899999999999998E-3</v>
      </c>
      <c r="F337" s="1">
        <v>0</v>
      </c>
      <c r="G337" s="1">
        <v>-8.3696999999999994E-2</v>
      </c>
      <c r="H337" s="1">
        <v>0</v>
      </c>
      <c r="I337" s="1">
        <v>0</v>
      </c>
      <c r="J337" s="1">
        <v>0</v>
      </c>
      <c r="K337" s="1">
        <v>92.601299999999995</v>
      </c>
      <c r="L337" s="1">
        <v>0.63819999999999999</v>
      </c>
      <c r="N337" s="37" t="s">
        <v>447</v>
      </c>
    </row>
    <row r="338" spans="1:14" x14ac:dyDescent="0.25">
      <c r="A338" s="37">
        <v>2</v>
      </c>
      <c r="B338" s="1">
        <v>0.36420400000000003</v>
      </c>
      <c r="C338" s="1">
        <v>4.1720000000000004E-3</v>
      </c>
      <c r="D338" s="1">
        <v>4.2550000000000001E-3</v>
      </c>
      <c r="E338" s="1">
        <v>8.4270000000000005E-3</v>
      </c>
      <c r="F338" s="1">
        <v>0</v>
      </c>
      <c r="G338" s="1">
        <v>-9.9324999999999997E-2</v>
      </c>
      <c r="H338" s="1">
        <v>0</v>
      </c>
      <c r="I338" s="1">
        <v>0</v>
      </c>
      <c r="J338" s="1">
        <v>0</v>
      </c>
      <c r="K338" s="1">
        <v>92.601299999999995</v>
      </c>
      <c r="L338" s="1">
        <v>0.64980000000000004</v>
      </c>
      <c r="N338" s="37" t="s">
        <v>448</v>
      </c>
    </row>
    <row r="339" spans="1:14" x14ac:dyDescent="0.25">
      <c r="A339" s="37">
        <v>2.5</v>
      </c>
      <c r="B339" s="1">
        <v>0.41304099999999999</v>
      </c>
      <c r="C339" s="1">
        <v>5.3790000000000001E-3</v>
      </c>
      <c r="D339" s="1">
        <v>4.1780000000000003E-3</v>
      </c>
      <c r="E339" s="1">
        <v>9.5569999999999995E-3</v>
      </c>
      <c r="F339" s="1">
        <v>0</v>
      </c>
      <c r="G339" s="1">
        <v>-0.11448</v>
      </c>
      <c r="H339" s="1">
        <v>0</v>
      </c>
      <c r="I339" s="1">
        <v>0</v>
      </c>
      <c r="J339" s="1">
        <v>0</v>
      </c>
      <c r="K339" s="1">
        <v>92.601299999999995</v>
      </c>
      <c r="L339" s="1">
        <v>0.65790000000000004</v>
      </c>
      <c r="N339" s="37" t="s">
        <v>449</v>
      </c>
    </row>
    <row r="340" spans="1:14" x14ac:dyDescent="0.25">
      <c r="A340" s="37">
        <v>3</v>
      </c>
      <c r="B340" s="1">
        <v>0.46185300000000001</v>
      </c>
      <c r="C340" s="1">
        <v>6.7450000000000001E-3</v>
      </c>
      <c r="D340" s="1">
        <v>4.2420000000000001E-3</v>
      </c>
      <c r="E340" s="1">
        <v>1.0987E-2</v>
      </c>
      <c r="F340" s="1">
        <v>0</v>
      </c>
      <c r="G340" s="1">
        <v>-0.12912000000000001</v>
      </c>
      <c r="H340" s="1">
        <v>0</v>
      </c>
      <c r="I340" s="1">
        <v>0</v>
      </c>
      <c r="J340" s="1">
        <v>0</v>
      </c>
      <c r="K340" s="1">
        <v>92.601299999999995</v>
      </c>
      <c r="L340" s="1">
        <v>0.66349999999999998</v>
      </c>
      <c r="N340" s="37" t="s">
        <v>450</v>
      </c>
    </row>
    <row r="341" spans="1:14" x14ac:dyDescent="0.25">
      <c r="A341" s="37">
        <v>3.5</v>
      </c>
      <c r="B341" s="1">
        <v>0.51063800000000004</v>
      </c>
      <c r="C341" s="1">
        <v>8.2710000000000006E-3</v>
      </c>
      <c r="D341" s="1">
        <v>4.594E-3</v>
      </c>
      <c r="E341" s="1">
        <v>1.2865E-2</v>
      </c>
      <c r="F341" s="1">
        <v>0</v>
      </c>
      <c r="G341" s="1">
        <v>-0.14327500000000001</v>
      </c>
      <c r="H341" s="1">
        <v>0</v>
      </c>
      <c r="I341" s="1">
        <v>0</v>
      </c>
      <c r="J341" s="1">
        <v>0</v>
      </c>
      <c r="K341" s="1">
        <v>92.601299999999995</v>
      </c>
      <c r="L341" s="1">
        <v>0.66739999999999999</v>
      </c>
      <c r="N341" s="37" t="s">
        <v>451</v>
      </c>
    </row>
    <row r="342" spans="1:14" x14ac:dyDescent="0.25">
      <c r="A342" s="37">
        <v>4</v>
      </c>
      <c r="B342" s="1">
        <v>0.55939499999999998</v>
      </c>
      <c r="C342" s="1">
        <v>9.9559999999999996E-3</v>
      </c>
      <c r="D342" s="1">
        <v>5.4429999999999999E-3</v>
      </c>
      <c r="E342" s="1">
        <v>1.5398999999999999E-2</v>
      </c>
      <c r="F342" s="1">
        <v>0</v>
      </c>
      <c r="G342" s="1">
        <v>-0.15696199999999999</v>
      </c>
      <c r="H342" s="1">
        <v>0</v>
      </c>
      <c r="I342" s="1">
        <v>0</v>
      </c>
      <c r="J342" s="1">
        <v>0</v>
      </c>
      <c r="K342" s="1">
        <v>92.601299999999995</v>
      </c>
      <c r="L342" s="1">
        <v>0.66990000000000005</v>
      </c>
      <c r="N342" s="37" t="s">
        <v>452</v>
      </c>
    </row>
    <row r="343" spans="1:14" x14ac:dyDescent="0.25">
      <c r="A343" s="37">
        <v>4.5</v>
      </c>
      <c r="B343" s="1">
        <v>0.60812100000000002</v>
      </c>
      <c r="C343" s="1">
        <v>1.1801000000000001E-2</v>
      </c>
      <c r="D343" s="1">
        <v>6.3930000000000002E-3</v>
      </c>
      <c r="E343" s="1">
        <v>1.8193999999999998E-2</v>
      </c>
      <c r="F343" s="1">
        <v>0</v>
      </c>
      <c r="G343" s="1">
        <v>-0.170047</v>
      </c>
      <c r="H343" s="1">
        <v>0</v>
      </c>
      <c r="I343" s="1">
        <v>0</v>
      </c>
      <c r="J343" s="1">
        <v>0</v>
      </c>
      <c r="K343" s="1">
        <v>92.601299999999995</v>
      </c>
      <c r="L343" s="1">
        <v>0.6714</v>
      </c>
      <c r="N343" s="37" t="s">
        <v>453</v>
      </c>
    </row>
    <row r="344" spans="1:14" x14ac:dyDescent="0.25">
      <c r="A344" s="37">
        <v>5</v>
      </c>
      <c r="B344" s="1">
        <v>0.65681599999999996</v>
      </c>
      <c r="C344" s="1">
        <v>1.3809E-2</v>
      </c>
      <c r="D344" s="1">
        <v>7.2049999999999996E-3</v>
      </c>
      <c r="E344" s="1">
        <v>2.1014000000000001E-2</v>
      </c>
      <c r="F344" s="1">
        <v>0</v>
      </c>
      <c r="G344" s="1">
        <v>-0.18245900000000001</v>
      </c>
      <c r="H344" s="1">
        <v>0</v>
      </c>
      <c r="I344" s="1">
        <v>0</v>
      </c>
      <c r="J344" s="1">
        <v>0</v>
      </c>
      <c r="K344" s="1">
        <v>92.601299999999995</v>
      </c>
      <c r="L344" s="1">
        <v>0.67220000000000002</v>
      </c>
      <c r="N344" s="37" t="s">
        <v>454</v>
      </c>
    </row>
    <row r="345" spans="1:14" x14ac:dyDescent="0.25">
      <c r="A345" s="37">
        <v>5.5</v>
      </c>
      <c r="B345" s="1">
        <v>0.70547700000000002</v>
      </c>
      <c r="C345" s="1">
        <v>1.5987000000000001E-2</v>
      </c>
      <c r="D345" s="1">
        <v>7.9070000000000008E-3</v>
      </c>
      <c r="E345" s="1">
        <v>2.3893999999999999E-2</v>
      </c>
      <c r="F345" s="1">
        <v>0</v>
      </c>
      <c r="G345" s="1">
        <v>-0.19418099999999999</v>
      </c>
      <c r="H345" s="1">
        <v>0</v>
      </c>
      <c r="I345" s="1">
        <v>0</v>
      </c>
      <c r="J345" s="1">
        <v>0</v>
      </c>
      <c r="K345" s="1">
        <v>92.601299999999995</v>
      </c>
      <c r="L345" s="1">
        <v>0.67220000000000002</v>
      </c>
      <c r="N345" s="37" t="s">
        <v>455</v>
      </c>
    </row>
    <row r="346" spans="1:14" x14ac:dyDescent="0.25">
      <c r="A346" s="37">
        <v>6</v>
      </c>
      <c r="B346" s="1">
        <v>0.754108</v>
      </c>
      <c r="C346" s="1">
        <v>1.8362E-2</v>
      </c>
      <c r="D346" s="1">
        <v>8.5389999999999997E-3</v>
      </c>
      <c r="E346" s="1">
        <v>2.6901000000000001E-2</v>
      </c>
      <c r="F346" s="1">
        <v>0</v>
      </c>
      <c r="G346" s="1">
        <v>-0.20519699999999999</v>
      </c>
      <c r="H346" s="1">
        <v>0</v>
      </c>
      <c r="I346" s="1">
        <v>0</v>
      </c>
      <c r="J346" s="1">
        <v>0</v>
      </c>
      <c r="K346" s="1">
        <v>92.601299999999995</v>
      </c>
      <c r="L346" s="1">
        <v>0.67179999999999995</v>
      </c>
      <c r="N346" s="37" t="s">
        <v>456</v>
      </c>
    </row>
    <row r="347" spans="1:14" x14ac:dyDescent="0.25">
      <c r="A347" s="37">
        <v>6.5</v>
      </c>
      <c r="B347" s="1">
        <v>0.80272699999999997</v>
      </c>
      <c r="C347" s="1">
        <v>2.1037E-2</v>
      </c>
      <c r="D347" s="1">
        <v>9.0959999999999999E-3</v>
      </c>
      <c r="E347" s="1">
        <v>3.0133E-2</v>
      </c>
      <c r="F347" s="1">
        <v>0</v>
      </c>
      <c r="G347" s="1">
        <v>-0.21546399999999999</v>
      </c>
      <c r="H347" s="1">
        <v>0</v>
      </c>
      <c r="I347" s="1">
        <v>0</v>
      </c>
      <c r="J347" s="1">
        <v>0</v>
      </c>
      <c r="K347" s="1">
        <v>92.601299999999995</v>
      </c>
      <c r="L347" s="1">
        <v>0.67079999999999995</v>
      </c>
      <c r="N347" s="37" t="s">
        <v>457</v>
      </c>
    </row>
    <row r="348" spans="1:14" x14ac:dyDescent="0.25">
      <c r="A348" s="37">
        <v>7</v>
      </c>
      <c r="B348" s="1">
        <v>0.851468</v>
      </c>
      <c r="C348" s="1">
        <v>2.4400000000000002E-2</v>
      </c>
      <c r="D348" s="1">
        <v>9.6360000000000005E-3</v>
      </c>
      <c r="E348" s="1">
        <v>3.4036999999999998E-2</v>
      </c>
      <c r="F348" s="1">
        <v>0</v>
      </c>
      <c r="G348" s="1">
        <v>-0.225073</v>
      </c>
      <c r="H348" s="1">
        <v>0</v>
      </c>
      <c r="I348" s="1">
        <v>0</v>
      </c>
      <c r="J348" s="1">
        <v>0</v>
      </c>
      <c r="K348" s="1">
        <v>92.601299999999995</v>
      </c>
      <c r="L348" s="1">
        <v>0.6694</v>
      </c>
      <c r="N348" s="37" t="s">
        <v>458</v>
      </c>
    </row>
    <row r="349" spans="1:14" x14ac:dyDescent="0.25">
      <c r="A349" s="37">
        <v>7.5</v>
      </c>
      <c r="B349" s="1">
        <v>0.90060499999999999</v>
      </c>
      <c r="C349" s="1">
        <v>2.4791000000000001E-2</v>
      </c>
      <c r="D349" s="1">
        <v>1.0222999999999999E-2</v>
      </c>
      <c r="E349" s="1">
        <v>3.5014000000000003E-2</v>
      </c>
      <c r="F349" s="1">
        <v>0</v>
      </c>
      <c r="G349" s="1">
        <v>-0.23538300000000001</v>
      </c>
      <c r="H349" s="1">
        <v>0</v>
      </c>
      <c r="I349" s="1">
        <v>0</v>
      </c>
      <c r="J349" s="1">
        <v>0</v>
      </c>
      <c r="K349" s="1">
        <v>92.601299999999995</v>
      </c>
      <c r="L349" s="1">
        <v>0.6694</v>
      </c>
      <c r="N349" s="37" t="s">
        <v>459</v>
      </c>
    </row>
    <row r="350" spans="1:14" x14ac:dyDescent="0.25">
      <c r="A350" s="37">
        <v>8</v>
      </c>
      <c r="B350" s="1">
        <v>0.94845999999999997</v>
      </c>
      <c r="C350" s="1">
        <v>2.733E-2</v>
      </c>
      <c r="D350" s="1">
        <v>1.0828000000000001E-2</v>
      </c>
      <c r="E350" s="1">
        <v>3.8157999999999997E-2</v>
      </c>
      <c r="F350" s="1">
        <v>0</v>
      </c>
      <c r="G350" s="1">
        <v>-0.24974499999999999</v>
      </c>
      <c r="H350" s="1">
        <v>0</v>
      </c>
      <c r="I350" s="1">
        <v>0</v>
      </c>
      <c r="J350" s="1">
        <v>0</v>
      </c>
      <c r="K350" s="1">
        <v>92.601299999999995</v>
      </c>
      <c r="L350" s="1">
        <v>0.67669999999999997</v>
      </c>
      <c r="N350" s="37" t="s">
        <v>460</v>
      </c>
    </row>
    <row r="351" spans="1:14" x14ac:dyDescent="0.25">
      <c r="A351" s="37">
        <v>8.5</v>
      </c>
      <c r="B351" s="1">
        <v>0.99454799999999999</v>
      </c>
      <c r="C351" s="1">
        <v>3.4882000000000003E-2</v>
      </c>
      <c r="D351" s="1">
        <v>1.1475000000000001E-2</v>
      </c>
      <c r="E351" s="1">
        <v>4.6356000000000001E-2</v>
      </c>
      <c r="F351" s="1">
        <v>0</v>
      </c>
      <c r="G351" s="1">
        <v>-0.24784200000000001</v>
      </c>
      <c r="H351" s="1">
        <v>0</v>
      </c>
      <c r="I351" s="1">
        <v>0</v>
      </c>
      <c r="J351" s="1">
        <v>0</v>
      </c>
      <c r="K351" s="1">
        <v>92.601299999999995</v>
      </c>
      <c r="L351" s="1">
        <v>0.66320000000000001</v>
      </c>
      <c r="N351" s="37" t="s">
        <v>461</v>
      </c>
    </row>
    <row r="352" spans="1:14" x14ac:dyDescent="0.25">
      <c r="A352" s="37">
        <v>9</v>
      </c>
      <c r="B352" s="1">
        <v>1.0442880000000001</v>
      </c>
      <c r="C352" s="1">
        <v>3.4349999999999999E-2</v>
      </c>
      <c r="D352" s="1">
        <v>1.209E-2</v>
      </c>
      <c r="E352" s="1">
        <v>4.6440000000000002E-2</v>
      </c>
      <c r="F352" s="1">
        <v>0</v>
      </c>
      <c r="G352" s="1">
        <v>-0.262461</v>
      </c>
      <c r="H352" s="1">
        <v>0</v>
      </c>
      <c r="I352" s="1">
        <v>0</v>
      </c>
      <c r="J352" s="1">
        <v>0</v>
      </c>
      <c r="K352" s="1">
        <v>92.601299999999995</v>
      </c>
      <c r="L352" s="1">
        <v>0.67030000000000001</v>
      </c>
      <c r="N352" s="37" t="s">
        <v>462</v>
      </c>
    </row>
    <row r="353" spans="1:14" x14ac:dyDescent="0.25">
      <c r="A353" s="37">
        <v>9.5</v>
      </c>
      <c r="B353" s="1">
        <v>1.0910530000000001</v>
      </c>
      <c r="C353" s="1">
        <v>4.0342999999999997E-2</v>
      </c>
      <c r="D353" s="1">
        <v>1.2711999999999999E-2</v>
      </c>
      <c r="E353" s="1">
        <v>5.3053999999999997E-2</v>
      </c>
      <c r="F353" s="1">
        <v>0</v>
      </c>
      <c r="G353" s="1">
        <v>-0.26286799999999999</v>
      </c>
      <c r="H353" s="1">
        <v>0</v>
      </c>
      <c r="I353" s="1">
        <v>0</v>
      </c>
      <c r="J353" s="1">
        <v>0</v>
      </c>
      <c r="K353" s="1">
        <v>92.601299999999995</v>
      </c>
      <c r="L353" s="1">
        <v>0.66180000000000005</v>
      </c>
      <c r="N353" s="37" t="s">
        <v>463</v>
      </c>
    </row>
    <row r="354" spans="1:14" x14ac:dyDescent="0.25">
      <c r="A354" s="37">
        <v>10</v>
      </c>
      <c r="B354" s="1">
        <v>1.141967</v>
      </c>
      <c r="C354" s="1">
        <v>4.2687000000000003E-2</v>
      </c>
      <c r="D354" s="1">
        <v>1.3363999999999999E-2</v>
      </c>
      <c r="E354" s="1">
        <v>5.6050999999999997E-2</v>
      </c>
      <c r="F354" s="1">
        <v>0</v>
      </c>
      <c r="G354" s="1">
        <v>-0.27721699999999999</v>
      </c>
      <c r="H354" s="1">
        <v>0</v>
      </c>
      <c r="I354" s="1">
        <v>0</v>
      </c>
      <c r="J354" s="1">
        <v>0</v>
      </c>
      <c r="K354" s="1">
        <v>92.601299999999995</v>
      </c>
      <c r="L354" s="1">
        <v>0.66859999999999997</v>
      </c>
      <c r="N354" s="37" t="s">
        <v>464</v>
      </c>
    </row>
    <row r="355" spans="1:14" x14ac:dyDescent="0.25">
      <c r="A355" s="37">
        <v>10.5</v>
      </c>
      <c r="B355" s="1">
        <v>1.1912799999999999</v>
      </c>
      <c r="C355" s="1">
        <v>4.6253000000000002E-2</v>
      </c>
      <c r="D355" s="1">
        <v>1.4056000000000001E-2</v>
      </c>
      <c r="E355" s="1">
        <v>6.0309000000000001E-2</v>
      </c>
      <c r="F355" s="1">
        <v>0</v>
      </c>
      <c r="G355" s="1">
        <v>-0.28548000000000001</v>
      </c>
      <c r="H355" s="1">
        <v>0</v>
      </c>
      <c r="I355" s="1">
        <v>0</v>
      </c>
      <c r="J355" s="1">
        <v>0</v>
      </c>
      <c r="K355" s="1">
        <v>92.601299999999995</v>
      </c>
      <c r="L355" s="1">
        <v>0.66930000000000001</v>
      </c>
      <c r="N355" s="37" t="s">
        <v>465</v>
      </c>
    </row>
    <row r="356" spans="1:14" x14ac:dyDescent="0.25">
      <c r="A356" s="37">
        <v>11</v>
      </c>
      <c r="B356" s="1">
        <v>1.2400770000000001</v>
      </c>
      <c r="C356" s="1">
        <v>5.0116000000000001E-2</v>
      </c>
      <c r="D356" s="1">
        <v>1.4767000000000001E-2</v>
      </c>
      <c r="E356" s="1">
        <v>6.4881999999999995E-2</v>
      </c>
      <c r="F356" s="1">
        <v>0</v>
      </c>
      <c r="G356" s="1">
        <v>-0.29182599999999997</v>
      </c>
      <c r="H356" s="1">
        <v>0</v>
      </c>
      <c r="I356" s="1">
        <v>0</v>
      </c>
      <c r="J356" s="1">
        <v>0</v>
      </c>
      <c r="K356" s="1">
        <v>92.601299999999995</v>
      </c>
      <c r="L356" s="1">
        <v>0.66879999999999995</v>
      </c>
      <c r="N356" s="37" t="s">
        <v>466</v>
      </c>
    </row>
    <row r="357" spans="1:14" x14ac:dyDescent="0.25">
      <c r="A357" s="37">
        <v>11.5</v>
      </c>
      <c r="B357" s="1">
        <v>1.2901670000000001</v>
      </c>
      <c r="C357" s="1">
        <v>5.4304999999999999E-2</v>
      </c>
      <c r="D357" s="1">
        <v>1.5551000000000001E-2</v>
      </c>
      <c r="E357" s="1">
        <v>6.9856000000000001E-2</v>
      </c>
      <c r="F357" s="1">
        <v>0</v>
      </c>
      <c r="G357" s="1">
        <v>-0.30077599999999999</v>
      </c>
      <c r="H357" s="1">
        <v>0</v>
      </c>
      <c r="I357" s="1">
        <v>0</v>
      </c>
      <c r="J357" s="1">
        <v>0</v>
      </c>
      <c r="K357" s="1">
        <v>92.601299999999995</v>
      </c>
      <c r="L357" s="1">
        <v>0.67100000000000004</v>
      </c>
      <c r="N357" s="37" t="s">
        <v>467</v>
      </c>
    </row>
    <row r="358" spans="1:14" x14ac:dyDescent="0.25">
      <c r="A358" s="37">
        <v>12</v>
      </c>
      <c r="B358" s="1">
        <v>1.3395379999999999</v>
      </c>
      <c r="C358" s="1">
        <v>5.8566E-2</v>
      </c>
      <c r="D358" s="1">
        <v>1.6385E-2</v>
      </c>
      <c r="E358" s="1">
        <v>7.4951000000000004E-2</v>
      </c>
      <c r="F358" s="1">
        <v>0</v>
      </c>
      <c r="G358" s="1">
        <v>-0.307031</v>
      </c>
      <c r="H358" s="1">
        <v>0</v>
      </c>
      <c r="I358" s="1">
        <v>0</v>
      </c>
      <c r="J358" s="1">
        <v>0</v>
      </c>
      <c r="K358" s="1">
        <v>92.601299999999995</v>
      </c>
      <c r="L358" s="1">
        <v>0.67120000000000002</v>
      </c>
      <c r="N358" s="37" t="s">
        <v>468</v>
      </c>
    </row>
    <row r="359" spans="1:14" x14ac:dyDescent="0.25">
      <c r="A359" s="37">
        <v>12.5</v>
      </c>
      <c r="B359" s="1">
        <v>1.3887910000000001</v>
      </c>
      <c r="C359" s="1">
        <v>6.2968999999999997E-2</v>
      </c>
      <c r="D359" s="1">
        <v>1.7283E-2</v>
      </c>
      <c r="E359" s="1">
        <v>8.0252000000000004E-2</v>
      </c>
      <c r="F359" s="1">
        <v>0</v>
      </c>
      <c r="G359" s="1">
        <v>-0.31223099999999998</v>
      </c>
      <c r="H359" s="1">
        <v>0</v>
      </c>
      <c r="I359" s="1">
        <v>0</v>
      </c>
      <c r="J359" s="1">
        <v>0</v>
      </c>
      <c r="K359" s="1">
        <v>92.601299999999995</v>
      </c>
      <c r="L359" s="1">
        <v>0.67100000000000004</v>
      </c>
      <c r="N359" s="37" t="s">
        <v>469</v>
      </c>
    </row>
    <row r="360" spans="1:14" x14ac:dyDescent="0.25">
      <c r="A360" s="37">
        <v>13</v>
      </c>
      <c r="B360" s="1">
        <v>1.437994</v>
      </c>
      <c r="C360" s="1">
        <v>6.7520999999999998E-2</v>
      </c>
      <c r="D360" s="1">
        <v>1.8266999999999999E-2</v>
      </c>
      <c r="E360" s="1">
        <v>8.5788000000000003E-2</v>
      </c>
      <c r="F360" s="1">
        <v>0</v>
      </c>
      <c r="G360" s="1">
        <v>-0.31655</v>
      </c>
      <c r="H360" s="1">
        <v>0</v>
      </c>
      <c r="I360" s="1">
        <v>0</v>
      </c>
      <c r="J360" s="1">
        <v>0</v>
      </c>
      <c r="K360" s="1">
        <v>92.601299999999995</v>
      </c>
      <c r="L360" s="1">
        <v>0.6704</v>
      </c>
      <c r="N360" s="37" t="s">
        <v>470</v>
      </c>
    </row>
    <row r="361" spans="1:14" x14ac:dyDescent="0.25">
      <c r="A361" s="37">
        <v>13.5</v>
      </c>
      <c r="B361" s="1">
        <v>1.4871700000000001</v>
      </c>
      <c r="C361" s="1">
        <v>7.2223999999999997E-2</v>
      </c>
      <c r="D361" s="1">
        <v>1.9302E-2</v>
      </c>
      <c r="E361" s="1">
        <v>9.1526999999999997E-2</v>
      </c>
      <c r="F361" s="1">
        <v>0</v>
      </c>
      <c r="G361" s="1">
        <v>-0.32002999999999998</v>
      </c>
      <c r="H361" s="1">
        <v>0</v>
      </c>
      <c r="I361" s="1">
        <v>0</v>
      </c>
      <c r="J361" s="1">
        <v>0</v>
      </c>
      <c r="K361" s="1">
        <v>92.601299999999995</v>
      </c>
      <c r="L361" s="1">
        <v>0.66969999999999996</v>
      </c>
      <c r="N361" s="37" t="s">
        <v>471</v>
      </c>
    </row>
    <row r="362" spans="1:14" x14ac:dyDescent="0.25">
      <c r="A362" s="37">
        <v>14</v>
      </c>
      <c r="B362" s="1">
        <v>1.5363309999999999</v>
      </c>
      <c r="C362" s="1">
        <v>7.7079999999999996E-2</v>
      </c>
      <c r="D362" s="1">
        <v>2.0371E-2</v>
      </c>
      <c r="E362" s="1">
        <v>9.7450999999999996E-2</v>
      </c>
      <c r="F362" s="1">
        <v>0</v>
      </c>
      <c r="G362" s="1">
        <v>-0.322683</v>
      </c>
      <c r="H362" s="1">
        <v>0</v>
      </c>
      <c r="I362" s="1">
        <v>0</v>
      </c>
      <c r="J362" s="1">
        <v>0</v>
      </c>
      <c r="K362" s="1">
        <v>92.601299999999995</v>
      </c>
      <c r="L362" s="1">
        <v>0.66890000000000005</v>
      </c>
      <c r="N362" s="37" t="s">
        <v>472</v>
      </c>
    </row>
    <row r="363" spans="1:14" x14ac:dyDescent="0.25">
      <c r="A363" s="37">
        <v>14.5</v>
      </c>
      <c r="B363" s="1">
        <v>1.58548</v>
      </c>
      <c r="C363" s="1">
        <v>8.2088999999999995E-2</v>
      </c>
      <c r="D363" s="1">
        <v>2.1484E-2</v>
      </c>
      <c r="E363" s="1">
        <v>0.103573</v>
      </c>
      <c r="F363" s="1">
        <v>0</v>
      </c>
      <c r="G363" s="1">
        <v>-0.32450200000000001</v>
      </c>
      <c r="H363" s="1">
        <v>0</v>
      </c>
      <c r="I363" s="1">
        <v>0</v>
      </c>
      <c r="J363" s="1">
        <v>0</v>
      </c>
      <c r="K363" s="1">
        <v>92.601299999999995</v>
      </c>
      <c r="L363" s="1">
        <v>0.66790000000000005</v>
      </c>
      <c r="N363" s="37" t="s">
        <v>473</v>
      </c>
    </row>
    <row r="364" spans="1:14" x14ac:dyDescent="0.25">
      <c r="A364" s="37">
        <v>15</v>
      </c>
      <c r="B364" s="1">
        <v>1.6346160000000001</v>
      </c>
      <c r="C364" s="1">
        <v>8.7249999999999994E-2</v>
      </c>
      <c r="D364" s="1">
        <v>2.2719E-2</v>
      </c>
      <c r="E364" s="1">
        <v>0.10997</v>
      </c>
      <c r="F364" s="1">
        <v>0</v>
      </c>
      <c r="G364" s="1">
        <v>-0.325484</v>
      </c>
      <c r="H364" s="1">
        <v>0</v>
      </c>
      <c r="I364" s="1">
        <v>0</v>
      </c>
      <c r="J364" s="1">
        <v>0</v>
      </c>
      <c r="K364" s="1">
        <v>92.601299999999995</v>
      </c>
      <c r="L364" s="1">
        <v>0.66679999999999995</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N364"/>
  <sheetViews>
    <sheetView workbookViewId="0">
      <selection activeCell="G7" sqref="G7"/>
    </sheetView>
  </sheetViews>
  <sheetFormatPr defaultColWidth="8.88671875" defaultRowHeight="13.2" x14ac:dyDescent="0.25"/>
  <cols>
    <col min="1" max="1" width="17" style="1" customWidth="1"/>
    <col min="2" max="12" width="8.88671875" style="1"/>
    <col min="13" max="13" width="4" style="1" customWidth="1"/>
    <col min="14" max="16384" width="8.88671875" style="1"/>
  </cols>
  <sheetData>
    <row r="1" spans="1:14" x14ac:dyDescent="0.25">
      <c r="A1" s="1" t="s">
        <v>20</v>
      </c>
      <c r="B1" s="8">
        <v>3400</v>
      </c>
      <c r="C1" s="1" t="s">
        <v>87</v>
      </c>
      <c r="E1" s="21" t="s">
        <v>474</v>
      </c>
      <c r="F1" s="1">
        <v>7</v>
      </c>
      <c r="N1" s="1" t="s">
        <v>148</v>
      </c>
    </row>
    <row r="2" spans="1:14" x14ac:dyDescent="0.25">
      <c r="A2" s="1" t="s">
        <v>187</v>
      </c>
      <c r="B2" s="8">
        <v>10.26</v>
      </c>
      <c r="E2" s="21" t="s">
        <v>2</v>
      </c>
      <c r="F2" s="1">
        <f>B282</f>
        <v>0</v>
      </c>
      <c r="N2" s="13" t="s">
        <v>159</v>
      </c>
    </row>
    <row r="3" spans="1:14" x14ac:dyDescent="0.25">
      <c r="A3" s="1" t="str">
        <f>CD0!A2</f>
        <v>Altitude</v>
      </c>
      <c r="B3" s="1">
        <f>CD0!B2</f>
        <v>8000</v>
      </c>
      <c r="C3" s="1" t="str">
        <f>CD0!C2</f>
        <v>ft</v>
      </c>
      <c r="N3" s="37" t="s">
        <v>136</v>
      </c>
    </row>
    <row r="4" spans="1:14" x14ac:dyDescent="0.25">
      <c r="A4" s="1" t="str">
        <f>CD0!A3</f>
        <v>Velocity</v>
      </c>
      <c r="B4" s="1">
        <f>CD0!B4</f>
        <v>219.4153</v>
      </c>
      <c r="C4" s="1" t="str">
        <f>CD0!C4</f>
        <v>ft / sec</v>
      </c>
      <c r="N4" s="37" t="s">
        <v>137</v>
      </c>
    </row>
    <row r="5" spans="1:14" x14ac:dyDescent="0.25">
      <c r="A5" s="1" t="str">
        <f>CD0!A6</f>
        <v>Density</v>
      </c>
      <c r="B5" s="1">
        <f>CD0!B6</f>
        <v>1.868460058481886E-3</v>
      </c>
      <c r="C5" s="1" t="str">
        <f>CD0!C6</f>
        <v>slugs / ft^3</v>
      </c>
      <c r="N5" s="37" t="s">
        <v>138</v>
      </c>
    </row>
    <row r="6" spans="1:14" x14ac:dyDescent="0.25">
      <c r="A6" s="1" t="str">
        <f>CD0!A12</f>
        <v>Ref Area</v>
      </c>
      <c r="B6" s="1">
        <f>CD0!B12</f>
        <v>144.9</v>
      </c>
      <c r="C6" s="1" t="str">
        <f>CD0!C12</f>
        <v>ft^2</v>
      </c>
      <c r="N6" s="37" t="s">
        <v>135</v>
      </c>
    </row>
    <row r="7" spans="1:14" x14ac:dyDescent="0.25">
      <c r="A7" s="13" t="s">
        <v>185</v>
      </c>
      <c r="B7" s="13">
        <f>2*B1/(B5*B4^2*B6)</f>
        <v>0.52170246983857627</v>
      </c>
      <c r="N7" s="37" t="s">
        <v>139</v>
      </c>
    </row>
    <row r="8" spans="1:14" x14ac:dyDescent="0.25">
      <c r="N8" s="37" t="s">
        <v>140</v>
      </c>
    </row>
    <row r="9" spans="1:14" x14ac:dyDescent="0.25">
      <c r="A9" s="13" t="s">
        <v>551</v>
      </c>
      <c r="N9" s="37" t="s">
        <v>141</v>
      </c>
    </row>
    <row r="10" spans="1:14" x14ac:dyDescent="0.25">
      <c r="A10" s="44" t="s">
        <v>119</v>
      </c>
      <c r="B10">
        <f>MATCH($B$7,B15:B51,1)+ROW()+4</f>
        <v>27</v>
      </c>
      <c r="F10" s="21" t="s">
        <v>736</v>
      </c>
      <c r="G10">
        <f>MATCH(0,G15:G51,-1)+ROW()+4</f>
        <v>22</v>
      </c>
      <c r="N10" s="37" t="s">
        <v>142</v>
      </c>
    </row>
    <row r="11" spans="1:14" x14ac:dyDescent="0.25">
      <c r="A11" s="45" t="s">
        <v>186</v>
      </c>
      <c r="B11">
        <f ca="1">INDIRECT(CONCATENATE("C",B10+1)) - (INDIRECT(CONCATENATE("B",B10+1))-$B$7) / (INDIRECT(CONCATENATE("B",B10+1))-INDIRECT(CONCATENATE("B",B10))) * (INDIRECT(CONCATENATE("C",B10+1)) - INDIRECT(CONCATENATE("C",B10)) )</f>
        <v>8.494522263058862E-3</v>
      </c>
      <c r="F11" s="21" t="s">
        <v>737</v>
      </c>
      <c r="G11" s="1">
        <f ca="1">INDIRECT(CONCATENATE("B",G10+1)) - (INDIRECT(CONCATENATE("B",G10+1))-INDIRECT(CONCATENATE("B",G10))) / (INDIRECT(CONCATENATE("G",G10+1))-INDIRECT(CONCATENATE("G",G10))) * (INDIRECT(CONCATENATE("G",G10+1)) - 0)</f>
        <v>0.26929312052259796</v>
      </c>
      <c r="N11" s="37" t="s">
        <v>143</v>
      </c>
    </row>
    <row r="12" spans="1:14" x14ac:dyDescent="0.25">
      <c r="A12" s="13" t="s">
        <v>2</v>
      </c>
      <c r="B12" s="13">
        <f ca="1">$B$7^2/(PI()*$B$2*B11)</f>
        <v>0.99405312087351294</v>
      </c>
      <c r="N12" s="37" t="s">
        <v>162</v>
      </c>
    </row>
    <row r="13" spans="1:14" x14ac:dyDescent="0.25">
      <c r="N13" s="37" t="s">
        <v>144</v>
      </c>
    </row>
    <row r="14" spans="1:14" x14ac:dyDescent="0.25">
      <c r="A14" s="1" t="s">
        <v>128</v>
      </c>
      <c r="B14" s="1" t="s">
        <v>118</v>
      </c>
      <c r="C14" s="1" t="s">
        <v>149</v>
      </c>
      <c r="D14" s="1" t="s">
        <v>150</v>
      </c>
      <c r="E14" s="1" t="s">
        <v>151</v>
      </c>
      <c r="F14" s="1" t="s">
        <v>152</v>
      </c>
      <c r="G14" s="1" t="s">
        <v>153</v>
      </c>
      <c r="H14" s="1" t="s">
        <v>154</v>
      </c>
      <c r="I14" s="1" t="s">
        <v>155</v>
      </c>
      <c r="J14" s="1" t="s">
        <v>156</v>
      </c>
      <c r="K14" s="1" t="s">
        <v>157</v>
      </c>
      <c r="L14" s="1" t="s">
        <v>158</v>
      </c>
      <c r="N14" s="37" t="s">
        <v>145</v>
      </c>
    </row>
    <row r="15" spans="1:14" x14ac:dyDescent="0.25">
      <c r="A15" s="1">
        <v>-2.5</v>
      </c>
      <c r="B15" s="1">
        <v>-9.3800999999999995E-2</v>
      </c>
      <c r="C15" s="1">
        <v>9.8900000000000008E-4</v>
      </c>
      <c r="D15" s="1">
        <v>7.5550000000000001E-3</v>
      </c>
      <c r="E15" s="1">
        <v>8.5439999999999995E-3</v>
      </c>
      <c r="F15" s="1">
        <v>0</v>
      </c>
      <c r="G15" s="1">
        <v>0.130689</v>
      </c>
      <c r="H15" s="1">
        <v>0</v>
      </c>
      <c r="I15" s="1">
        <v>0</v>
      </c>
      <c r="J15" s="1">
        <v>0</v>
      </c>
      <c r="K15" s="1">
        <v>92.601299999999995</v>
      </c>
      <c r="L15" s="1">
        <v>2.008</v>
      </c>
      <c r="N15" s="37" t="s">
        <v>190</v>
      </c>
    </row>
    <row r="16" spans="1:14" x14ac:dyDescent="0.25">
      <c r="A16" s="1">
        <v>-2</v>
      </c>
      <c r="B16" s="1">
        <v>-4.4819999999999999E-2</v>
      </c>
      <c r="C16" s="1">
        <v>6.69E-4</v>
      </c>
      <c r="D16" s="1">
        <v>7.3359999999999996E-3</v>
      </c>
      <c r="E16" s="1">
        <v>8.0040000000000007E-3</v>
      </c>
      <c r="F16" s="1">
        <v>0</v>
      </c>
      <c r="G16" s="1">
        <v>0.111954</v>
      </c>
      <c r="H16" s="1">
        <v>0</v>
      </c>
      <c r="I16" s="1">
        <v>0</v>
      </c>
      <c r="J16" s="1">
        <v>0</v>
      </c>
      <c r="K16" s="1">
        <v>92.601299999999995</v>
      </c>
      <c r="L16" s="1">
        <v>3.3578000000000001</v>
      </c>
      <c r="N16" s="37" t="s">
        <v>146</v>
      </c>
    </row>
    <row r="17" spans="1:14" x14ac:dyDescent="0.25">
      <c r="A17" s="1">
        <v>-1.5</v>
      </c>
      <c r="B17" s="1">
        <v>4.1529999999999996E-3</v>
      </c>
      <c r="C17" s="1">
        <v>5.0600000000000005E-4</v>
      </c>
      <c r="D17" s="1">
        <v>7.1260000000000004E-3</v>
      </c>
      <c r="E17" s="1">
        <v>7.6319999999999999E-3</v>
      </c>
      <c r="F17" s="1">
        <v>0</v>
      </c>
      <c r="G17" s="1">
        <v>9.3507000000000007E-2</v>
      </c>
      <c r="H17" s="1">
        <v>0</v>
      </c>
      <c r="I17" s="1">
        <v>0</v>
      </c>
      <c r="J17" s="1">
        <v>0</v>
      </c>
      <c r="K17" s="1">
        <v>92.601299999999995</v>
      </c>
      <c r="L17" s="1">
        <v>-27.185600000000001</v>
      </c>
      <c r="N17" s="37" t="s">
        <v>147</v>
      </c>
    </row>
    <row r="18" spans="1:14" x14ac:dyDescent="0.25">
      <c r="A18" s="1">
        <v>-1</v>
      </c>
      <c r="B18" s="1">
        <v>5.3115999999999997E-2</v>
      </c>
      <c r="C18" s="1">
        <v>5.0100000000000003E-4</v>
      </c>
      <c r="D18" s="1">
        <v>6.8979999999999996E-3</v>
      </c>
      <c r="E18" s="1">
        <v>7.3980000000000001E-3</v>
      </c>
      <c r="F18" s="1">
        <v>0</v>
      </c>
      <c r="G18" s="1">
        <v>7.5377E-2</v>
      </c>
      <c r="H18" s="1">
        <v>0</v>
      </c>
      <c r="I18" s="1">
        <v>0</v>
      </c>
      <c r="J18" s="1">
        <v>0</v>
      </c>
      <c r="K18" s="1">
        <v>92.601299999999995</v>
      </c>
      <c r="L18" s="1">
        <v>-1.4232</v>
      </c>
      <c r="N18" s="37" t="s">
        <v>476</v>
      </c>
    </row>
    <row r="19" spans="1:14" x14ac:dyDescent="0.25">
      <c r="A19" s="1">
        <v>-0.5</v>
      </c>
      <c r="B19" s="1">
        <v>0.102066</v>
      </c>
      <c r="C19" s="1">
        <v>6.5300000000000004E-4</v>
      </c>
      <c r="D19" s="1">
        <v>6.6649999999999999E-3</v>
      </c>
      <c r="E19" s="1">
        <v>7.3179999999999999E-3</v>
      </c>
      <c r="F19" s="1">
        <v>0</v>
      </c>
      <c r="G19" s="1">
        <v>5.7597000000000002E-2</v>
      </c>
      <c r="H19" s="1">
        <v>0</v>
      </c>
      <c r="I19" s="1">
        <v>0</v>
      </c>
      <c r="J19" s="1">
        <v>0</v>
      </c>
      <c r="K19" s="1">
        <v>92.601299999999995</v>
      </c>
      <c r="L19" s="1">
        <v>-0.37790000000000001</v>
      </c>
      <c r="N19" s="37" t="s">
        <v>477</v>
      </c>
    </row>
    <row r="20" spans="1:14" x14ac:dyDescent="0.25">
      <c r="A20" s="1">
        <v>0</v>
      </c>
      <c r="B20" s="1">
        <v>0.151002</v>
      </c>
      <c r="C20" s="1">
        <v>9.6299999999999999E-4</v>
      </c>
      <c r="D20" s="1">
        <v>6.3680000000000004E-3</v>
      </c>
      <c r="E20" s="1">
        <v>7.3309999999999998E-3</v>
      </c>
      <c r="F20" s="1">
        <v>0</v>
      </c>
      <c r="G20" s="1">
        <v>4.0196000000000003E-2</v>
      </c>
      <c r="H20" s="1">
        <v>0</v>
      </c>
      <c r="I20" s="1">
        <v>0</v>
      </c>
      <c r="J20" s="1">
        <v>0</v>
      </c>
      <c r="K20" s="1">
        <v>92.601299999999995</v>
      </c>
      <c r="L20" s="1">
        <v>-1.2200000000000001E-2</v>
      </c>
      <c r="N20" s="37" t="s">
        <v>478</v>
      </c>
    </row>
    <row r="21" spans="1:14" x14ac:dyDescent="0.25">
      <c r="A21" s="1">
        <v>0.5</v>
      </c>
      <c r="B21" s="1">
        <v>0.19992099999999999</v>
      </c>
      <c r="C21" s="1">
        <v>1.431E-3</v>
      </c>
      <c r="D21" s="1">
        <v>5.9839999999999997E-3</v>
      </c>
      <c r="E21" s="1">
        <v>7.4149999999999997E-3</v>
      </c>
      <c r="F21" s="1">
        <v>0</v>
      </c>
      <c r="G21" s="1">
        <v>2.3216000000000001E-2</v>
      </c>
      <c r="H21" s="1">
        <v>0</v>
      </c>
      <c r="I21" s="1">
        <v>0</v>
      </c>
      <c r="J21" s="1">
        <v>0</v>
      </c>
      <c r="K21" s="1">
        <v>92.601299999999995</v>
      </c>
      <c r="L21" s="1">
        <v>0.17299999999999999</v>
      </c>
      <c r="N21" s="37" t="s">
        <v>479</v>
      </c>
    </row>
    <row r="22" spans="1:14" x14ac:dyDescent="0.25">
      <c r="A22" s="1">
        <v>1</v>
      </c>
      <c r="B22" s="1">
        <v>0.24882299999999999</v>
      </c>
      <c r="C22" s="1">
        <v>2.0579999999999999E-3</v>
      </c>
      <c r="D22" s="1">
        <v>5.4070000000000003E-3</v>
      </c>
      <c r="E22" s="1">
        <v>7.4650000000000003E-3</v>
      </c>
      <c r="F22" s="1">
        <v>0</v>
      </c>
      <c r="G22" s="1">
        <v>6.6990000000000001E-3</v>
      </c>
      <c r="H22" s="1">
        <v>0</v>
      </c>
      <c r="I22" s="1">
        <v>0</v>
      </c>
      <c r="J22" s="1">
        <v>0</v>
      </c>
      <c r="K22" s="1">
        <v>92.601299999999995</v>
      </c>
      <c r="L22" s="1">
        <v>0.28410000000000002</v>
      </c>
      <c r="N22" s="37" t="s">
        <v>480</v>
      </c>
    </row>
    <row r="23" spans="1:14" x14ac:dyDescent="0.25">
      <c r="A23" s="1">
        <v>1.5</v>
      </c>
      <c r="B23" s="1">
        <v>0.297705</v>
      </c>
      <c r="C23" s="1">
        <v>2.843E-3</v>
      </c>
      <c r="D23" s="1">
        <v>4.5110000000000003E-3</v>
      </c>
      <c r="E23" s="1">
        <v>7.3540000000000003E-3</v>
      </c>
      <c r="F23" s="1">
        <v>0</v>
      </c>
      <c r="G23" s="1">
        <v>-9.2980000000000007E-3</v>
      </c>
      <c r="H23" s="1">
        <v>0</v>
      </c>
      <c r="I23" s="1">
        <v>0</v>
      </c>
      <c r="J23" s="1">
        <v>0</v>
      </c>
      <c r="K23" s="1">
        <v>92.601299999999995</v>
      </c>
      <c r="L23" s="1">
        <v>0.35770000000000002</v>
      </c>
      <c r="N23" s="37" t="s">
        <v>481</v>
      </c>
    </row>
    <row r="24" spans="1:14" x14ac:dyDescent="0.25">
      <c r="A24" s="1">
        <v>2</v>
      </c>
      <c r="B24" s="1">
        <v>0.34656500000000001</v>
      </c>
      <c r="C24" s="1">
        <v>3.7859999999999999E-3</v>
      </c>
      <c r="D24" s="1">
        <v>4.2040000000000003E-3</v>
      </c>
      <c r="E24" s="1">
        <v>7.9889999999999996E-3</v>
      </c>
      <c r="F24" s="1">
        <v>0</v>
      </c>
      <c r="G24" s="1">
        <v>-2.4993000000000001E-2</v>
      </c>
      <c r="H24" s="1">
        <v>0</v>
      </c>
      <c r="I24" s="1">
        <v>0</v>
      </c>
      <c r="J24" s="1">
        <v>0</v>
      </c>
      <c r="K24" s="1">
        <v>92.601299999999995</v>
      </c>
      <c r="L24" s="1">
        <v>0.40960000000000002</v>
      </c>
      <c r="N24" s="37" t="s">
        <v>482</v>
      </c>
    </row>
    <row r="25" spans="1:14" x14ac:dyDescent="0.25">
      <c r="A25" s="1">
        <v>2.5</v>
      </c>
      <c r="B25" s="1">
        <v>0.39540199999999998</v>
      </c>
      <c r="C25" s="1">
        <v>4.8869999999999999E-3</v>
      </c>
      <c r="D25" s="1">
        <v>4.1529999999999996E-3</v>
      </c>
      <c r="E25" s="1">
        <v>9.0399999999999994E-3</v>
      </c>
      <c r="F25" s="1">
        <v>0</v>
      </c>
      <c r="G25" s="1">
        <v>-4.0239999999999998E-2</v>
      </c>
      <c r="H25" s="1">
        <v>0</v>
      </c>
      <c r="I25" s="1">
        <v>0</v>
      </c>
      <c r="J25" s="1">
        <v>0</v>
      </c>
      <c r="K25" s="1">
        <v>92.601299999999995</v>
      </c>
      <c r="L25" s="1">
        <v>0.44779999999999998</v>
      </c>
      <c r="N25" s="37" t="s">
        <v>483</v>
      </c>
    </row>
    <row r="26" spans="1:14" x14ac:dyDescent="0.25">
      <c r="A26" s="1">
        <v>3</v>
      </c>
      <c r="B26" s="1">
        <v>0.44421300000000002</v>
      </c>
      <c r="C26" s="1">
        <v>6.1469999999999997E-3</v>
      </c>
      <c r="D26" s="1">
        <v>4.2209999999999999E-3</v>
      </c>
      <c r="E26" s="1">
        <v>1.0368E-2</v>
      </c>
      <c r="F26" s="1">
        <v>0</v>
      </c>
      <c r="G26" s="1">
        <v>-5.4995000000000002E-2</v>
      </c>
      <c r="H26" s="1">
        <v>0</v>
      </c>
      <c r="I26" s="1">
        <v>0</v>
      </c>
      <c r="J26" s="1">
        <v>0</v>
      </c>
      <c r="K26" s="1">
        <v>92.601299999999995</v>
      </c>
      <c r="L26" s="1">
        <v>0.4768</v>
      </c>
      <c r="N26" s="37" t="s">
        <v>484</v>
      </c>
    </row>
    <row r="27" spans="1:14" x14ac:dyDescent="0.25">
      <c r="A27" s="1">
        <v>3.5</v>
      </c>
      <c r="B27" s="1">
        <v>0.49299599999999999</v>
      </c>
      <c r="C27" s="1">
        <v>7.5659999999999998E-3</v>
      </c>
      <c r="D27" s="1">
        <v>4.5789999999999997E-3</v>
      </c>
      <c r="E27" s="1">
        <v>1.2145E-2</v>
      </c>
      <c r="F27" s="1">
        <v>0</v>
      </c>
      <c r="G27" s="1">
        <v>-6.9290000000000004E-2</v>
      </c>
      <c r="H27" s="1">
        <v>0</v>
      </c>
      <c r="I27" s="1">
        <v>0</v>
      </c>
      <c r="J27" s="1">
        <v>0</v>
      </c>
      <c r="K27" s="1">
        <v>92.601299999999995</v>
      </c>
      <c r="L27" s="1">
        <v>0.49940000000000001</v>
      </c>
      <c r="N27" s="37" t="s">
        <v>485</v>
      </c>
    </row>
    <row r="28" spans="1:14" x14ac:dyDescent="0.25">
      <c r="A28" s="1">
        <v>4</v>
      </c>
      <c r="B28" s="1">
        <v>0.54175099999999998</v>
      </c>
      <c r="C28" s="1">
        <v>9.1430000000000001E-3</v>
      </c>
      <c r="D28" s="1">
        <v>5.4460000000000003E-3</v>
      </c>
      <c r="E28" s="1">
        <v>1.4589E-2</v>
      </c>
      <c r="F28" s="1">
        <v>0</v>
      </c>
      <c r="G28" s="1">
        <v>-8.3143999999999996E-2</v>
      </c>
      <c r="H28" s="1">
        <v>0</v>
      </c>
      <c r="I28" s="1">
        <v>0</v>
      </c>
      <c r="J28" s="1">
        <v>0</v>
      </c>
      <c r="K28" s="1">
        <v>92.601299999999995</v>
      </c>
      <c r="L28" s="1">
        <v>0.51729999999999998</v>
      </c>
      <c r="N28" s="37" t="s">
        <v>486</v>
      </c>
    </row>
    <row r="29" spans="1:14" x14ac:dyDescent="0.25">
      <c r="A29" s="1">
        <v>4.5</v>
      </c>
      <c r="B29" s="1">
        <v>0.59047300000000003</v>
      </c>
      <c r="C29" s="1">
        <v>1.0879E-2</v>
      </c>
      <c r="D29" s="1">
        <v>6.4219999999999998E-3</v>
      </c>
      <c r="E29" s="1">
        <v>1.7299999999999999E-2</v>
      </c>
      <c r="F29" s="1">
        <v>0</v>
      </c>
      <c r="G29" s="1">
        <v>-9.6421000000000007E-2</v>
      </c>
      <c r="H29" s="1">
        <v>0</v>
      </c>
      <c r="I29" s="1">
        <v>0</v>
      </c>
      <c r="J29" s="1">
        <v>0</v>
      </c>
      <c r="K29" s="1">
        <v>92.601299999999995</v>
      </c>
      <c r="L29" s="1">
        <v>0.53159999999999996</v>
      </c>
      <c r="N29" s="37" t="s">
        <v>487</v>
      </c>
    </row>
    <row r="30" spans="1:14" x14ac:dyDescent="0.25">
      <c r="A30" s="1">
        <v>5</v>
      </c>
      <c r="B30" s="1">
        <v>0.63916300000000004</v>
      </c>
      <c r="C30" s="1">
        <v>1.2774000000000001E-2</v>
      </c>
      <c r="D30" s="1">
        <v>7.2389999999999998E-3</v>
      </c>
      <c r="E30" s="1">
        <v>2.0013E-2</v>
      </c>
      <c r="F30" s="1">
        <v>0</v>
      </c>
      <c r="G30" s="1">
        <v>-0.10904800000000001</v>
      </c>
      <c r="H30" s="1">
        <v>0</v>
      </c>
      <c r="I30" s="1">
        <v>0</v>
      </c>
      <c r="J30" s="1">
        <v>0</v>
      </c>
      <c r="K30" s="1">
        <v>92.601299999999995</v>
      </c>
      <c r="L30" s="1">
        <v>0.54320000000000002</v>
      </c>
      <c r="N30" s="37" t="s">
        <v>488</v>
      </c>
    </row>
    <row r="31" spans="1:14" x14ac:dyDescent="0.25">
      <c r="A31" s="1">
        <v>5.5</v>
      </c>
      <c r="B31" s="1">
        <v>0.68781700000000001</v>
      </c>
      <c r="C31" s="1">
        <v>1.4831E-2</v>
      </c>
      <c r="D31" s="1">
        <v>7.9360000000000003E-3</v>
      </c>
      <c r="E31" s="1">
        <v>2.2766999999999999E-2</v>
      </c>
      <c r="F31" s="1">
        <v>0</v>
      </c>
      <c r="G31" s="1">
        <v>-0.12101199999999999</v>
      </c>
      <c r="H31" s="1">
        <v>0</v>
      </c>
      <c r="I31" s="1">
        <v>0</v>
      </c>
      <c r="J31" s="1">
        <v>0</v>
      </c>
      <c r="K31" s="1">
        <v>92.601299999999995</v>
      </c>
      <c r="L31" s="1">
        <v>0.55249999999999999</v>
      </c>
      <c r="N31" s="37" t="s">
        <v>489</v>
      </c>
    </row>
    <row r="32" spans="1:14" x14ac:dyDescent="0.25">
      <c r="A32" s="1">
        <v>6</v>
      </c>
      <c r="B32" s="1">
        <v>0.736433</v>
      </c>
      <c r="C32" s="1">
        <v>1.7056000000000002E-2</v>
      </c>
      <c r="D32" s="1">
        <v>8.5609999999999992E-3</v>
      </c>
      <c r="E32" s="1">
        <v>2.5617000000000001E-2</v>
      </c>
      <c r="F32" s="1">
        <v>0</v>
      </c>
      <c r="G32" s="1">
        <v>-0.132302</v>
      </c>
      <c r="H32" s="1">
        <v>0</v>
      </c>
      <c r="I32" s="1">
        <v>0</v>
      </c>
      <c r="J32" s="1">
        <v>0</v>
      </c>
      <c r="K32" s="1">
        <v>92.601299999999995</v>
      </c>
      <c r="L32" s="1">
        <v>0.56010000000000004</v>
      </c>
      <c r="N32" s="37" t="s">
        <v>490</v>
      </c>
    </row>
    <row r="33" spans="1:14" x14ac:dyDescent="0.25">
      <c r="A33" s="1">
        <v>6.5</v>
      </c>
      <c r="B33" s="1">
        <v>0.78501399999999999</v>
      </c>
      <c r="C33" s="1">
        <v>1.9477999999999999E-2</v>
      </c>
      <c r="D33" s="1">
        <v>9.1090000000000008E-3</v>
      </c>
      <c r="E33" s="1">
        <v>2.8587000000000001E-2</v>
      </c>
      <c r="F33" s="1">
        <v>0</v>
      </c>
      <c r="G33" s="1">
        <v>-0.142878</v>
      </c>
      <c r="H33" s="1">
        <v>0</v>
      </c>
      <c r="I33" s="1">
        <v>0</v>
      </c>
      <c r="J33" s="1">
        <v>0</v>
      </c>
      <c r="K33" s="1">
        <v>92.601299999999995</v>
      </c>
      <c r="L33" s="1">
        <v>0.56620000000000004</v>
      </c>
      <c r="N33" s="37" t="s">
        <v>491</v>
      </c>
    </row>
    <row r="34" spans="1:14" x14ac:dyDescent="0.25">
      <c r="A34" s="1">
        <v>7</v>
      </c>
      <c r="B34" s="1">
        <v>0.83358399999999999</v>
      </c>
      <c r="C34" s="1">
        <v>2.2214999999999999E-2</v>
      </c>
      <c r="D34" s="1">
        <v>9.6349999999999995E-3</v>
      </c>
      <c r="E34" s="1">
        <v>3.1850000000000003E-2</v>
      </c>
      <c r="F34" s="1">
        <v>0</v>
      </c>
      <c r="G34" s="1">
        <v>-0.152722</v>
      </c>
      <c r="H34" s="1">
        <v>0</v>
      </c>
      <c r="I34" s="1">
        <v>0</v>
      </c>
      <c r="J34" s="1">
        <v>0</v>
      </c>
      <c r="K34" s="1">
        <v>92.601299999999995</v>
      </c>
      <c r="L34" s="1">
        <v>0.57110000000000005</v>
      </c>
      <c r="N34" s="37" t="s">
        <v>492</v>
      </c>
    </row>
    <row r="35" spans="1:14" x14ac:dyDescent="0.25">
      <c r="A35" s="1">
        <v>7.5</v>
      </c>
      <c r="B35" s="1">
        <v>0.88286799999999999</v>
      </c>
      <c r="C35" s="1">
        <v>2.6734999999999998E-2</v>
      </c>
      <c r="D35" s="1">
        <v>1.0218E-2</v>
      </c>
      <c r="E35" s="1">
        <v>3.6953E-2</v>
      </c>
      <c r="F35" s="1">
        <v>0</v>
      </c>
      <c r="G35" s="1">
        <v>-0.16220699999999999</v>
      </c>
      <c r="H35" s="1">
        <v>0</v>
      </c>
      <c r="I35" s="1">
        <v>0</v>
      </c>
      <c r="J35" s="1">
        <v>0</v>
      </c>
      <c r="K35" s="1">
        <v>92.601299999999995</v>
      </c>
      <c r="L35" s="1">
        <v>0.57489999999999997</v>
      </c>
      <c r="N35" s="37" t="s">
        <v>493</v>
      </c>
    </row>
    <row r="36" spans="1:14" x14ac:dyDescent="0.25">
      <c r="A36" s="1">
        <v>8</v>
      </c>
      <c r="B36" s="1">
        <v>0.929203</v>
      </c>
      <c r="C36" s="1">
        <v>2.4968000000000001E-2</v>
      </c>
      <c r="D36" s="1">
        <v>1.0798E-2</v>
      </c>
      <c r="E36" s="1">
        <v>3.5765999999999999E-2</v>
      </c>
      <c r="F36" s="1">
        <v>0</v>
      </c>
      <c r="G36" s="1">
        <v>-0.173818</v>
      </c>
      <c r="H36" s="1">
        <v>0</v>
      </c>
      <c r="I36" s="1">
        <v>0</v>
      </c>
      <c r="J36" s="1">
        <v>0</v>
      </c>
      <c r="K36" s="1">
        <v>92.601299999999995</v>
      </c>
      <c r="L36" s="1">
        <v>0.58379999999999999</v>
      </c>
      <c r="N36" s="37" t="s">
        <v>494</v>
      </c>
    </row>
    <row r="37" spans="1:14" x14ac:dyDescent="0.25">
      <c r="A37" s="1">
        <v>8.5</v>
      </c>
      <c r="B37" s="1">
        <v>0.97894199999999998</v>
      </c>
      <c r="C37" s="1">
        <v>3.0641999999999999E-2</v>
      </c>
      <c r="D37" s="1">
        <v>1.1459E-2</v>
      </c>
      <c r="E37" s="1">
        <v>4.2099999999999999E-2</v>
      </c>
      <c r="F37" s="1">
        <v>0</v>
      </c>
      <c r="G37" s="1">
        <v>-0.18276100000000001</v>
      </c>
      <c r="H37" s="1">
        <v>0</v>
      </c>
      <c r="I37" s="1">
        <v>0</v>
      </c>
      <c r="J37" s="1">
        <v>0</v>
      </c>
      <c r="K37" s="1">
        <v>92.601299999999995</v>
      </c>
      <c r="L37" s="1">
        <v>0.5867</v>
      </c>
      <c r="N37" s="37" t="s">
        <v>495</v>
      </c>
    </row>
    <row r="38" spans="1:14" x14ac:dyDescent="0.25">
      <c r="A38" s="1">
        <v>9</v>
      </c>
      <c r="B38" s="1">
        <v>1.0256590000000001</v>
      </c>
      <c r="C38" s="1">
        <v>3.8059000000000003E-2</v>
      </c>
      <c r="D38" s="1">
        <v>1.206E-2</v>
      </c>
      <c r="E38" s="1">
        <v>5.0118000000000003E-2</v>
      </c>
      <c r="F38" s="1">
        <v>0</v>
      </c>
      <c r="G38" s="1">
        <v>-0.18582399999999999</v>
      </c>
      <c r="H38" s="1">
        <v>0</v>
      </c>
      <c r="I38" s="1">
        <v>0</v>
      </c>
      <c r="J38" s="1">
        <v>0</v>
      </c>
      <c r="K38" s="1">
        <v>92.601299999999995</v>
      </c>
      <c r="L38" s="1">
        <v>0.58389999999999997</v>
      </c>
      <c r="N38" s="37" t="s">
        <v>496</v>
      </c>
    </row>
    <row r="39" spans="1:14" x14ac:dyDescent="0.25">
      <c r="A39" s="1">
        <v>9.5</v>
      </c>
      <c r="B39" s="1">
        <v>1.0761080000000001</v>
      </c>
      <c r="C39" s="1">
        <v>3.6201999999999998E-2</v>
      </c>
      <c r="D39" s="1">
        <v>1.2685999999999999E-2</v>
      </c>
      <c r="E39" s="1">
        <v>4.8888000000000001E-2</v>
      </c>
      <c r="F39" s="1">
        <v>0</v>
      </c>
      <c r="G39" s="1">
        <v>-0.199826</v>
      </c>
      <c r="H39" s="1">
        <v>0</v>
      </c>
      <c r="I39" s="1">
        <v>0</v>
      </c>
      <c r="J39" s="1">
        <v>0</v>
      </c>
      <c r="K39" s="1">
        <v>92.601299999999995</v>
      </c>
      <c r="L39" s="1">
        <v>0.59360000000000002</v>
      </c>
      <c r="N39" s="37" t="s">
        <v>497</v>
      </c>
    </row>
    <row r="40" spans="1:14" x14ac:dyDescent="0.25">
      <c r="A40" s="1">
        <v>10</v>
      </c>
      <c r="B40" s="1">
        <v>1.123669</v>
      </c>
      <c r="C40" s="1">
        <v>4.1350999999999999E-2</v>
      </c>
      <c r="D40" s="1">
        <v>1.3325E-2</v>
      </c>
      <c r="E40" s="1">
        <v>5.4677000000000003E-2</v>
      </c>
      <c r="F40" s="1">
        <v>0</v>
      </c>
      <c r="G40" s="1">
        <v>-0.20261199999999999</v>
      </c>
      <c r="H40" s="1">
        <v>0</v>
      </c>
      <c r="I40" s="1">
        <v>0</v>
      </c>
      <c r="J40" s="1">
        <v>0</v>
      </c>
      <c r="K40" s="1">
        <v>92.601299999999995</v>
      </c>
      <c r="L40" s="1">
        <v>0.59109999999999996</v>
      </c>
      <c r="N40" s="37" t="s">
        <v>498</v>
      </c>
    </row>
    <row r="41" spans="1:14" x14ac:dyDescent="0.25">
      <c r="A41" s="1">
        <v>10.5</v>
      </c>
      <c r="B41" s="1">
        <v>1.1732910000000001</v>
      </c>
      <c r="C41" s="1">
        <v>4.4087000000000001E-2</v>
      </c>
      <c r="D41" s="1">
        <v>1.4012E-2</v>
      </c>
      <c r="E41" s="1">
        <v>5.8098999999999998E-2</v>
      </c>
      <c r="F41" s="1">
        <v>0</v>
      </c>
      <c r="G41" s="1">
        <v>-0.21246300000000001</v>
      </c>
      <c r="H41" s="1">
        <v>0</v>
      </c>
      <c r="I41" s="1">
        <v>0</v>
      </c>
      <c r="J41" s="1">
        <v>0</v>
      </c>
      <c r="K41" s="1">
        <v>92.601299999999995</v>
      </c>
      <c r="L41" s="1">
        <v>0.59640000000000004</v>
      </c>
      <c r="N41" s="37" t="s">
        <v>499</v>
      </c>
    </row>
    <row r="42" spans="1:14" x14ac:dyDescent="0.25">
      <c r="A42" s="1">
        <v>11</v>
      </c>
      <c r="B42" s="1">
        <v>1.2233529999999999</v>
      </c>
      <c r="C42" s="1">
        <v>4.7932000000000002E-2</v>
      </c>
      <c r="D42" s="1">
        <v>1.4727000000000001E-2</v>
      </c>
      <c r="E42" s="1">
        <v>6.2659000000000006E-2</v>
      </c>
      <c r="F42" s="1">
        <v>0</v>
      </c>
      <c r="G42" s="1">
        <v>-0.222774</v>
      </c>
      <c r="H42" s="1">
        <v>0</v>
      </c>
      <c r="I42" s="1">
        <v>0</v>
      </c>
      <c r="J42" s="1">
        <v>0</v>
      </c>
      <c r="K42" s="1">
        <v>92.601299999999995</v>
      </c>
      <c r="L42" s="1">
        <v>0.60219999999999996</v>
      </c>
      <c r="N42" s="37" t="s">
        <v>500</v>
      </c>
    </row>
    <row r="43" spans="1:14" x14ac:dyDescent="0.25">
      <c r="A43" s="1">
        <v>11.5</v>
      </c>
      <c r="B43" s="1">
        <v>1.2723009999999999</v>
      </c>
      <c r="C43" s="1">
        <v>5.1886000000000002E-2</v>
      </c>
      <c r="D43" s="1">
        <v>1.5500999999999999E-2</v>
      </c>
      <c r="E43" s="1">
        <v>6.7387000000000002E-2</v>
      </c>
      <c r="F43" s="1">
        <v>0</v>
      </c>
      <c r="G43" s="1">
        <v>-0.22931499999999999</v>
      </c>
      <c r="H43" s="1">
        <v>0</v>
      </c>
      <c r="I43" s="1">
        <v>0</v>
      </c>
      <c r="J43" s="1">
        <v>0</v>
      </c>
      <c r="K43" s="1">
        <v>92.601299999999995</v>
      </c>
      <c r="L43" s="1">
        <v>0.60450000000000004</v>
      </c>
      <c r="N43" s="37" t="s">
        <v>501</v>
      </c>
    </row>
    <row r="44" spans="1:14" x14ac:dyDescent="0.25">
      <c r="A44" s="1">
        <v>12</v>
      </c>
      <c r="B44" s="1">
        <v>1.3220240000000001</v>
      </c>
      <c r="C44" s="1">
        <v>5.6091000000000002E-2</v>
      </c>
      <c r="D44" s="1">
        <v>1.6337000000000001E-2</v>
      </c>
      <c r="E44" s="1">
        <v>7.2428000000000006E-2</v>
      </c>
      <c r="F44" s="1">
        <v>0</v>
      </c>
      <c r="G44" s="1">
        <v>-0.23699200000000001</v>
      </c>
      <c r="H44" s="1">
        <v>0</v>
      </c>
      <c r="I44" s="1">
        <v>0</v>
      </c>
      <c r="J44" s="1">
        <v>0</v>
      </c>
      <c r="K44" s="1">
        <v>92.601299999999995</v>
      </c>
      <c r="L44" s="1">
        <v>0.60809999999999997</v>
      </c>
      <c r="N44" s="37" t="s">
        <v>502</v>
      </c>
    </row>
    <row r="45" spans="1:14" x14ac:dyDescent="0.25">
      <c r="A45" s="1">
        <v>12.5</v>
      </c>
      <c r="B45" s="1">
        <v>1.3712960000000001</v>
      </c>
      <c r="C45" s="1">
        <v>6.0401999999999997E-2</v>
      </c>
      <c r="D45" s="1">
        <v>1.7236999999999999E-2</v>
      </c>
      <c r="E45" s="1">
        <v>7.7639E-2</v>
      </c>
      <c r="F45" s="1">
        <v>0</v>
      </c>
      <c r="G45" s="1">
        <v>-0.24279100000000001</v>
      </c>
      <c r="H45" s="1">
        <v>0</v>
      </c>
      <c r="I45" s="1">
        <v>0</v>
      </c>
      <c r="J45" s="1">
        <v>0</v>
      </c>
      <c r="K45" s="1">
        <v>92.601299999999995</v>
      </c>
      <c r="L45" s="1">
        <v>0.61029999999999995</v>
      </c>
      <c r="N45" s="37" t="s">
        <v>503</v>
      </c>
    </row>
    <row r="46" spans="1:14" x14ac:dyDescent="0.25">
      <c r="A46" s="1">
        <v>13</v>
      </c>
      <c r="B46" s="1">
        <v>1.4204939999999999</v>
      </c>
      <c r="C46" s="1">
        <v>6.4861000000000002E-2</v>
      </c>
      <c r="D46" s="1">
        <v>1.8223E-2</v>
      </c>
      <c r="E46" s="1">
        <v>8.3084000000000005E-2</v>
      </c>
      <c r="F46" s="1">
        <v>0</v>
      </c>
      <c r="G46" s="1">
        <v>-0.24767900000000001</v>
      </c>
      <c r="H46" s="1">
        <v>0</v>
      </c>
      <c r="I46" s="1">
        <v>0</v>
      </c>
      <c r="J46" s="1">
        <v>0</v>
      </c>
      <c r="K46" s="1">
        <v>92.601299999999995</v>
      </c>
      <c r="L46" s="1">
        <v>0.61199999999999999</v>
      </c>
      <c r="N46" s="37" t="s">
        <v>504</v>
      </c>
    </row>
    <row r="47" spans="1:14" x14ac:dyDescent="0.25">
      <c r="A47" s="1">
        <v>13.5</v>
      </c>
      <c r="B47" s="1">
        <v>1.46966</v>
      </c>
      <c r="C47" s="1">
        <v>6.9471000000000005E-2</v>
      </c>
      <c r="D47" s="1">
        <v>1.9259999999999999E-2</v>
      </c>
      <c r="E47" s="1">
        <v>8.8732000000000005E-2</v>
      </c>
      <c r="F47" s="1">
        <v>0</v>
      </c>
      <c r="G47" s="1">
        <v>-0.25173800000000002</v>
      </c>
      <c r="H47" s="1">
        <v>0</v>
      </c>
      <c r="I47" s="1">
        <v>0</v>
      </c>
      <c r="J47" s="1">
        <v>0</v>
      </c>
      <c r="K47" s="1">
        <v>92.601299999999995</v>
      </c>
      <c r="L47" s="1">
        <v>0.61329999999999996</v>
      </c>
      <c r="N47" s="37" t="s">
        <v>505</v>
      </c>
    </row>
    <row r="48" spans="1:14" x14ac:dyDescent="0.25">
      <c r="A48" s="1">
        <v>14</v>
      </c>
      <c r="B48" s="1">
        <v>1.5188079999999999</v>
      </c>
      <c r="C48" s="1">
        <v>7.4234999999999995E-2</v>
      </c>
      <c r="D48" s="1">
        <v>2.0329E-2</v>
      </c>
      <c r="E48" s="1">
        <v>9.4563999999999995E-2</v>
      </c>
      <c r="F48" s="1">
        <v>0</v>
      </c>
      <c r="G48" s="1">
        <v>-0.254992</v>
      </c>
      <c r="H48" s="1">
        <v>0</v>
      </c>
      <c r="I48" s="1">
        <v>0</v>
      </c>
      <c r="J48" s="1">
        <v>0</v>
      </c>
      <c r="K48" s="1">
        <v>92.601299999999995</v>
      </c>
      <c r="L48" s="1">
        <v>0.61439999999999995</v>
      </c>
      <c r="N48" s="37" t="s">
        <v>506</v>
      </c>
    </row>
    <row r="49" spans="1:14" x14ac:dyDescent="0.25">
      <c r="A49" s="1">
        <v>14.5</v>
      </c>
      <c r="B49" s="1">
        <v>1.567944</v>
      </c>
      <c r="C49" s="1">
        <v>7.9152E-2</v>
      </c>
      <c r="D49" s="1">
        <v>2.1444999999999999E-2</v>
      </c>
      <c r="E49" s="1">
        <v>0.10059700000000001</v>
      </c>
      <c r="F49" s="1">
        <v>0</v>
      </c>
      <c r="G49" s="1">
        <v>-0.25743500000000002</v>
      </c>
      <c r="H49" s="1">
        <v>0</v>
      </c>
      <c r="I49" s="1">
        <v>0</v>
      </c>
      <c r="J49" s="1">
        <v>0</v>
      </c>
      <c r="K49" s="1">
        <v>92.601299999999995</v>
      </c>
      <c r="L49" s="1">
        <v>0.61519999999999997</v>
      </c>
      <c r="N49" s="37" t="s">
        <v>507</v>
      </c>
    </row>
    <row r="50" spans="1:14" x14ac:dyDescent="0.25">
      <c r="A50" s="1">
        <v>15</v>
      </c>
      <c r="B50" s="1">
        <v>1.6170659999999999</v>
      </c>
      <c r="C50" s="1">
        <v>8.4221000000000004E-2</v>
      </c>
      <c r="D50" s="1">
        <v>2.2688E-2</v>
      </c>
      <c r="E50" s="1">
        <v>0.10691000000000001</v>
      </c>
      <c r="F50" s="1">
        <v>0</v>
      </c>
      <c r="G50" s="1">
        <v>-0.25906899999999999</v>
      </c>
      <c r="H50" s="1">
        <v>0</v>
      </c>
      <c r="I50" s="1">
        <v>0</v>
      </c>
      <c r="J50" s="1">
        <v>0</v>
      </c>
      <c r="K50" s="1">
        <v>92.601299999999995</v>
      </c>
      <c r="L50" s="1">
        <v>0.61580000000000001</v>
      </c>
      <c r="N50" s="37" t="s">
        <v>508</v>
      </c>
    </row>
    <row r="51" spans="1:14" x14ac:dyDescent="0.25">
      <c r="N51" s="37" t="s">
        <v>509</v>
      </c>
    </row>
    <row r="52" spans="1:14" x14ac:dyDescent="0.25">
      <c r="N52" s="37" t="s">
        <v>510</v>
      </c>
    </row>
    <row r="53" spans="1:14" x14ac:dyDescent="0.25">
      <c r="N53" s="37" t="s">
        <v>511</v>
      </c>
    </row>
    <row r="54" spans="1:14" x14ac:dyDescent="0.25">
      <c r="N54" s="37"/>
    </row>
    <row r="56" spans="1:14" x14ac:dyDescent="0.25">
      <c r="A56" s="13" t="s">
        <v>552</v>
      </c>
    </row>
    <row r="57" spans="1:14" x14ac:dyDescent="0.25">
      <c r="A57" s="44" t="s">
        <v>119</v>
      </c>
      <c r="B57">
        <f>MATCH($B$7,B62:B98,1)+ROW()+4</f>
        <v>75</v>
      </c>
      <c r="F57" s="21" t="s">
        <v>736</v>
      </c>
      <c r="G57">
        <f>MATCH(0,G62:G98,-1)+ROW()+4</f>
        <v>70</v>
      </c>
      <c r="N57" s="37"/>
    </row>
    <row r="58" spans="1:14" x14ac:dyDescent="0.25">
      <c r="A58" s="45" t="s">
        <v>186</v>
      </c>
      <c r="B58">
        <f ca="1">INDIRECT(CONCATENATE("C",B57+1)) - (INDIRECT(CONCATENATE("B",B57+1))-$B$7) / (INDIRECT(CONCATENATE("B",B57+1))-INDIRECT(CONCATENATE("B",B57))) * (INDIRECT(CONCATENATE("C",B57+1)) - INDIRECT(CONCATENATE("C",B57)) )</f>
        <v>8.4468794100181696E-3</v>
      </c>
      <c r="F58" s="21" t="s">
        <v>737</v>
      </c>
      <c r="G58" s="1">
        <f ca="1">INDIRECT(CONCATENATE("B",G57+1)) - (INDIRECT(CONCATENATE("B",G57+1))-INDIRECT(CONCATENATE("B",G57))) / (INDIRECT(CONCATENATE("G",G57+1))-INDIRECT(CONCATENATE("G",G57))) * (INDIRECT(CONCATENATE("G",G57+1)) - 0)</f>
        <v>0.28922643640214274</v>
      </c>
      <c r="N58" s="37"/>
    </row>
    <row r="59" spans="1:14" x14ac:dyDescent="0.25">
      <c r="A59" s="13" t="s">
        <v>2</v>
      </c>
      <c r="B59" s="13">
        <f ca="1">$B$7^2/(PI()*$B$2*B58)</f>
        <v>0.99965986917114458</v>
      </c>
      <c r="N59" s="37"/>
    </row>
    <row r="60" spans="1:14" x14ac:dyDescent="0.25">
      <c r="N60" s="37" t="s">
        <v>146</v>
      </c>
    </row>
    <row r="61" spans="1:14" x14ac:dyDescent="0.25">
      <c r="A61" s="1" t="s">
        <v>128</v>
      </c>
      <c r="B61" s="1" t="s">
        <v>118</v>
      </c>
      <c r="C61" s="1" t="s">
        <v>149</v>
      </c>
      <c r="D61" s="1" t="s">
        <v>150</v>
      </c>
      <c r="E61" s="1" t="s">
        <v>151</v>
      </c>
      <c r="F61" s="1" t="s">
        <v>152</v>
      </c>
      <c r="G61" s="1" t="s">
        <v>153</v>
      </c>
      <c r="H61" s="1" t="s">
        <v>154</v>
      </c>
      <c r="I61" s="1" t="s">
        <v>155</v>
      </c>
      <c r="J61" s="1" t="s">
        <v>156</v>
      </c>
      <c r="K61" s="1" t="s">
        <v>157</v>
      </c>
      <c r="L61" s="1" t="s">
        <v>158</v>
      </c>
      <c r="N61" s="37" t="s">
        <v>147</v>
      </c>
    </row>
    <row r="62" spans="1:14" x14ac:dyDescent="0.25">
      <c r="A62" s="1">
        <v>-3</v>
      </c>
      <c r="B62" s="1">
        <v>-0.1221</v>
      </c>
      <c r="C62" s="1">
        <v>1.3760000000000001E-3</v>
      </c>
      <c r="D62" s="1">
        <v>7.7010000000000004E-3</v>
      </c>
      <c r="E62" s="1">
        <v>9.077E-3</v>
      </c>
      <c r="F62" s="1">
        <v>0</v>
      </c>
      <c r="G62" s="1">
        <v>0.14929100000000001</v>
      </c>
      <c r="H62" s="1">
        <v>0</v>
      </c>
      <c r="I62" s="1">
        <v>0</v>
      </c>
      <c r="J62" s="1">
        <v>0</v>
      </c>
      <c r="K62" s="1">
        <v>92.601299999999995</v>
      </c>
      <c r="L62" s="1">
        <v>1.7992999999999999</v>
      </c>
      <c r="N62" s="37" t="s">
        <v>514</v>
      </c>
    </row>
    <row r="63" spans="1:14" x14ac:dyDescent="0.25">
      <c r="A63" s="37">
        <v>-2.5</v>
      </c>
      <c r="B63" s="1">
        <v>-7.3079000000000005E-2</v>
      </c>
      <c r="C63" s="1">
        <v>9.5399999999999999E-4</v>
      </c>
      <c r="D63" s="1">
        <v>7.4669999999999997E-3</v>
      </c>
      <c r="E63" s="1">
        <v>8.4209999999999997E-3</v>
      </c>
      <c r="F63" s="1">
        <v>0</v>
      </c>
      <c r="G63" s="1">
        <v>0.130299</v>
      </c>
      <c r="H63" s="1">
        <v>0</v>
      </c>
      <c r="I63" s="1">
        <v>0</v>
      </c>
      <c r="J63" s="1">
        <v>0</v>
      </c>
      <c r="K63" s="1">
        <v>92.601299999999995</v>
      </c>
      <c r="L63" s="1">
        <v>2.4842</v>
      </c>
      <c r="N63" s="37" t="s">
        <v>515</v>
      </c>
    </row>
    <row r="64" spans="1:14" x14ac:dyDescent="0.25">
      <c r="A64" s="37">
        <v>-2</v>
      </c>
      <c r="B64" s="1">
        <v>-2.4065E-2</v>
      </c>
      <c r="C64" s="1">
        <v>6.8900000000000005E-4</v>
      </c>
      <c r="D64" s="1">
        <v>7.2500000000000004E-3</v>
      </c>
      <c r="E64" s="1">
        <v>7.9389999999999999E-3</v>
      </c>
      <c r="F64" s="1">
        <v>0</v>
      </c>
      <c r="G64" s="1">
        <v>0.111568</v>
      </c>
      <c r="H64" s="1">
        <v>0</v>
      </c>
      <c r="I64" s="1">
        <v>0</v>
      </c>
      <c r="J64" s="1">
        <v>0</v>
      </c>
      <c r="K64" s="1">
        <v>92.601299999999995</v>
      </c>
      <c r="L64" s="1">
        <v>5.9688999999999997</v>
      </c>
      <c r="N64" s="37" t="s">
        <v>516</v>
      </c>
    </row>
    <row r="65" spans="1:14" x14ac:dyDescent="0.25">
      <c r="A65" s="37">
        <v>-1.5</v>
      </c>
      <c r="B65" s="1">
        <v>2.4941000000000001E-2</v>
      </c>
      <c r="C65" s="1">
        <v>5.8100000000000003E-4</v>
      </c>
      <c r="D65" s="1">
        <v>7.0369999999999999E-3</v>
      </c>
      <c r="E65" s="1">
        <v>7.6179999999999998E-3</v>
      </c>
      <c r="F65" s="1">
        <v>0</v>
      </c>
      <c r="G65" s="1">
        <v>9.3124999999999999E-2</v>
      </c>
      <c r="H65" s="1">
        <v>0</v>
      </c>
      <c r="I65" s="1">
        <v>0</v>
      </c>
      <c r="J65" s="1">
        <v>0</v>
      </c>
      <c r="K65" s="1">
        <v>92.601299999999995</v>
      </c>
      <c r="L65" s="1">
        <v>-4.2503000000000002</v>
      </c>
      <c r="N65" s="37" t="s">
        <v>517</v>
      </c>
    </row>
    <row r="66" spans="1:14" x14ac:dyDescent="0.25">
      <c r="A66" s="37">
        <v>-1</v>
      </c>
      <c r="B66" s="1">
        <v>7.3936000000000002E-2</v>
      </c>
      <c r="C66" s="1">
        <v>6.3100000000000005E-4</v>
      </c>
      <c r="D66" s="1">
        <v>6.7980000000000002E-3</v>
      </c>
      <c r="E66" s="1">
        <v>7.4289999999999998E-3</v>
      </c>
      <c r="F66" s="1">
        <v>0</v>
      </c>
      <c r="G66" s="1">
        <v>7.4999999999999997E-2</v>
      </c>
      <c r="H66" s="1">
        <v>0</v>
      </c>
      <c r="I66" s="1">
        <v>0</v>
      </c>
      <c r="J66" s="1">
        <v>0</v>
      </c>
      <c r="K66" s="1">
        <v>92.601299999999995</v>
      </c>
      <c r="L66" s="1">
        <v>-0.9284</v>
      </c>
      <c r="N66" s="37" t="s">
        <v>518</v>
      </c>
    </row>
    <row r="67" spans="1:14" x14ac:dyDescent="0.25">
      <c r="A67" s="37">
        <v>-0.5</v>
      </c>
      <c r="B67" s="1">
        <v>0.122919</v>
      </c>
      <c r="C67" s="1">
        <v>8.3900000000000001E-4</v>
      </c>
      <c r="D67" s="1">
        <v>6.5469999999999999E-3</v>
      </c>
      <c r="E67" s="1">
        <v>7.3850000000000001E-3</v>
      </c>
      <c r="F67" s="1">
        <v>0</v>
      </c>
      <c r="G67" s="1">
        <v>5.7224999999999998E-2</v>
      </c>
      <c r="H67" s="1">
        <v>0</v>
      </c>
      <c r="I67" s="1">
        <v>0</v>
      </c>
      <c r="J67" s="1">
        <v>0</v>
      </c>
      <c r="K67" s="1">
        <v>92.601299999999995</v>
      </c>
      <c r="L67" s="1">
        <v>-0.25679999999999997</v>
      </c>
      <c r="N67" s="37" t="s">
        <v>519</v>
      </c>
    </row>
    <row r="68" spans="1:14" x14ac:dyDescent="0.25">
      <c r="A68" s="37">
        <v>0</v>
      </c>
      <c r="B68" s="1">
        <v>0.17188800000000001</v>
      </c>
      <c r="C68" s="1">
        <v>1.204E-3</v>
      </c>
      <c r="D68" s="1">
        <v>6.2240000000000004E-3</v>
      </c>
      <c r="E68" s="1">
        <v>7.4279999999999997E-3</v>
      </c>
      <c r="F68" s="1">
        <v>0</v>
      </c>
      <c r="G68" s="1">
        <v>3.9828000000000002E-2</v>
      </c>
      <c r="H68" s="1">
        <v>0</v>
      </c>
      <c r="I68" s="1">
        <v>0</v>
      </c>
      <c r="J68" s="1">
        <v>0</v>
      </c>
      <c r="K68" s="1">
        <v>92.601299999999995</v>
      </c>
      <c r="L68" s="1">
        <v>3.04E-2</v>
      </c>
      <c r="N68" s="37" t="s">
        <v>520</v>
      </c>
    </row>
    <row r="69" spans="1:14" x14ac:dyDescent="0.25">
      <c r="A69" s="37">
        <v>0.5</v>
      </c>
      <c r="B69" s="1">
        <v>0.22084000000000001</v>
      </c>
      <c r="C69" s="1">
        <v>1.7279999999999999E-3</v>
      </c>
      <c r="D69" s="1">
        <v>5.7450000000000001E-3</v>
      </c>
      <c r="E69" s="1">
        <v>7.4720000000000003E-3</v>
      </c>
      <c r="F69" s="1">
        <v>0</v>
      </c>
      <c r="G69" s="1">
        <v>2.2866999999999998E-2</v>
      </c>
      <c r="H69" s="1">
        <v>0</v>
      </c>
      <c r="I69" s="1">
        <v>0</v>
      </c>
      <c r="J69" s="1">
        <v>0</v>
      </c>
      <c r="K69" s="1">
        <v>92.601299999999995</v>
      </c>
      <c r="L69" s="1">
        <v>0.1888</v>
      </c>
      <c r="N69" s="37" t="s">
        <v>521</v>
      </c>
    </row>
    <row r="70" spans="1:14" x14ac:dyDescent="0.25">
      <c r="A70" s="37">
        <v>1</v>
      </c>
      <c r="B70" s="1">
        <v>0.26977499999999999</v>
      </c>
      <c r="C70" s="1">
        <v>2.4090000000000001E-3</v>
      </c>
      <c r="D70" s="1">
        <v>5.0020000000000004E-3</v>
      </c>
      <c r="E70" s="1">
        <v>7.4110000000000001E-3</v>
      </c>
      <c r="F70" s="1">
        <v>0</v>
      </c>
      <c r="G70" s="1">
        <v>6.3839999999999999E-3</v>
      </c>
      <c r="H70" s="1">
        <v>0</v>
      </c>
      <c r="I70" s="1">
        <v>0</v>
      </c>
      <c r="J70" s="1">
        <v>0</v>
      </c>
      <c r="K70" s="1">
        <v>92.601299999999995</v>
      </c>
      <c r="L70" s="1">
        <v>0.28870000000000001</v>
      </c>
      <c r="N70" s="37" t="s">
        <v>522</v>
      </c>
    </row>
    <row r="71" spans="1:14" x14ac:dyDescent="0.25">
      <c r="A71" s="37">
        <v>1.5</v>
      </c>
      <c r="B71" s="1">
        <v>0.31868999999999997</v>
      </c>
      <c r="C71" s="1">
        <v>3.2490000000000002E-3</v>
      </c>
      <c r="D71" s="1">
        <v>4.2929999999999999E-3</v>
      </c>
      <c r="E71" s="1">
        <v>7.5420000000000001E-3</v>
      </c>
      <c r="F71" s="1">
        <v>0</v>
      </c>
      <c r="G71" s="1">
        <v>-9.6699999999999998E-3</v>
      </c>
      <c r="H71" s="1">
        <v>0</v>
      </c>
      <c r="I71" s="1">
        <v>0</v>
      </c>
      <c r="J71" s="1">
        <v>0</v>
      </c>
      <c r="K71" s="1">
        <v>92.601299999999995</v>
      </c>
      <c r="L71" s="1">
        <v>0.35680000000000001</v>
      </c>
      <c r="N71" s="37" t="s">
        <v>523</v>
      </c>
    </row>
    <row r="72" spans="1:14" x14ac:dyDescent="0.25">
      <c r="A72" s="37">
        <v>2</v>
      </c>
      <c r="B72" s="1">
        <v>0.36758299999999999</v>
      </c>
      <c r="C72" s="1">
        <v>4.248E-3</v>
      </c>
      <c r="D72" s="1">
        <v>4.1770000000000002E-3</v>
      </c>
      <c r="E72" s="1">
        <v>8.4239999999999992E-3</v>
      </c>
      <c r="F72" s="1">
        <v>0</v>
      </c>
      <c r="G72" s="1">
        <v>-2.5405E-2</v>
      </c>
      <c r="H72" s="1">
        <v>0</v>
      </c>
      <c r="I72" s="1">
        <v>0</v>
      </c>
      <c r="J72" s="1">
        <v>0</v>
      </c>
      <c r="K72" s="1">
        <v>92.601299999999995</v>
      </c>
      <c r="L72" s="1">
        <v>0.40600000000000003</v>
      </c>
      <c r="N72" s="37" t="s">
        <v>524</v>
      </c>
    </row>
    <row r="73" spans="1:14" x14ac:dyDescent="0.25">
      <c r="A73" s="37">
        <v>2.5</v>
      </c>
      <c r="B73" s="1">
        <v>0.41645199999999999</v>
      </c>
      <c r="C73" s="1">
        <v>5.4039999999999999E-3</v>
      </c>
      <c r="D73" s="1">
        <v>4.1619999999999999E-3</v>
      </c>
      <c r="E73" s="1">
        <v>9.5670000000000009E-3</v>
      </c>
      <c r="F73" s="1">
        <v>0</v>
      </c>
      <c r="G73" s="1">
        <v>-4.0662999999999998E-2</v>
      </c>
      <c r="H73" s="1">
        <v>0</v>
      </c>
      <c r="I73" s="1">
        <v>0</v>
      </c>
      <c r="J73" s="1">
        <v>0</v>
      </c>
      <c r="K73" s="1">
        <v>92.601299999999995</v>
      </c>
      <c r="L73" s="1">
        <v>0.44280000000000003</v>
      </c>
      <c r="N73" s="37" t="s">
        <v>525</v>
      </c>
    </row>
    <row r="74" spans="1:14" x14ac:dyDescent="0.25">
      <c r="A74" s="37">
        <v>3</v>
      </c>
      <c r="B74" s="1">
        <v>0.46529599999999999</v>
      </c>
      <c r="C74" s="1">
        <v>6.7200000000000003E-3</v>
      </c>
      <c r="D74" s="1">
        <v>4.3509999999999998E-3</v>
      </c>
      <c r="E74" s="1">
        <v>1.107E-2</v>
      </c>
      <c r="F74" s="1">
        <v>0</v>
      </c>
      <c r="G74" s="1">
        <v>-5.5455999999999998E-2</v>
      </c>
      <c r="H74" s="1">
        <v>0</v>
      </c>
      <c r="I74" s="1">
        <v>0</v>
      </c>
      <c r="J74" s="1">
        <v>0</v>
      </c>
      <c r="K74" s="1">
        <v>92.601299999999995</v>
      </c>
      <c r="L74" s="1">
        <v>0.47120000000000001</v>
      </c>
      <c r="N74" s="37" t="s">
        <v>526</v>
      </c>
    </row>
    <row r="75" spans="1:14" x14ac:dyDescent="0.25">
      <c r="A75" s="37">
        <v>3.5</v>
      </c>
      <c r="B75" s="1">
        <v>0.51411300000000004</v>
      </c>
      <c r="C75" s="1">
        <v>8.1930000000000006E-3</v>
      </c>
      <c r="D75" s="1">
        <v>4.9589999999999999E-3</v>
      </c>
      <c r="E75" s="1">
        <v>1.3152E-2</v>
      </c>
      <c r="F75" s="1">
        <v>0</v>
      </c>
      <c r="G75" s="1">
        <v>-6.9816000000000003E-2</v>
      </c>
      <c r="H75" s="1">
        <v>0</v>
      </c>
      <c r="I75" s="1">
        <v>0</v>
      </c>
      <c r="J75" s="1">
        <v>0</v>
      </c>
      <c r="K75" s="1">
        <v>92.601299999999995</v>
      </c>
      <c r="L75" s="1">
        <v>0.49349999999999999</v>
      </c>
      <c r="N75" s="37" t="s">
        <v>527</v>
      </c>
    </row>
    <row r="76" spans="1:14" x14ac:dyDescent="0.25">
      <c r="A76" s="37">
        <v>4</v>
      </c>
      <c r="B76" s="1">
        <v>0.56289999999999996</v>
      </c>
      <c r="C76" s="1">
        <v>9.8250000000000004E-3</v>
      </c>
      <c r="D76" s="1">
        <v>5.9329999999999999E-3</v>
      </c>
      <c r="E76" s="1">
        <v>1.5758000000000001E-2</v>
      </c>
      <c r="F76" s="1">
        <v>0</v>
      </c>
      <c r="G76" s="1">
        <v>-8.3694000000000005E-2</v>
      </c>
      <c r="H76" s="1">
        <v>0</v>
      </c>
      <c r="I76" s="1">
        <v>0</v>
      </c>
      <c r="J76" s="1">
        <v>0</v>
      </c>
      <c r="K76" s="1">
        <v>92.601299999999995</v>
      </c>
      <c r="L76" s="1">
        <v>0.51129999999999998</v>
      </c>
      <c r="N76" s="37" t="s">
        <v>528</v>
      </c>
    </row>
    <row r="77" spans="1:14" x14ac:dyDescent="0.25">
      <c r="A77" s="37">
        <v>4.5</v>
      </c>
      <c r="B77" s="1">
        <v>0.61165599999999998</v>
      </c>
      <c r="C77" s="1">
        <v>1.1616E-2</v>
      </c>
      <c r="D77" s="1">
        <v>6.8380000000000003E-3</v>
      </c>
      <c r="E77" s="1">
        <v>1.8454000000000002E-2</v>
      </c>
      <c r="F77" s="1">
        <v>0</v>
      </c>
      <c r="G77" s="1">
        <v>-9.6962999999999994E-2</v>
      </c>
      <c r="H77" s="1">
        <v>0</v>
      </c>
      <c r="I77" s="1">
        <v>0</v>
      </c>
      <c r="J77" s="1">
        <v>0</v>
      </c>
      <c r="K77" s="1">
        <v>92.601299999999995</v>
      </c>
      <c r="L77" s="1">
        <v>0.52569999999999995</v>
      </c>
      <c r="N77" s="37" t="s">
        <v>529</v>
      </c>
    </row>
    <row r="78" spans="1:14" x14ac:dyDescent="0.25">
      <c r="A78" s="37">
        <v>5</v>
      </c>
      <c r="B78" s="1">
        <v>0.66037900000000005</v>
      </c>
      <c r="C78" s="1">
        <v>1.3566E-2</v>
      </c>
      <c r="D78" s="1">
        <v>7.5839999999999996E-3</v>
      </c>
      <c r="E78" s="1">
        <v>2.1149999999999999E-2</v>
      </c>
      <c r="F78" s="1">
        <v>0</v>
      </c>
      <c r="G78" s="1">
        <v>-0.109584</v>
      </c>
      <c r="H78" s="1">
        <v>0</v>
      </c>
      <c r="I78" s="1">
        <v>0</v>
      </c>
      <c r="J78" s="1">
        <v>0</v>
      </c>
      <c r="K78" s="1">
        <v>92.601299999999995</v>
      </c>
      <c r="L78" s="1">
        <v>0.53739999999999999</v>
      </c>
      <c r="N78" s="37" t="s">
        <v>530</v>
      </c>
    </row>
    <row r="79" spans="1:14" x14ac:dyDescent="0.25">
      <c r="A79" s="37">
        <v>5.5</v>
      </c>
      <c r="B79" s="1">
        <v>0.70906599999999997</v>
      </c>
      <c r="C79" s="1">
        <v>1.5677E-2</v>
      </c>
      <c r="D79" s="1">
        <v>8.2450000000000006E-3</v>
      </c>
      <c r="E79" s="1">
        <v>2.3921999999999999E-2</v>
      </c>
      <c r="F79" s="1">
        <v>0</v>
      </c>
      <c r="G79" s="1">
        <v>-0.121554</v>
      </c>
      <c r="H79" s="1">
        <v>0</v>
      </c>
      <c r="I79" s="1">
        <v>0</v>
      </c>
      <c r="J79" s="1">
        <v>0</v>
      </c>
      <c r="K79" s="1">
        <v>92.601299999999995</v>
      </c>
      <c r="L79" s="1">
        <v>0.54700000000000004</v>
      </c>
      <c r="N79" s="37" t="s">
        <v>531</v>
      </c>
    </row>
    <row r="80" spans="1:14" x14ac:dyDescent="0.25">
      <c r="A80" s="37">
        <v>6</v>
      </c>
      <c r="B80" s="1">
        <v>0.75771699999999997</v>
      </c>
      <c r="C80" s="1">
        <v>1.7954999999999999E-2</v>
      </c>
      <c r="D80" s="1">
        <v>8.8299999999999993E-3</v>
      </c>
      <c r="E80" s="1">
        <v>2.6786000000000001E-2</v>
      </c>
      <c r="F80" s="1">
        <v>0</v>
      </c>
      <c r="G80" s="1">
        <v>-0.132851</v>
      </c>
      <c r="H80" s="1">
        <v>0</v>
      </c>
      <c r="I80" s="1">
        <v>0</v>
      </c>
      <c r="J80" s="1">
        <v>0</v>
      </c>
      <c r="K80" s="1">
        <v>92.601299999999995</v>
      </c>
      <c r="L80" s="1">
        <v>0.55479999999999996</v>
      </c>
      <c r="N80" s="37" t="s">
        <v>532</v>
      </c>
    </row>
    <row r="81" spans="1:14" x14ac:dyDescent="0.25">
      <c r="A81" s="37">
        <v>6.5</v>
      </c>
      <c r="B81" s="1">
        <v>0.80633200000000005</v>
      </c>
      <c r="C81" s="1">
        <v>2.0424000000000001E-2</v>
      </c>
      <c r="D81" s="1">
        <v>9.3480000000000004E-3</v>
      </c>
      <c r="E81" s="1">
        <v>2.9772E-2</v>
      </c>
      <c r="F81" s="1">
        <v>0</v>
      </c>
      <c r="G81" s="1">
        <v>-0.14344399999999999</v>
      </c>
      <c r="H81" s="1">
        <v>0</v>
      </c>
      <c r="I81" s="1">
        <v>0</v>
      </c>
      <c r="J81" s="1">
        <v>0</v>
      </c>
      <c r="K81" s="1">
        <v>92.601299999999995</v>
      </c>
      <c r="L81" s="1">
        <v>0.56120000000000003</v>
      </c>
      <c r="N81" s="37" t="s">
        <v>533</v>
      </c>
    </row>
    <row r="82" spans="1:14" x14ac:dyDescent="0.25">
      <c r="A82" s="37">
        <v>7</v>
      </c>
      <c r="B82" s="1">
        <v>0.85493300000000005</v>
      </c>
      <c r="C82" s="1">
        <v>2.3182000000000001E-2</v>
      </c>
      <c r="D82" s="1">
        <v>9.8910000000000005E-3</v>
      </c>
      <c r="E82" s="1">
        <v>3.3072999999999998E-2</v>
      </c>
      <c r="F82" s="1">
        <v>0</v>
      </c>
      <c r="G82" s="1">
        <v>-0.15332100000000001</v>
      </c>
      <c r="H82" s="1">
        <v>0</v>
      </c>
      <c r="I82" s="1">
        <v>0</v>
      </c>
      <c r="J82" s="1">
        <v>0</v>
      </c>
      <c r="K82" s="1">
        <v>92.601299999999995</v>
      </c>
      <c r="L82" s="1">
        <v>0.56630000000000003</v>
      </c>
      <c r="N82" s="37" t="s">
        <v>534</v>
      </c>
    </row>
    <row r="83" spans="1:14" x14ac:dyDescent="0.25">
      <c r="A83" s="37">
        <v>7.5</v>
      </c>
      <c r="B83" s="1">
        <v>0.90385499999999996</v>
      </c>
      <c r="C83" s="1">
        <v>2.6682000000000001E-2</v>
      </c>
      <c r="D83" s="1">
        <v>1.0489999999999999E-2</v>
      </c>
      <c r="E83" s="1">
        <v>3.7172999999999998E-2</v>
      </c>
      <c r="F83" s="1">
        <v>0</v>
      </c>
      <c r="G83" s="1">
        <v>-0.16272400000000001</v>
      </c>
      <c r="H83" s="1">
        <v>0</v>
      </c>
      <c r="I83" s="1">
        <v>0</v>
      </c>
      <c r="J83" s="1">
        <v>0</v>
      </c>
      <c r="K83" s="1">
        <v>92.601299999999995</v>
      </c>
      <c r="L83" s="1">
        <v>0.57050000000000001</v>
      </c>
      <c r="N83" s="37" t="s">
        <v>535</v>
      </c>
    </row>
    <row r="84" spans="1:14" x14ac:dyDescent="0.25">
      <c r="A84" s="37">
        <v>8</v>
      </c>
      <c r="B84" s="1">
        <v>0.94924799999999998</v>
      </c>
      <c r="C84" s="1">
        <v>2.0774000000000001E-2</v>
      </c>
      <c r="D84" s="1">
        <v>1.1079E-2</v>
      </c>
      <c r="E84" s="1">
        <v>3.1852999999999999E-2</v>
      </c>
      <c r="F84" s="1">
        <v>0</v>
      </c>
      <c r="G84" s="1">
        <v>-0.17363899999999999</v>
      </c>
      <c r="H84" s="1">
        <v>0</v>
      </c>
      <c r="I84" s="1">
        <v>0</v>
      </c>
      <c r="J84" s="1">
        <v>0</v>
      </c>
      <c r="K84" s="1">
        <v>92.601299999999995</v>
      </c>
      <c r="L84" s="1">
        <v>0.57909999999999995</v>
      </c>
      <c r="N84" s="37" t="s">
        <v>536</v>
      </c>
    </row>
    <row r="85" spans="1:14" x14ac:dyDescent="0.25">
      <c r="A85" s="37">
        <v>8.5</v>
      </c>
      <c r="B85" s="1">
        <v>1.0007410000000001</v>
      </c>
      <c r="C85" s="1">
        <v>3.1126999999999998E-2</v>
      </c>
      <c r="D85" s="1">
        <v>1.1738E-2</v>
      </c>
      <c r="E85" s="1">
        <v>4.2865E-2</v>
      </c>
      <c r="F85" s="1">
        <v>0</v>
      </c>
      <c r="G85" s="1">
        <v>-0.184921</v>
      </c>
      <c r="H85" s="1">
        <v>0</v>
      </c>
      <c r="I85" s="1">
        <v>0</v>
      </c>
      <c r="J85" s="1">
        <v>0</v>
      </c>
      <c r="K85" s="1">
        <v>92.601299999999995</v>
      </c>
      <c r="L85" s="1">
        <v>0.58430000000000004</v>
      </c>
      <c r="N85" s="37" t="s">
        <v>537</v>
      </c>
    </row>
    <row r="86" spans="1:14" x14ac:dyDescent="0.25">
      <c r="A86" s="37">
        <v>9</v>
      </c>
      <c r="B86" s="1">
        <v>1.0472250000000001</v>
      </c>
      <c r="C86" s="1">
        <v>3.9961999999999998E-2</v>
      </c>
      <c r="D86" s="1">
        <v>1.2348E-2</v>
      </c>
      <c r="E86" s="1">
        <v>5.2310000000000002E-2</v>
      </c>
      <c r="F86" s="1">
        <v>0</v>
      </c>
      <c r="G86" s="1">
        <v>-0.18598100000000001</v>
      </c>
      <c r="H86" s="1">
        <v>0</v>
      </c>
      <c r="I86" s="1">
        <v>0</v>
      </c>
      <c r="J86" s="1">
        <v>0</v>
      </c>
      <c r="K86" s="1">
        <v>92.601299999999995</v>
      </c>
      <c r="L86" s="1">
        <v>0.57940000000000003</v>
      </c>
      <c r="N86" s="37" t="s">
        <v>538</v>
      </c>
    </row>
    <row r="87" spans="1:14" x14ac:dyDescent="0.25">
      <c r="A87" s="37">
        <v>9.5</v>
      </c>
      <c r="B87" s="1">
        <v>1.097297</v>
      </c>
      <c r="C87" s="1">
        <v>3.7421000000000003E-2</v>
      </c>
      <c r="D87" s="1">
        <v>1.2978E-2</v>
      </c>
      <c r="E87" s="1">
        <v>5.0398999999999999E-2</v>
      </c>
      <c r="F87" s="1">
        <v>0</v>
      </c>
      <c r="G87" s="1">
        <v>-0.19964399999999999</v>
      </c>
      <c r="H87" s="1">
        <v>0</v>
      </c>
      <c r="I87" s="1">
        <v>0</v>
      </c>
      <c r="J87" s="1">
        <v>0</v>
      </c>
      <c r="K87" s="1">
        <v>92.601299999999995</v>
      </c>
      <c r="L87" s="1">
        <v>0.58889999999999998</v>
      </c>
      <c r="N87" s="37" t="s">
        <v>539</v>
      </c>
    </row>
    <row r="88" spans="1:14" x14ac:dyDescent="0.25">
      <c r="A88" s="37">
        <v>10</v>
      </c>
      <c r="B88" s="1">
        <v>1.1446400000000001</v>
      </c>
      <c r="C88" s="1">
        <v>4.2706000000000001E-2</v>
      </c>
      <c r="D88" s="1">
        <v>1.3639E-2</v>
      </c>
      <c r="E88" s="1">
        <v>5.6346E-2</v>
      </c>
      <c r="F88" s="1">
        <v>0</v>
      </c>
      <c r="G88" s="1">
        <v>-0.20175100000000001</v>
      </c>
      <c r="H88" s="1">
        <v>0</v>
      </c>
      <c r="I88" s="1">
        <v>0</v>
      </c>
      <c r="J88" s="1">
        <v>0</v>
      </c>
      <c r="K88" s="1">
        <v>92.601299999999995</v>
      </c>
      <c r="L88" s="1">
        <v>0.58599999999999997</v>
      </c>
      <c r="N88" s="37" t="s">
        <v>540</v>
      </c>
    </row>
    <row r="89" spans="1:14" x14ac:dyDescent="0.25">
      <c r="A89" s="37">
        <v>10.5</v>
      </c>
      <c r="B89" s="1">
        <v>1.1941679999999999</v>
      </c>
      <c r="C89" s="1">
        <v>4.5449999999999997E-2</v>
      </c>
      <c r="D89" s="1">
        <v>1.4337000000000001E-2</v>
      </c>
      <c r="E89" s="1">
        <v>5.9787E-2</v>
      </c>
      <c r="F89" s="1">
        <v>0</v>
      </c>
      <c r="G89" s="1">
        <v>-0.211315</v>
      </c>
      <c r="H89" s="1">
        <v>0</v>
      </c>
      <c r="I89" s="1">
        <v>0</v>
      </c>
      <c r="J89" s="1">
        <v>0</v>
      </c>
      <c r="K89" s="1">
        <v>92.601299999999995</v>
      </c>
      <c r="L89" s="1">
        <v>0.59119999999999995</v>
      </c>
      <c r="N89" s="37" t="s">
        <v>541</v>
      </c>
    </row>
    <row r="90" spans="1:14" x14ac:dyDescent="0.25">
      <c r="A90" s="37">
        <v>11</v>
      </c>
      <c r="B90" s="1">
        <v>1.244448</v>
      </c>
      <c r="C90" s="1">
        <v>4.9369999999999997E-2</v>
      </c>
      <c r="D90" s="1">
        <v>1.5081000000000001E-2</v>
      </c>
      <c r="E90" s="1">
        <v>6.4450999999999994E-2</v>
      </c>
      <c r="F90" s="1">
        <v>0</v>
      </c>
      <c r="G90" s="1">
        <v>-0.22218099999999999</v>
      </c>
      <c r="H90" s="1">
        <v>0</v>
      </c>
      <c r="I90" s="1">
        <v>0</v>
      </c>
      <c r="J90" s="1">
        <v>0</v>
      </c>
      <c r="K90" s="1">
        <v>92.601299999999995</v>
      </c>
      <c r="L90" s="1">
        <v>0.59770000000000001</v>
      </c>
      <c r="N90" s="37" t="s">
        <v>542</v>
      </c>
    </row>
    <row r="91" spans="1:14" x14ac:dyDescent="0.25">
      <c r="A91" s="37">
        <v>11.5</v>
      </c>
      <c r="B91" s="1">
        <v>1.2932539999999999</v>
      </c>
      <c r="C91" s="1">
        <v>5.3364000000000002E-2</v>
      </c>
      <c r="D91" s="1">
        <v>1.5883999999999999E-2</v>
      </c>
      <c r="E91" s="1">
        <v>6.9247000000000003E-2</v>
      </c>
      <c r="F91" s="1">
        <v>0</v>
      </c>
      <c r="G91" s="1">
        <v>-0.22828399999999999</v>
      </c>
      <c r="H91" s="1">
        <v>0</v>
      </c>
      <c r="I91" s="1">
        <v>0</v>
      </c>
      <c r="J91" s="1">
        <v>0</v>
      </c>
      <c r="K91" s="1">
        <v>92.601299999999995</v>
      </c>
      <c r="L91" s="1">
        <v>0.5998</v>
      </c>
      <c r="N91" s="37" t="s">
        <v>543</v>
      </c>
    </row>
    <row r="92" spans="1:14" x14ac:dyDescent="0.25">
      <c r="A92" s="37">
        <v>12</v>
      </c>
      <c r="B92" s="1">
        <v>1.342973</v>
      </c>
      <c r="C92" s="1">
        <v>5.7624000000000002E-2</v>
      </c>
      <c r="D92" s="1">
        <v>1.6750000000000001E-2</v>
      </c>
      <c r="E92" s="1">
        <v>7.4373999999999996E-2</v>
      </c>
      <c r="F92" s="1">
        <v>0</v>
      </c>
      <c r="G92" s="1">
        <v>-0.23588200000000001</v>
      </c>
      <c r="H92" s="1">
        <v>0</v>
      </c>
      <c r="I92" s="1">
        <v>0</v>
      </c>
      <c r="J92" s="1">
        <v>0</v>
      </c>
      <c r="K92" s="1">
        <v>92.601299999999995</v>
      </c>
      <c r="L92" s="1">
        <v>0.60350000000000004</v>
      </c>
      <c r="N92" s="37" t="s">
        <v>544</v>
      </c>
    </row>
    <row r="93" spans="1:14" x14ac:dyDescent="0.25">
      <c r="A93" s="37">
        <v>12.5</v>
      </c>
      <c r="B93" s="1">
        <v>1.392204</v>
      </c>
      <c r="C93" s="1">
        <v>6.1987E-2</v>
      </c>
      <c r="D93" s="1">
        <v>1.7693E-2</v>
      </c>
      <c r="E93" s="1">
        <v>7.9680000000000001E-2</v>
      </c>
      <c r="F93" s="1">
        <v>0</v>
      </c>
      <c r="G93" s="1">
        <v>-0.24151500000000001</v>
      </c>
      <c r="H93" s="1">
        <v>0</v>
      </c>
      <c r="I93" s="1">
        <v>0</v>
      </c>
      <c r="J93" s="1">
        <v>0</v>
      </c>
      <c r="K93" s="1">
        <v>92.601299999999995</v>
      </c>
      <c r="L93" s="1">
        <v>0.60570000000000002</v>
      </c>
      <c r="N93" s="37" t="s">
        <v>545</v>
      </c>
    </row>
    <row r="94" spans="1:14" x14ac:dyDescent="0.25">
      <c r="A94" s="37">
        <v>13</v>
      </c>
      <c r="B94" s="1">
        <v>1.4413579999999999</v>
      </c>
      <c r="C94" s="1">
        <v>6.6496E-2</v>
      </c>
      <c r="D94" s="1">
        <v>1.8709E-2</v>
      </c>
      <c r="E94" s="1">
        <v>8.5205000000000003E-2</v>
      </c>
      <c r="F94" s="1">
        <v>0</v>
      </c>
      <c r="G94" s="1">
        <v>-0.24623200000000001</v>
      </c>
      <c r="H94" s="1">
        <v>0</v>
      </c>
      <c r="I94" s="1">
        <v>0</v>
      </c>
      <c r="J94" s="1">
        <v>0</v>
      </c>
      <c r="K94" s="1">
        <v>92.601299999999995</v>
      </c>
      <c r="L94" s="1">
        <v>0.60740000000000005</v>
      </c>
      <c r="N94" s="37" t="s">
        <v>546</v>
      </c>
    </row>
    <row r="95" spans="1:14" x14ac:dyDescent="0.25">
      <c r="A95" s="37">
        <v>13.5</v>
      </c>
      <c r="B95" s="1">
        <v>1.49048</v>
      </c>
      <c r="C95" s="1">
        <v>7.1156999999999998E-2</v>
      </c>
      <c r="D95" s="1">
        <v>1.9753E-2</v>
      </c>
      <c r="E95" s="1">
        <v>9.0910000000000005E-2</v>
      </c>
      <c r="F95" s="1">
        <v>0</v>
      </c>
      <c r="G95" s="1">
        <v>-0.25012099999999998</v>
      </c>
      <c r="H95" s="1">
        <v>0</v>
      </c>
      <c r="I95" s="1">
        <v>0</v>
      </c>
      <c r="J95" s="1">
        <v>0</v>
      </c>
      <c r="K95" s="1">
        <v>92.601299999999995</v>
      </c>
      <c r="L95" s="1">
        <v>0.60880000000000001</v>
      </c>
      <c r="N95" s="37" t="s">
        <v>547</v>
      </c>
    </row>
    <row r="96" spans="1:14" x14ac:dyDescent="0.25">
      <c r="A96" s="37">
        <v>14</v>
      </c>
      <c r="B96" s="1">
        <v>1.5395859999999999</v>
      </c>
      <c r="C96" s="1">
        <v>7.5971999999999998E-2</v>
      </c>
      <c r="D96" s="1">
        <v>2.0844000000000001E-2</v>
      </c>
      <c r="E96" s="1">
        <v>9.6814999999999998E-2</v>
      </c>
      <c r="F96" s="1">
        <v>0</v>
      </c>
      <c r="G96" s="1">
        <v>-0.25321199999999999</v>
      </c>
      <c r="H96" s="1">
        <v>0</v>
      </c>
      <c r="I96" s="1">
        <v>0</v>
      </c>
      <c r="J96" s="1">
        <v>0</v>
      </c>
      <c r="K96" s="1">
        <v>92.601299999999995</v>
      </c>
      <c r="L96" s="1">
        <v>0.6099</v>
      </c>
      <c r="N96" s="37" t="s">
        <v>548</v>
      </c>
    </row>
    <row r="97" spans="1:14" x14ac:dyDescent="0.25">
      <c r="A97" s="37">
        <v>14.5</v>
      </c>
      <c r="B97" s="1">
        <v>1.588678</v>
      </c>
      <c r="C97" s="1">
        <v>8.0939999999999998E-2</v>
      </c>
      <c r="D97" s="1">
        <v>2.2016000000000001E-2</v>
      </c>
      <c r="E97" s="1">
        <v>0.10295600000000001</v>
      </c>
      <c r="F97" s="1">
        <v>0</v>
      </c>
      <c r="G97" s="1">
        <v>-0.25550200000000001</v>
      </c>
      <c r="H97" s="1">
        <v>0</v>
      </c>
      <c r="I97" s="1">
        <v>0</v>
      </c>
      <c r="J97" s="1">
        <v>0</v>
      </c>
      <c r="K97" s="1">
        <v>92.601299999999995</v>
      </c>
      <c r="L97" s="1">
        <v>0.61080000000000001</v>
      </c>
      <c r="N97" s="37" t="s">
        <v>549</v>
      </c>
    </row>
    <row r="98" spans="1:14" x14ac:dyDescent="0.25">
      <c r="A98" s="37">
        <v>15</v>
      </c>
      <c r="B98" s="1">
        <v>1.6377569999999999</v>
      </c>
      <c r="C98" s="1">
        <v>8.6059999999999998E-2</v>
      </c>
      <c r="D98" s="1">
        <v>2.3380000000000001E-2</v>
      </c>
      <c r="E98" s="1">
        <v>0.109441</v>
      </c>
      <c r="F98" s="1">
        <v>0</v>
      </c>
      <c r="G98" s="1">
        <v>-0.25700000000000001</v>
      </c>
      <c r="H98" s="1">
        <v>0</v>
      </c>
      <c r="I98" s="1">
        <v>0</v>
      </c>
      <c r="J98" s="1">
        <v>0</v>
      </c>
      <c r="K98" s="1">
        <v>92.601299999999995</v>
      </c>
      <c r="L98" s="1">
        <v>0.61140000000000005</v>
      </c>
      <c r="N98" s="37" t="s">
        <v>550</v>
      </c>
    </row>
    <row r="99" spans="1:14" x14ac:dyDescent="0.25">
      <c r="A99" s="37"/>
    </row>
    <row r="101" spans="1:14" x14ac:dyDescent="0.25">
      <c r="A101" s="13" t="s">
        <v>553</v>
      </c>
    </row>
    <row r="102" spans="1:14" x14ac:dyDescent="0.25">
      <c r="A102" s="44" t="s">
        <v>119</v>
      </c>
      <c r="B102">
        <f>MATCH($B$7,B107:B143,1)+ROW()+4</f>
        <v>119</v>
      </c>
      <c r="F102" s="21" t="s">
        <v>736</v>
      </c>
      <c r="G102">
        <f>MATCH(0,G107:G143,-1)+ROW()+4</f>
        <v>115</v>
      </c>
    </row>
    <row r="103" spans="1:14" x14ac:dyDescent="0.25">
      <c r="A103" s="45" t="s">
        <v>186</v>
      </c>
      <c r="B103">
        <f ca="1">INDIRECT(CONCATENATE("C",B102+1)) - (INDIRECT(CONCATENATE("B",B102+1))-$B$7) / (INDIRECT(CONCATENATE("B",B102+1))-INDIRECT(CONCATENATE("B",B102))) * (INDIRECT(CONCATENATE("C",B102+1)) - INDIRECT(CONCATENATE("C",B102)) )</f>
        <v>8.6331974748731135E-3</v>
      </c>
      <c r="F103" s="21" t="s">
        <v>737</v>
      </c>
      <c r="G103" s="1">
        <f ca="1">INDIRECT(CONCATENATE("B",G102+1)) - (INDIRECT(CONCATENATE("B",G102+1))-INDIRECT(CONCATENATE("B",G102))) / (INDIRECT(CONCATENATE("G",G102+1))-INDIRECT(CONCATENATE("G",G102))) * (INDIRECT(CONCATENATE("G",G102+1)) - 0)</f>
        <v>0.32532390582457882</v>
      </c>
    </row>
    <row r="104" spans="1:14" x14ac:dyDescent="0.25">
      <c r="A104" s="13" t="s">
        <v>2</v>
      </c>
      <c r="B104" s="13">
        <f ca="1">$B$7^2/(PI()*$B$2*B103)</f>
        <v>0.97808562708074787</v>
      </c>
      <c r="N104" s="37" t="s">
        <v>146</v>
      </c>
    </row>
    <row r="105" spans="1:14" x14ac:dyDescent="0.25">
      <c r="N105" s="37" t="s">
        <v>147</v>
      </c>
    </row>
    <row r="106" spans="1:14" x14ac:dyDescent="0.25">
      <c r="A106" s="1" t="s">
        <v>128</v>
      </c>
      <c r="B106" s="1" t="s">
        <v>118</v>
      </c>
      <c r="C106" s="1" t="s">
        <v>149</v>
      </c>
      <c r="D106" s="1" t="s">
        <v>150</v>
      </c>
      <c r="E106" s="1" t="s">
        <v>151</v>
      </c>
      <c r="F106" s="1" t="s">
        <v>152</v>
      </c>
      <c r="G106" s="1" t="s">
        <v>153</v>
      </c>
      <c r="H106" s="1" t="s">
        <v>154</v>
      </c>
      <c r="I106" s="1" t="s">
        <v>155</v>
      </c>
      <c r="J106" s="1" t="s">
        <v>156</v>
      </c>
      <c r="K106" s="1" t="s">
        <v>157</v>
      </c>
      <c r="L106" s="1" t="s">
        <v>158</v>
      </c>
      <c r="N106" s="37" t="s">
        <v>554</v>
      </c>
    </row>
    <row r="107" spans="1:14" x14ac:dyDescent="0.25">
      <c r="A107" s="1">
        <v>-3</v>
      </c>
      <c r="B107" s="1">
        <v>-0.107733</v>
      </c>
      <c r="C107" s="1">
        <v>1.2689999999999999E-3</v>
      </c>
      <c r="D107" s="1">
        <v>7.6280000000000002E-3</v>
      </c>
      <c r="E107" s="1">
        <v>8.8970000000000004E-3</v>
      </c>
      <c r="F107" s="1">
        <v>0</v>
      </c>
      <c r="G107" s="1">
        <v>0.15612400000000001</v>
      </c>
      <c r="H107" s="1">
        <v>0</v>
      </c>
      <c r="I107" s="1">
        <v>0</v>
      </c>
      <c r="J107" s="1">
        <v>0</v>
      </c>
      <c r="K107" s="1">
        <v>92.601299999999995</v>
      </c>
      <c r="L107" s="1">
        <v>2.0762999999999998</v>
      </c>
      <c r="N107" s="37" t="s">
        <v>555</v>
      </c>
    </row>
    <row r="108" spans="1:14" x14ac:dyDescent="0.25">
      <c r="A108" s="37">
        <v>-2.5</v>
      </c>
      <c r="B108" s="1">
        <v>-5.8879000000000001E-2</v>
      </c>
      <c r="C108" s="1">
        <v>8.9400000000000005E-4</v>
      </c>
      <c r="D108" s="1">
        <v>7.4099999999999999E-3</v>
      </c>
      <c r="E108" s="1">
        <v>8.3040000000000006E-3</v>
      </c>
      <c r="F108" s="1">
        <v>0</v>
      </c>
      <c r="G108" s="1">
        <v>0.13724600000000001</v>
      </c>
      <c r="H108" s="1">
        <v>0</v>
      </c>
      <c r="I108" s="1">
        <v>0</v>
      </c>
      <c r="J108" s="1">
        <v>0</v>
      </c>
      <c r="K108" s="1">
        <v>92.601299999999995</v>
      </c>
      <c r="L108" s="1">
        <v>3.1532</v>
      </c>
      <c r="N108" s="37" t="s">
        <v>556</v>
      </c>
    </row>
    <row r="109" spans="1:14" x14ac:dyDescent="0.25">
      <c r="A109" s="37">
        <v>-2</v>
      </c>
      <c r="B109" s="1">
        <v>-1.0031E-2</v>
      </c>
      <c r="C109" s="1">
        <v>6.7599999999999995E-4</v>
      </c>
      <c r="D109" s="1">
        <v>7.1939999999999999E-3</v>
      </c>
      <c r="E109" s="1">
        <v>7.8700000000000003E-3</v>
      </c>
      <c r="F109" s="1">
        <v>0</v>
      </c>
      <c r="G109" s="1">
        <v>0.11862300000000001</v>
      </c>
      <c r="H109" s="1">
        <v>0</v>
      </c>
      <c r="I109" s="1">
        <v>0</v>
      </c>
      <c r="J109" s="1">
        <v>0</v>
      </c>
      <c r="K109" s="1">
        <v>92.601299999999995</v>
      </c>
      <c r="L109" s="1">
        <v>14.742599999999999</v>
      </c>
      <c r="N109" s="37" t="s">
        <v>557</v>
      </c>
    </row>
    <row r="110" spans="1:14" x14ac:dyDescent="0.25">
      <c r="A110" s="37">
        <v>-1.5</v>
      </c>
      <c r="B110" s="1">
        <v>3.8809000000000003E-2</v>
      </c>
      <c r="C110" s="1">
        <v>6.1700000000000004E-4</v>
      </c>
      <c r="D110" s="1">
        <v>6.9750000000000003E-3</v>
      </c>
      <c r="E110" s="1">
        <v>7.5919999999999998E-3</v>
      </c>
      <c r="F110" s="1">
        <v>0</v>
      </c>
      <c r="G110" s="1">
        <v>0.100282</v>
      </c>
      <c r="H110" s="1">
        <v>0</v>
      </c>
      <c r="I110" s="1">
        <v>0</v>
      </c>
      <c r="J110" s="1">
        <v>0</v>
      </c>
      <c r="K110" s="1">
        <v>92.601299999999995</v>
      </c>
      <c r="L110" s="1">
        <v>-2.8435000000000001</v>
      </c>
      <c r="N110" s="37" t="s">
        <v>558</v>
      </c>
    </row>
    <row r="111" spans="1:14" x14ac:dyDescent="0.25">
      <c r="A111" s="37">
        <v>-1</v>
      </c>
      <c r="B111" s="1">
        <v>8.7638999999999995E-2</v>
      </c>
      <c r="C111" s="1">
        <v>7.1699999999999997E-4</v>
      </c>
      <c r="D111" s="1">
        <v>6.7229999999999998E-3</v>
      </c>
      <c r="E111" s="1">
        <v>7.4400000000000004E-3</v>
      </c>
      <c r="F111" s="1">
        <v>0</v>
      </c>
      <c r="G111" s="1">
        <v>8.2256999999999997E-2</v>
      </c>
      <c r="H111" s="1">
        <v>0</v>
      </c>
      <c r="I111" s="1">
        <v>0</v>
      </c>
      <c r="J111" s="1">
        <v>0</v>
      </c>
      <c r="K111" s="1">
        <v>92.601299999999995</v>
      </c>
      <c r="L111" s="1">
        <v>-0.83409999999999995</v>
      </c>
      <c r="N111" s="37" t="s">
        <v>559</v>
      </c>
    </row>
    <row r="112" spans="1:14" x14ac:dyDescent="0.25">
      <c r="A112" s="37">
        <v>-0.5</v>
      </c>
      <c r="B112" s="1">
        <v>0.136458</v>
      </c>
      <c r="C112" s="1">
        <v>9.7599999999999998E-4</v>
      </c>
      <c r="D112" s="1">
        <v>6.45E-3</v>
      </c>
      <c r="E112" s="1">
        <v>7.4260000000000003E-3</v>
      </c>
      <c r="F112" s="1">
        <v>0</v>
      </c>
      <c r="G112" s="1">
        <v>6.4575999999999995E-2</v>
      </c>
      <c r="H112" s="1">
        <v>0</v>
      </c>
      <c r="I112" s="1">
        <v>0</v>
      </c>
      <c r="J112" s="1">
        <v>0</v>
      </c>
      <c r="K112" s="1">
        <v>92.601299999999995</v>
      </c>
      <c r="L112" s="1">
        <v>-0.26469999999999999</v>
      </c>
      <c r="N112" s="37" t="s">
        <v>560</v>
      </c>
    </row>
    <row r="113" spans="1:14" x14ac:dyDescent="0.25">
      <c r="A113" s="37">
        <v>0</v>
      </c>
      <c r="B113" s="1">
        <v>0.18526200000000001</v>
      </c>
      <c r="C113" s="1">
        <v>1.3940000000000001E-3</v>
      </c>
      <c r="D113" s="1">
        <v>6.0610000000000004E-3</v>
      </c>
      <c r="E113" s="1">
        <v>7.4549999999999998E-3</v>
      </c>
      <c r="F113" s="1">
        <v>0</v>
      </c>
      <c r="G113" s="1">
        <v>4.7279000000000002E-2</v>
      </c>
      <c r="H113" s="1">
        <v>0</v>
      </c>
      <c r="I113" s="1">
        <v>0</v>
      </c>
      <c r="J113" s="1">
        <v>0</v>
      </c>
      <c r="K113" s="1">
        <v>92.601299999999995</v>
      </c>
      <c r="L113" s="1">
        <v>3.0000000000000001E-3</v>
      </c>
      <c r="N113" s="37" t="s">
        <v>561</v>
      </c>
    </row>
    <row r="114" spans="1:14" x14ac:dyDescent="0.25">
      <c r="A114" s="37">
        <v>0.5</v>
      </c>
      <c r="B114" s="1">
        <v>0.23405100000000001</v>
      </c>
      <c r="C114" s="1">
        <v>1.9710000000000001E-3</v>
      </c>
      <c r="D114" s="1">
        <v>5.5269999999999998E-3</v>
      </c>
      <c r="E114" s="1">
        <v>7.4980000000000003E-3</v>
      </c>
      <c r="F114" s="1">
        <v>0</v>
      </c>
      <c r="G114" s="1">
        <v>3.0405999999999999E-2</v>
      </c>
      <c r="H114" s="1">
        <v>0</v>
      </c>
      <c r="I114" s="1">
        <v>0</v>
      </c>
      <c r="J114" s="1">
        <v>0</v>
      </c>
      <c r="K114" s="1">
        <v>92.601299999999995</v>
      </c>
      <c r="L114" s="1">
        <v>0.15790000000000001</v>
      </c>
      <c r="N114" s="37" t="s">
        <v>562</v>
      </c>
    </row>
    <row r="115" spans="1:14" x14ac:dyDescent="0.25">
      <c r="A115" s="37">
        <v>1</v>
      </c>
      <c r="B115" s="1">
        <v>0.28282299999999999</v>
      </c>
      <c r="C115" s="1">
        <v>2.7070000000000002E-3</v>
      </c>
      <c r="D115" s="1">
        <v>4.6690000000000004E-3</v>
      </c>
      <c r="E115" s="1">
        <v>7.3759999999999997E-3</v>
      </c>
      <c r="F115" s="1">
        <v>0</v>
      </c>
      <c r="G115" s="1">
        <v>1.4024E-2</v>
      </c>
      <c r="H115" s="1">
        <v>0</v>
      </c>
      <c r="I115" s="1">
        <v>0</v>
      </c>
      <c r="J115" s="1">
        <v>0</v>
      </c>
      <c r="K115" s="1">
        <v>92.601299999999995</v>
      </c>
      <c r="L115" s="1">
        <v>0.25829999999999997</v>
      </c>
      <c r="N115" s="37" t="s">
        <v>563</v>
      </c>
    </row>
    <row r="116" spans="1:14" x14ac:dyDescent="0.25">
      <c r="A116" s="37">
        <v>1.5</v>
      </c>
      <c r="B116" s="1">
        <v>0.33157599999999998</v>
      </c>
      <c r="C116" s="1">
        <v>3.6020000000000002E-3</v>
      </c>
      <c r="D116" s="1">
        <v>4.28E-3</v>
      </c>
      <c r="E116" s="1">
        <v>7.8829999999999994E-3</v>
      </c>
      <c r="F116" s="1">
        <v>0</v>
      </c>
      <c r="G116" s="1">
        <v>-2.0630000000000002E-3</v>
      </c>
      <c r="H116" s="1">
        <v>0</v>
      </c>
      <c r="I116" s="1">
        <v>0</v>
      </c>
      <c r="J116" s="1">
        <v>0</v>
      </c>
      <c r="K116" s="1">
        <v>92.601299999999995</v>
      </c>
      <c r="L116" s="1">
        <v>0.32819999999999999</v>
      </c>
      <c r="N116" s="37" t="s">
        <v>564</v>
      </c>
    </row>
    <row r="117" spans="1:14" x14ac:dyDescent="0.25">
      <c r="A117" s="37">
        <v>2</v>
      </c>
      <c r="B117" s="1">
        <v>0.38030700000000001</v>
      </c>
      <c r="C117" s="1">
        <v>4.6579999999999998E-3</v>
      </c>
      <c r="D117" s="1">
        <v>4.1859999999999996E-3</v>
      </c>
      <c r="E117" s="1">
        <v>8.8439999999999994E-3</v>
      </c>
      <c r="F117" s="1">
        <v>0</v>
      </c>
      <c r="G117" s="1">
        <v>-1.7750999999999999E-2</v>
      </c>
      <c r="H117" s="1">
        <v>0</v>
      </c>
      <c r="I117" s="1">
        <v>0</v>
      </c>
      <c r="J117" s="1">
        <v>0</v>
      </c>
      <c r="K117" s="1">
        <v>92.601299999999995</v>
      </c>
      <c r="L117" s="1">
        <v>0.37930000000000003</v>
      </c>
      <c r="N117" s="37" t="s">
        <v>565</v>
      </c>
    </row>
    <row r="118" spans="1:14" x14ac:dyDescent="0.25">
      <c r="A118" s="37">
        <v>2.5</v>
      </c>
      <c r="B118" s="1">
        <v>0.42901600000000001</v>
      </c>
      <c r="C118" s="1">
        <v>5.8719999999999996E-3</v>
      </c>
      <c r="D118" s="1">
        <v>4.2170000000000003E-3</v>
      </c>
      <c r="E118" s="1">
        <v>1.0089000000000001E-2</v>
      </c>
      <c r="F118" s="1">
        <v>0</v>
      </c>
      <c r="G118" s="1">
        <v>-3.2976999999999999E-2</v>
      </c>
      <c r="H118" s="1">
        <v>0</v>
      </c>
      <c r="I118" s="1">
        <v>0</v>
      </c>
      <c r="J118" s="1">
        <v>0</v>
      </c>
      <c r="K118" s="1">
        <v>92.601299999999995</v>
      </c>
      <c r="L118" s="1">
        <v>0.41810000000000003</v>
      </c>
      <c r="N118" s="37" t="s">
        <v>566</v>
      </c>
    </row>
    <row r="119" spans="1:14" x14ac:dyDescent="0.25">
      <c r="A119" s="37">
        <v>3</v>
      </c>
      <c r="B119" s="1">
        <v>0.47770099999999999</v>
      </c>
      <c r="C119" s="1">
        <v>7.2459999999999998E-3</v>
      </c>
      <c r="D119" s="1">
        <v>4.5199999999999997E-3</v>
      </c>
      <c r="E119" s="1">
        <v>1.1767E-2</v>
      </c>
      <c r="F119" s="1">
        <v>0</v>
      </c>
      <c r="G119" s="1">
        <v>-4.777E-2</v>
      </c>
      <c r="H119" s="1">
        <v>0</v>
      </c>
      <c r="I119" s="1">
        <v>0</v>
      </c>
      <c r="J119" s="1">
        <v>0</v>
      </c>
      <c r="K119" s="1">
        <v>92.601299999999995</v>
      </c>
      <c r="L119" s="1">
        <v>0.44829999999999998</v>
      </c>
      <c r="N119" s="37" t="s">
        <v>567</v>
      </c>
    </row>
    <row r="120" spans="1:14" x14ac:dyDescent="0.25">
      <c r="A120" s="37">
        <v>3.5</v>
      </c>
      <c r="B120" s="1">
        <v>0.52635900000000002</v>
      </c>
      <c r="C120" s="1">
        <v>8.7799999999999996E-3</v>
      </c>
      <c r="D120" s="1">
        <v>5.3200000000000001E-3</v>
      </c>
      <c r="E120" s="1">
        <v>1.4101000000000001E-2</v>
      </c>
      <c r="F120" s="1">
        <v>0</v>
      </c>
      <c r="G120" s="1">
        <v>-6.2153E-2</v>
      </c>
      <c r="H120" s="1">
        <v>0</v>
      </c>
      <c r="I120" s="1">
        <v>0</v>
      </c>
      <c r="J120" s="1">
        <v>0</v>
      </c>
      <c r="K120" s="1">
        <v>92.601299999999995</v>
      </c>
      <c r="L120" s="1">
        <v>0.47220000000000001</v>
      </c>
      <c r="N120" s="37" t="s">
        <v>568</v>
      </c>
    </row>
    <row r="121" spans="1:14" x14ac:dyDescent="0.25">
      <c r="A121" s="37">
        <v>4</v>
      </c>
      <c r="B121" s="1">
        <v>0.57499</v>
      </c>
      <c r="C121" s="1">
        <v>1.0473E-2</v>
      </c>
      <c r="D121" s="1">
        <v>6.2630000000000003E-3</v>
      </c>
      <c r="E121" s="1">
        <v>1.6736000000000001E-2</v>
      </c>
      <c r="F121" s="1">
        <v>0</v>
      </c>
      <c r="G121" s="1">
        <v>-7.6002E-2</v>
      </c>
      <c r="H121" s="1">
        <v>0</v>
      </c>
      <c r="I121" s="1">
        <v>0</v>
      </c>
      <c r="J121" s="1">
        <v>0</v>
      </c>
      <c r="K121" s="1">
        <v>92.601299999999995</v>
      </c>
      <c r="L121" s="1">
        <v>0.49159999999999998</v>
      </c>
      <c r="N121" s="37" t="s">
        <v>569</v>
      </c>
    </row>
    <row r="122" spans="1:14" x14ac:dyDescent="0.25">
      <c r="A122" s="37">
        <v>4.5</v>
      </c>
      <c r="B122" s="1">
        <v>0.62358999999999998</v>
      </c>
      <c r="C122" s="1">
        <v>1.2326E-2</v>
      </c>
      <c r="D122" s="1">
        <v>7.0910000000000001E-3</v>
      </c>
      <c r="E122" s="1">
        <v>1.9417E-2</v>
      </c>
      <c r="F122" s="1">
        <v>0</v>
      </c>
      <c r="G122" s="1">
        <v>-8.9241000000000001E-2</v>
      </c>
      <c r="H122" s="1">
        <v>0</v>
      </c>
      <c r="I122" s="1">
        <v>0</v>
      </c>
      <c r="J122" s="1">
        <v>0</v>
      </c>
      <c r="K122" s="1">
        <v>92.601299999999995</v>
      </c>
      <c r="L122" s="1">
        <v>0.50729999999999997</v>
      </c>
      <c r="N122" s="37" t="s">
        <v>570</v>
      </c>
    </row>
    <row r="123" spans="1:14" x14ac:dyDescent="0.25">
      <c r="A123" s="37">
        <v>5</v>
      </c>
      <c r="B123" s="1">
        <v>0.67215800000000003</v>
      </c>
      <c r="C123" s="1">
        <v>1.4338999999999999E-2</v>
      </c>
      <c r="D123" s="1">
        <v>7.7929999999999996E-3</v>
      </c>
      <c r="E123" s="1">
        <v>2.2131999999999999E-2</v>
      </c>
      <c r="F123" s="1">
        <v>0</v>
      </c>
      <c r="G123" s="1">
        <v>-0.10184699999999999</v>
      </c>
      <c r="H123" s="1">
        <v>0</v>
      </c>
      <c r="I123" s="1">
        <v>0</v>
      </c>
      <c r="J123" s="1">
        <v>0</v>
      </c>
      <c r="K123" s="1">
        <v>92.601299999999995</v>
      </c>
      <c r="L123" s="1">
        <v>0.5202</v>
      </c>
      <c r="N123" s="37" t="s">
        <v>571</v>
      </c>
    </row>
    <row r="124" spans="1:14" x14ac:dyDescent="0.25">
      <c r="A124" s="37">
        <v>5.5</v>
      </c>
      <c r="B124" s="1">
        <v>0.72069300000000003</v>
      </c>
      <c r="C124" s="1">
        <v>1.6514000000000001E-2</v>
      </c>
      <c r="D124" s="1">
        <v>8.4250000000000002E-3</v>
      </c>
      <c r="E124" s="1">
        <v>2.4938999999999999E-2</v>
      </c>
      <c r="F124" s="1">
        <v>0</v>
      </c>
      <c r="G124" s="1">
        <v>-0.113817</v>
      </c>
      <c r="H124" s="1">
        <v>0</v>
      </c>
      <c r="I124" s="1">
        <v>0</v>
      </c>
      <c r="J124" s="1">
        <v>0</v>
      </c>
      <c r="K124" s="1">
        <v>92.601299999999995</v>
      </c>
      <c r="L124" s="1">
        <v>0.53090000000000004</v>
      </c>
      <c r="N124" s="37" t="s">
        <v>572</v>
      </c>
    </row>
    <row r="125" spans="1:14" x14ac:dyDescent="0.25">
      <c r="A125" s="37">
        <v>6</v>
      </c>
      <c r="B125" s="1">
        <v>0.76919300000000002</v>
      </c>
      <c r="C125" s="1">
        <v>1.8856000000000001E-2</v>
      </c>
      <c r="D125" s="1">
        <v>8.9809999999999994E-3</v>
      </c>
      <c r="E125" s="1">
        <v>2.7836E-2</v>
      </c>
      <c r="F125" s="1">
        <v>0</v>
      </c>
      <c r="G125" s="1">
        <v>-0.12512400000000001</v>
      </c>
      <c r="H125" s="1">
        <v>0</v>
      </c>
      <c r="I125" s="1">
        <v>0</v>
      </c>
      <c r="J125" s="1">
        <v>0</v>
      </c>
      <c r="K125" s="1">
        <v>92.601299999999995</v>
      </c>
      <c r="L125" s="1">
        <v>0.53969999999999996</v>
      </c>
      <c r="N125" s="37" t="s">
        <v>573</v>
      </c>
    </row>
    <row r="126" spans="1:14" x14ac:dyDescent="0.25">
      <c r="A126" s="37">
        <v>6.5</v>
      </c>
      <c r="B126" s="1">
        <v>0.817658</v>
      </c>
      <c r="C126" s="1">
        <v>2.1382999999999999E-2</v>
      </c>
      <c r="D126" s="1">
        <v>9.5029999999999993E-3</v>
      </c>
      <c r="E126" s="1">
        <v>3.0884999999999999E-2</v>
      </c>
      <c r="F126" s="1">
        <v>0</v>
      </c>
      <c r="G126" s="1">
        <v>-0.135745</v>
      </c>
      <c r="H126" s="1">
        <v>0</v>
      </c>
      <c r="I126" s="1">
        <v>0</v>
      </c>
      <c r="J126" s="1">
        <v>0</v>
      </c>
      <c r="K126" s="1">
        <v>92.601299999999995</v>
      </c>
      <c r="L126" s="1">
        <v>0.54700000000000004</v>
      </c>
      <c r="N126" s="37" t="s">
        <v>574</v>
      </c>
    </row>
    <row r="127" spans="1:14" x14ac:dyDescent="0.25">
      <c r="A127" s="37">
        <v>7</v>
      </c>
      <c r="B127" s="1">
        <v>0.86610399999999998</v>
      </c>
      <c r="C127" s="1">
        <v>2.4176E-2</v>
      </c>
      <c r="D127" s="1">
        <v>1.0064999999999999E-2</v>
      </c>
      <c r="E127" s="1">
        <v>3.4241000000000001E-2</v>
      </c>
      <c r="F127" s="1">
        <v>0</v>
      </c>
      <c r="G127" s="1">
        <v>-0.14566200000000001</v>
      </c>
      <c r="H127" s="1">
        <v>0</v>
      </c>
      <c r="I127" s="1">
        <v>0</v>
      </c>
      <c r="J127" s="1">
        <v>0</v>
      </c>
      <c r="K127" s="1">
        <v>92.601299999999995</v>
      </c>
      <c r="L127" s="1">
        <v>0.55289999999999995</v>
      </c>
      <c r="N127" s="37" t="s">
        <v>575</v>
      </c>
    </row>
    <row r="128" spans="1:14" x14ac:dyDescent="0.25">
      <c r="A128" s="37">
        <v>7.5</v>
      </c>
      <c r="B128" s="1">
        <v>0.91473199999999999</v>
      </c>
      <c r="C128" s="1">
        <v>2.7503E-2</v>
      </c>
      <c r="D128" s="1">
        <v>1.0681E-2</v>
      </c>
      <c r="E128" s="1">
        <v>3.8183000000000002E-2</v>
      </c>
      <c r="F128" s="1">
        <v>0</v>
      </c>
      <c r="G128" s="1">
        <v>-0.15504100000000001</v>
      </c>
      <c r="H128" s="1">
        <v>0</v>
      </c>
      <c r="I128" s="1">
        <v>0</v>
      </c>
      <c r="J128" s="1">
        <v>0</v>
      </c>
      <c r="K128" s="1">
        <v>92.601299999999995</v>
      </c>
      <c r="L128" s="1">
        <v>0.55789999999999995</v>
      </c>
      <c r="N128" s="37" t="s">
        <v>576</v>
      </c>
    </row>
    <row r="129" spans="1:14" x14ac:dyDescent="0.25">
      <c r="A129" s="37">
        <v>8</v>
      </c>
      <c r="B129" s="1">
        <v>0.96469099999999997</v>
      </c>
      <c r="C129" s="1">
        <v>1.6892000000000001E-2</v>
      </c>
      <c r="D129" s="1">
        <v>1.1341E-2</v>
      </c>
      <c r="E129" s="1">
        <v>2.8233000000000001E-2</v>
      </c>
      <c r="F129" s="1">
        <v>0</v>
      </c>
      <c r="G129" s="1">
        <v>-0.16567599999999999</v>
      </c>
      <c r="H129" s="1">
        <v>0</v>
      </c>
      <c r="I129" s="1">
        <v>0</v>
      </c>
      <c r="J129" s="1">
        <v>0</v>
      </c>
      <c r="K129" s="1">
        <v>92.601299999999995</v>
      </c>
      <c r="L129" s="1">
        <v>0.56379999999999997</v>
      </c>
      <c r="N129" s="37" t="s">
        <v>577</v>
      </c>
    </row>
    <row r="130" spans="1:14" x14ac:dyDescent="0.25">
      <c r="A130" s="37">
        <v>8.5</v>
      </c>
      <c r="B130" s="1">
        <v>1.012418</v>
      </c>
      <c r="C130" s="1">
        <v>3.1202000000000001E-2</v>
      </c>
      <c r="D130" s="1">
        <v>1.192E-2</v>
      </c>
      <c r="E130" s="1">
        <v>4.3123000000000002E-2</v>
      </c>
      <c r="F130" s="1">
        <v>0</v>
      </c>
      <c r="G130" s="1">
        <v>-0.18066199999999999</v>
      </c>
      <c r="H130" s="1">
        <v>0</v>
      </c>
      <c r="I130" s="1">
        <v>0</v>
      </c>
      <c r="J130" s="1">
        <v>0</v>
      </c>
      <c r="K130" s="1">
        <v>92.601299999999995</v>
      </c>
      <c r="L130" s="1">
        <v>0.57669999999999999</v>
      </c>
      <c r="N130" s="37" t="s">
        <v>578</v>
      </c>
    </row>
    <row r="131" spans="1:14" x14ac:dyDescent="0.25">
      <c r="A131" s="37">
        <v>9</v>
      </c>
      <c r="B131" s="1">
        <v>1.0581320000000001</v>
      </c>
      <c r="C131" s="1">
        <v>3.9057000000000001E-2</v>
      </c>
      <c r="D131" s="1">
        <v>1.2534999999999999E-2</v>
      </c>
      <c r="E131" s="1">
        <v>5.1591999999999999E-2</v>
      </c>
      <c r="F131" s="1">
        <v>0</v>
      </c>
      <c r="G131" s="1">
        <v>-0.177507</v>
      </c>
      <c r="H131" s="1">
        <v>0</v>
      </c>
      <c r="I131" s="1">
        <v>0</v>
      </c>
      <c r="J131" s="1">
        <v>0</v>
      </c>
      <c r="K131" s="1">
        <v>92.601299999999995</v>
      </c>
      <c r="L131" s="1">
        <v>0.56720000000000004</v>
      </c>
      <c r="N131" s="37" t="s">
        <v>579</v>
      </c>
    </row>
    <row r="132" spans="1:14" x14ac:dyDescent="0.25">
      <c r="A132" s="37">
        <v>9.5</v>
      </c>
      <c r="B132" s="1">
        <v>1.1074090000000001</v>
      </c>
      <c r="C132" s="1">
        <v>3.8497999999999998E-2</v>
      </c>
      <c r="D132" s="1">
        <v>1.3155999999999999E-2</v>
      </c>
      <c r="E132" s="1">
        <v>5.1653999999999999E-2</v>
      </c>
      <c r="F132" s="1">
        <v>0</v>
      </c>
      <c r="G132" s="1">
        <v>-0.19095599999999999</v>
      </c>
      <c r="H132" s="1">
        <v>0</v>
      </c>
      <c r="I132" s="1">
        <v>0</v>
      </c>
      <c r="J132" s="1">
        <v>0</v>
      </c>
      <c r="K132" s="1">
        <v>92.601299999999995</v>
      </c>
      <c r="L132" s="1">
        <v>0.57730000000000004</v>
      </c>
      <c r="N132" s="37" t="s">
        <v>580</v>
      </c>
    </row>
    <row r="133" spans="1:14" x14ac:dyDescent="0.25">
      <c r="A133" s="37">
        <v>10</v>
      </c>
      <c r="B133" s="1">
        <v>1.153848</v>
      </c>
      <c r="C133" s="1">
        <v>4.3140999999999999E-2</v>
      </c>
      <c r="D133" s="1">
        <v>1.3821999999999999E-2</v>
      </c>
      <c r="E133" s="1">
        <v>5.6963E-2</v>
      </c>
      <c r="F133" s="1">
        <v>0</v>
      </c>
      <c r="G133" s="1">
        <v>-0.19145499999999999</v>
      </c>
      <c r="H133" s="1">
        <v>0</v>
      </c>
      <c r="I133" s="1">
        <v>0</v>
      </c>
      <c r="J133" s="1">
        <v>0</v>
      </c>
      <c r="K133" s="1">
        <v>92.601299999999995</v>
      </c>
      <c r="L133" s="1">
        <v>0.57340000000000002</v>
      </c>
      <c r="N133" s="37" t="s">
        <v>581</v>
      </c>
    </row>
    <row r="134" spans="1:14" x14ac:dyDescent="0.25">
      <c r="A134" s="37">
        <v>10.5</v>
      </c>
      <c r="B134" s="1">
        <v>1.202555</v>
      </c>
      <c r="C134" s="1">
        <v>4.5519999999999998E-2</v>
      </c>
      <c r="D134" s="1">
        <v>1.4526000000000001E-2</v>
      </c>
      <c r="E134" s="1">
        <v>6.0046000000000002E-2</v>
      </c>
      <c r="F134" s="1">
        <v>0</v>
      </c>
      <c r="G134" s="1">
        <v>-0.197161</v>
      </c>
      <c r="H134" s="1">
        <v>0</v>
      </c>
      <c r="I134" s="1">
        <v>0</v>
      </c>
      <c r="J134" s="1">
        <v>0</v>
      </c>
      <c r="K134" s="1">
        <v>92.601299999999995</v>
      </c>
      <c r="L134" s="1">
        <v>0.57509999999999994</v>
      </c>
      <c r="N134" s="37" t="s">
        <v>582</v>
      </c>
    </row>
    <row r="135" spans="1:14" x14ac:dyDescent="0.25">
      <c r="A135" s="37">
        <v>11</v>
      </c>
      <c r="B135" s="1">
        <v>1.251098</v>
      </c>
      <c r="C135" s="1">
        <v>5.0611000000000003E-2</v>
      </c>
      <c r="D135" s="1">
        <v>1.5278E-2</v>
      </c>
      <c r="E135" s="1">
        <v>6.5889000000000003E-2</v>
      </c>
      <c r="F135" s="1">
        <v>0</v>
      </c>
      <c r="G135" s="1">
        <v>-0.204539</v>
      </c>
      <c r="H135" s="1">
        <v>0</v>
      </c>
      <c r="I135" s="1">
        <v>0</v>
      </c>
      <c r="J135" s="1">
        <v>0</v>
      </c>
      <c r="K135" s="1">
        <v>92.601299999999995</v>
      </c>
      <c r="L135" s="1">
        <v>0.57899999999999996</v>
      </c>
      <c r="N135" s="37" t="s">
        <v>583</v>
      </c>
    </row>
    <row r="136" spans="1:14" x14ac:dyDescent="0.25">
      <c r="A136" s="37">
        <v>11.5</v>
      </c>
      <c r="B136" s="1">
        <v>1.3014920000000001</v>
      </c>
      <c r="C136" s="1">
        <v>5.4894999999999999E-2</v>
      </c>
      <c r="D136" s="1">
        <v>1.6095000000000002E-2</v>
      </c>
      <c r="E136" s="1">
        <v>7.0990999999999999E-2</v>
      </c>
      <c r="F136" s="1">
        <v>0</v>
      </c>
      <c r="G136" s="1">
        <v>-0.216444</v>
      </c>
      <c r="H136" s="1">
        <v>0</v>
      </c>
      <c r="I136" s="1">
        <v>0</v>
      </c>
      <c r="J136" s="1">
        <v>0</v>
      </c>
      <c r="K136" s="1">
        <v>92.601299999999995</v>
      </c>
      <c r="L136" s="1">
        <v>0.58709999999999996</v>
      </c>
      <c r="N136" s="37" t="s">
        <v>584</v>
      </c>
    </row>
    <row r="137" spans="1:14" x14ac:dyDescent="0.25">
      <c r="A137" s="37">
        <v>12</v>
      </c>
      <c r="B137" s="1">
        <v>1.3513580000000001</v>
      </c>
      <c r="C137" s="1">
        <v>5.9242999999999997E-2</v>
      </c>
      <c r="D137" s="1">
        <v>1.6976999999999999E-2</v>
      </c>
      <c r="E137" s="1">
        <v>7.6219999999999996E-2</v>
      </c>
      <c r="F137" s="1">
        <v>0</v>
      </c>
      <c r="G137" s="1">
        <v>-0.22559199999999999</v>
      </c>
      <c r="H137" s="1">
        <v>0</v>
      </c>
      <c r="I137" s="1">
        <v>0</v>
      </c>
      <c r="J137" s="1">
        <v>0</v>
      </c>
      <c r="K137" s="1">
        <v>92.601299999999995</v>
      </c>
      <c r="L137" s="1">
        <v>0.5927</v>
      </c>
      <c r="N137" s="37" t="s">
        <v>585</v>
      </c>
    </row>
    <row r="138" spans="1:14" x14ac:dyDescent="0.25">
      <c r="A138" s="37">
        <v>12.5</v>
      </c>
      <c r="B138" s="1">
        <v>1.401097</v>
      </c>
      <c r="C138" s="1">
        <v>6.3752000000000003E-2</v>
      </c>
      <c r="D138" s="1">
        <v>1.7942E-2</v>
      </c>
      <c r="E138" s="1">
        <v>8.1695000000000004E-2</v>
      </c>
      <c r="F138" s="1">
        <v>0</v>
      </c>
      <c r="G138" s="1">
        <v>-0.233266</v>
      </c>
      <c r="H138" s="1">
        <v>0</v>
      </c>
      <c r="I138" s="1">
        <v>0</v>
      </c>
      <c r="J138" s="1">
        <v>0</v>
      </c>
      <c r="K138" s="1">
        <v>92.601299999999995</v>
      </c>
      <c r="L138" s="1">
        <v>0.59699999999999998</v>
      </c>
      <c r="N138" s="37" t="s">
        <v>586</v>
      </c>
    </row>
    <row r="139" spans="1:14" x14ac:dyDescent="0.25">
      <c r="A139" s="37">
        <v>13</v>
      </c>
      <c r="B139" s="1">
        <v>1.4505809999999999</v>
      </c>
      <c r="C139" s="1">
        <v>6.8396999999999999E-2</v>
      </c>
      <c r="D139" s="1">
        <v>1.8967000000000001E-2</v>
      </c>
      <c r="E139" s="1">
        <v>8.7362999999999996E-2</v>
      </c>
      <c r="F139" s="1">
        <v>0</v>
      </c>
      <c r="G139" s="1">
        <v>-0.239372</v>
      </c>
      <c r="H139" s="1">
        <v>0</v>
      </c>
      <c r="I139" s="1">
        <v>0</v>
      </c>
      <c r="J139" s="1">
        <v>0</v>
      </c>
      <c r="K139" s="1">
        <v>92.601299999999995</v>
      </c>
      <c r="L139" s="1">
        <v>0.60009999999999997</v>
      </c>
      <c r="N139" s="37" t="s">
        <v>587</v>
      </c>
    </row>
    <row r="140" spans="1:14" x14ac:dyDescent="0.25">
      <c r="A140" s="37">
        <v>13.5</v>
      </c>
      <c r="B140" s="1">
        <v>1.4998819999999999</v>
      </c>
      <c r="C140" s="1">
        <v>7.3178000000000007E-2</v>
      </c>
      <c r="D140" s="1">
        <v>2.002E-2</v>
      </c>
      <c r="E140" s="1">
        <v>9.3199000000000004E-2</v>
      </c>
      <c r="F140" s="1">
        <v>0</v>
      </c>
      <c r="G140" s="1">
        <v>-0.24418500000000001</v>
      </c>
      <c r="H140" s="1">
        <v>0</v>
      </c>
      <c r="I140" s="1">
        <v>0</v>
      </c>
      <c r="J140" s="1">
        <v>0</v>
      </c>
      <c r="K140" s="1">
        <v>92.601299999999995</v>
      </c>
      <c r="L140" s="1">
        <v>0.60250000000000004</v>
      </c>
      <c r="N140" s="37" t="s">
        <v>588</v>
      </c>
    </row>
    <row r="141" spans="1:14" x14ac:dyDescent="0.25">
      <c r="A141" s="37">
        <v>14</v>
      </c>
      <c r="B141" s="1">
        <v>1.549002</v>
      </c>
      <c r="C141" s="1">
        <v>7.8093999999999997E-2</v>
      </c>
      <c r="D141" s="1">
        <v>2.1117E-2</v>
      </c>
      <c r="E141" s="1">
        <v>9.9210999999999994E-2</v>
      </c>
      <c r="F141" s="1">
        <v>0</v>
      </c>
      <c r="G141" s="1">
        <v>-0.24777399999999999</v>
      </c>
      <c r="H141" s="1">
        <v>0</v>
      </c>
      <c r="I141" s="1">
        <v>0</v>
      </c>
      <c r="J141" s="1">
        <v>0</v>
      </c>
      <c r="K141" s="1">
        <v>92.601299999999995</v>
      </c>
      <c r="L141" s="1">
        <v>0.60429999999999995</v>
      </c>
      <c r="N141" s="37" t="s">
        <v>589</v>
      </c>
    </row>
    <row r="142" spans="1:14" x14ac:dyDescent="0.25">
      <c r="A142" s="37">
        <v>14.5</v>
      </c>
      <c r="B142" s="1">
        <v>1.5980179999999999</v>
      </c>
      <c r="C142" s="1">
        <v>8.3151000000000003E-2</v>
      </c>
      <c r="D142" s="1">
        <v>2.2325000000000001E-2</v>
      </c>
      <c r="E142" s="1">
        <v>0.105477</v>
      </c>
      <c r="F142" s="1">
        <v>0</v>
      </c>
      <c r="G142" s="1">
        <v>-0.25035099999999999</v>
      </c>
      <c r="H142" s="1">
        <v>0</v>
      </c>
      <c r="I142" s="1">
        <v>0</v>
      </c>
      <c r="J142" s="1">
        <v>0</v>
      </c>
      <c r="K142" s="1">
        <v>92.601299999999995</v>
      </c>
      <c r="L142" s="1">
        <v>0.60550000000000004</v>
      </c>
      <c r="N142" s="37" t="s">
        <v>590</v>
      </c>
    </row>
    <row r="143" spans="1:14" x14ac:dyDescent="0.25">
      <c r="A143" s="37">
        <v>15</v>
      </c>
      <c r="B143" s="1">
        <v>1.6469860000000001</v>
      </c>
      <c r="C143" s="1">
        <v>8.8358000000000006E-2</v>
      </c>
      <c r="D143" s="1">
        <v>2.3747999999999998E-2</v>
      </c>
      <c r="E143" s="1">
        <v>0.112106</v>
      </c>
      <c r="F143" s="1">
        <v>0</v>
      </c>
      <c r="G143" s="1">
        <v>-0.25206200000000001</v>
      </c>
      <c r="H143" s="1">
        <v>0</v>
      </c>
      <c r="I143" s="1">
        <v>0</v>
      </c>
      <c r="J143" s="1">
        <v>0</v>
      </c>
      <c r="K143" s="1">
        <v>92.601299999999995</v>
      </c>
      <c r="L143" s="1">
        <v>0.60650000000000004</v>
      </c>
    </row>
    <row r="144" spans="1:14" x14ac:dyDescent="0.25">
      <c r="A144" s="37"/>
    </row>
    <row r="146" spans="1:14" x14ac:dyDescent="0.25">
      <c r="A146" s="13" t="s">
        <v>591</v>
      </c>
    </row>
    <row r="147" spans="1:14" x14ac:dyDescent="0.25">
      <c r="A147" s="44" t="s">
        <v>119</v>
      </c>
      <c r="B147">
        <f>MATCH($B$7,B152:B188,1)+ROW()+4</f>
        <v>165</v>
      </c>
      <c r="F147" s="21" t="s">
        <v>736</v>
      </c>
      <c r="G147">
        <f>MATCH(0,G152:G188,-1)+ROW()+4</f>
        <v>160</v>
      </c>
    </row>
    <row r="148" spans="1:14" x14ac:dyDescent="0.25">
      <c r="A148" s="45" t="s">
        <v>186</v>
      </c>
      <c r="B148">
        <f ca="1">INDIRECT(CONCATENATE("C",B147+1)) - (INDIRECT(CONCATENATE("B",B147+1))-$B$7) / (INDIRECT(CONCATENATE("B",B147+1))-INDIRECT(CONCATENATE("B",B147))) * (INDIRECT(CONCATENATE("C",B147+1)) - INDIRECT(CONCATENATE("C",B147)) )</f>
        <v>8.4466150884954481E-3</v>
      </c>
      <c r="F148" s="21" t="s">
        <v>737</v>
      </c>
      <c r="G148" s="1">
        <f ca="1">INDIRECT(CONCATENATE("B",G147+1)) - (INDIRECT(CONCATENATE("B",G147+1))-INDIRECT(CONCATENATE("B",G147))) / (INDIRECT(CONCATENATE("G",G147+1))-INDIRECT(CONCATENATE("G",G147))) * (INDIRECT(CONCATENATE("G",G147+1)) - 0)</f>
        <v>0.29295089759073645</v>
      </c>
      <c r="N148" s="37"/>
    </row>
    <row r="149" spans="1:14" x14ac:dyDescent="0.25">
      <c r="A149" s="13" t="s">
        <v>2</v>
      </c>
      <c r="B149" s="13">
        <f ca="1">$B$7^2/(PI()*$B$2*B148)</f>
        <v>0.99969115171640732</v>
      </c>
      <c r="N149" s="37" t="s">
        <v>146</v>
      </c>
    </row>
    <row r="150" spans="1:14" x14ac:dyDescent="0.25">
      <c r="N150" s="37" t="s">
        <v>147</v>
      </c>
    </row>
    <row r="151" spans="1:14" x14ac:dyDescent="0.25">
      <c r="A151" s="1" t="s">
        <v>128</v>
      </c>
      <c r="B151" s="1" t="s">
        <v>118</v>
      </c>
      <c r="C151" s="1" t="s">
        <v>149</v>
      </c>
      <c r="D151" s="1" t="s">
        <v>150</v>
      </c>
      <c r="E151" s="1" t="s">
        <v>151</v>
      </c>
      <c r="F151" s="1" t="s">
        <v>152</v>
      </c>
      <c r="G151" s="1" t="s">
        <v>153</v>
      </c>
      <c r="H151" s="1" t="s">
        <v>154</v>
      </c>
      <c r="I151" s="1" t="s">
        <v>155</v>
      </c>
      <c r="J151" s="1" t="s">
        <v>156</v>
      </c>
      <c r="K151" s="1" t="s">
        <v>157</v>
      </c>
      <c r="L151" s="1" t="s">
        <v>158</v>
      </c>
      <c r="N151" s="37" t="s">
        <v>592</v>
      </c>
    </row>
    <row r="152" spans="1:14" x14ac:dyDescent="0.25">
      <c r="A152" s="37">
        <v>-3</v>
      </c>
      <c r="B152" s="1">
        <v>-0.115913</v>
      </c>
      <c r="C152" s="1">
        <v>1.3489999999999999E-3</v>
      </c>
      <c r="D152" s="1">
        <v>7.639E-3</v>
      </c>
      <c r="E152" s="1">
        <v>8.9879999999999995E-3</v>
      </c>
      <c r="F152" s="1">
        <v>0</v>
      </c>
      <c r="G152" s="1">
        <v>0.14845800000000001</v>
      </c>
      <c r="H152" s="1">
        <v>0</v>
      </c>
      <c r="I152" s="1">
        <v>0</v>
      </c>
      <c r="J152" s="1">
        <v>0</v>
      </c>
      <c r="K152" s="1">
        <v>92.601299999999995</v>
      </c>
      <c r="L152" s="1">
        <v>1.8701000000000001</v>
      </c>
      <c r="N152" s="37" t="s">
        <v>593</v>
      </c>
    </row>
    <row r="153" spans="1:14" x14ac:dyDescent="0.25">
      <c r="A153" s="37">
        <v>-2.5</v>
      </c>
      <c r="B153" s="1">
        <v>-6.6873000000000002E-2</v>
      </c>
      <c r="C153" s="1">
        <v>9.4499999999999998E-4</v>
      </c>
      <c r="D153" s="1">
        <v>7.4209999999999996E-3</v>
      </c>
      <c r="E153" s="1">
        <v>8.3660000000000002E-3</v>
      </c>
      <c r="F153" s="1">
        <v>0</v>
      </c>
      <c r="G153" s="1">
        <v>0.12945999999999999</v>
      </c>
      <c r="H153" s="1">
        <v>0</v>
      </c>
      <c r="I153" s="1">
        <v>0</v>
      </c>
      <c r="J153" s="1">
        <v>0</v>
      </c>
      <c r="K153" s="1">
        <v>92.601299999999995</v>
      </c>
      <c r="L153" s="1">
        <v>2.6707000000000001</v>
      </c>
      <c r="N153" s="37" t="s">
        <v>594</v>
      </c>
    </row>
    <row r="154" spans="1:14" x14ac:dyDescent="0.25">
      <c r="A154" s="37">
        <v>-2</v>
      </c>
      <c r="B154" s="1">
        <v>-1.7840999999999999E-2</v>
      </c>
      <c r="C154" s="1">
        <v>6.9899999999999997E-4</v>
      </c>
      <c r="D154" s="1">
        <v>7.2129999999999998E-3</v>
      </c>
      <c r="E154" s="1">
        <v>7.9109999999999996E-3</v>
      </c>
      <c r="F154" s="1">
        <v>0</v>
      </c>
      <c r="G154" s="1">
        <v>0.110722</v>
      </c>
      <c r="H154" s="1">
        <v>0</v>
      </c>
      <c r="I154" s="1">
        <v>0</v>
      </c>
      <c r="J154" s="1">
        <v>0</v>
      </c>
      <c r="K154" s="1">
        <v>92.601299999999995</v>
      </c>
      <c r="L154" s="1">
        <v>7.8853999999999997</v>
      </c>
      <c r="N154" s="37" t="s">
        <v>595</v>
      </c>
    </row>
    <row r="155" spans="1:14" x14ac:dyDescent="0.25">
      <c r="A155" s="37">
        <v>-1.5</v>
      </c>
      <c r="B155" s="1">
        <v>3.1182000000000001E-2</v>
      </c>
      <c r="C155" s="1">
        <v>6.0899999999999995E-4</v>
      </c>
      <c r="D155" s="1">
        <v>6.9870000000000002E-3</v>
      </c>
      <c r="E155" s="1">
        <v>7.5969999999999996E-3</v>
      </c>
      <c r="F155" s="1">
        <v>0</v>
      </c>
      <c r="G155" s="1">
        <v>9.2273999999999995E-2</v>
      </c>
      <c r="H155" s="1">
        <v>0</v>
      </c>
      <c r="I155" s="1">
        <v>0</v>
      </c>
      <c r="J155" s="1">
        <v>0</v>
      </c>
      <c r="K155" s="1">
        <v>92.601299999999995</v>
      </c>
      <c r="L155" s="1">
        <v>-3.3041999999999998</v>
      </c>
      <c r="N155" s="37" t="s">
        <v>596</v>
      </c>
    </row>
    <row r="156" spans="1:14" x14ac:dyDescent="0.25">
      <c r="A156" s="37">
        <v>-1</v>
      </c>
      <c r="B156" s="1">
        <v>8.0195000000000002E-2</v>
      </c>
      <c r="C156" s="1">
        <v>6.78E-4</v>
      </c>
      <c r="D156" s="1">
        <v>6.7660000000000003E-3</v>
      </c>
      <c r="E156" s="1">
        <v>7.4440000000000001E-3</v>
      </c>
      <c r="F156" s="1">
        <v>0</v>
      </c>
      <c r="G156" s="1">
        <v>7.4146000000000004E-2</v>
      </c>
      <c r="H156" s="1">
        <v>0</v>
      </c>
      <c r="I156" s="1">
        <v>0</v>
      </c>
      <c r="J156" s="1">
        <v>0</v>
      </c>
      <c r="K156" s="1">
        <v>92.601299999999995</v>
      </c>
      <c r="L156" s="1">
        <v>-0.81869999999999998</v>
      </c>
      <c r="N156" s="37" t="s">
        <v>597</v>
      </c>
    </row>
    <row r="157" spans="1:14" x14ac:dyDescent="0.25">
      <c r="A157" s="37">
        <v>-0.5</v>
      </c>
      <c r="B157" s="1">
        <v>0.129194</v>
      </c>
      <c r="C157" s="1">
        <v>9.0399999999999996E-4</v>
      </c>
      <c r="D157" s="1">
        <v>6.4920000000000004E-3</v>
      </c>
      <c r="E157" s="1">
        <v>7.3959999999999998E-3</v>
      </c>
      <c r="F157" s="1">
        <v>0</v>
      </c>
      <c r="G157" s="1">
        <v>5.6368000000000001E-2</v>
      </c>
      <c r="H157" s="1">
        <v>0</v>
      </c>
      <c r="I157" s="1">
        <v>0</v>
      </c>
      <c r="J157" s="1">
        <v>0</v>
      </c>
      <c r="K157" s="1">
        <v>92.601299999999995</v>
      </c>
      <c r="L157" s="1">
        <v>-0.22109999999999999</v>
      </c>
      <c r="N157" s="37" t="s">
        <v>598</v>
      </c>
    </row>
    <row r="158" spans="1:14" x14ac:dyDescent="0.25">
      <c r="A158" s="37">
        <v>0</v>
      </c>
      <c r="B158" s="1">
        <v>0.178179</v>
      </c>
      <c r="C158" s="1">
        <v>1.2880000000000001E-3</v>
      </c>
      <c r="D158" s="1">
        <v>6.182E-3</v>
      </c>
      <c r="E158" s="1">
        <v>7.4700000000000001E-3</v>
      </c>
      <c r="F158" s="1">
        <v>0</v>
      </c>
      <c r="G158" s="1">
        <v>3.8969999999999998E-2</v>
      </c>
      <c r="H158" s="1">
        <v>0</v>
      </c>
      <c r="I158" s="1">
        <v>0</v>
      </c>
      <c r="J158" s="1">
        <v>0</v>
      </c>
      <c r="K158" s="1">
        <v>92.601299999999995</v>
      </c>
      <c r="L158" s="1">
        <v>4.6199999999999998E-2</v>
      </c>
      <c r="N158" s="37" t="s">
        <v>599</v>
      </c>
    </row>
    <row r="159" spans="1:14" x14ac:dyDescent="0.25">
      <c r="A159" s="37">
        <v>0.5</v>
      </c>
      <c r="B159" s="1">
        <v>0.22714699999999999</v>
      </c>
      <c r="C159" s="1">
        <v>1.83E-3</v>
      </c>
      <c r="D159" s="1">
        <v>5.6800000000000002E-3</v>
      </c>
      <c r="E159" s="1">
        <v>7.5100000000000002E-3</v>
      </c>
      <c r="F159" s="1">
        <v>0</v>
      </c>
      <c r="G159" s="1">
        <v>2.2009000000000001E-2</v>
      </c>
      <c r="H159" s="1">
        <v>0</v>
      </c>
      <c r="I159" s="1">
        <v>0</v>
      </c>
      <c r="J159" s="1">
        <v>0</v>
      </c>
      <c r="K159" s="1">
        <v>92.601299999999995</v>
      </c>
      <c r="L159" s="1">
        <v>0.19689999999999999</v>
      </c>
      <c r="N159" s="37" t="s">
        <v>600</v>
      </c>
    </row>
    <row r="160" spans="1:14" x14ac:dyDescent="0.25">
      <c r="A160" s="37">
        <v>1</v>
      </c>
      <c r="B160" s="1">
        <v>0.27609699999999998</v>
      </c>
      <c r="C160" s="1">
        <v>2.5300000000000001E-3</v>
      </c>
      <c r="D160" s="1">
        <v>4.8939999999999999E-3</v>
      </c>
      <c r="E160" s="1">
        <v>7.424E-3</v>
      </c>
      <c r="F160" s="1">
        <v>0</v>
      </c>
      <c r="G160" s="1">
        <v>5.5329999999999997E-3</v>
      </c>
      <c r="H160" s="1">
        <v>0</v>
      </c>
      <c r="I160" s="1">
        <v>0</v>
      </c>
      <c r="J160" s="1">
        <v>0</v>
      </c>
      <c r="K160" s="1">
        <v>92.601299999999995</v>
      </c>
      <c r="L160" s="1">
        <v>0.29310000000000003</v>
      </c>
      <c r="N160" s="37" t="s">
        <v>601</v>
      </c>
    </row>
    <row r="161" spans="1:14" x14ac:dyDescent="0.25">
      <c r="A161" s="37">
        <v>1.5</v>
      </c>
      <c r="B161" s="1">
        <v>0.32502599999999998</v>
      </c>
      <c r="C161" s="1">
        <v>3.388E-3</v>
      </c>
      <c r="D161" s="1">
        <v>4.2199999999999998E-3</v>
      </c>
      <c r="E161" s="1">
        <v>7.6080000000000002E-3</v>
      </c>
      <c r="F161" s="1">
        <v>0</v>
      </c>
      <c r="G161" s="1">
        <v>-1.0529999999999999E-2</v>
      </c>
      <c r="H161" s="1">
        <v>0</v>
      </c>
      <c r="I161" s="1">
        <v>0</v>
      </c>
      <c r="J161" s="1">
        <v>0</v>
      </c>
      <c r="K161" s="1">
        <v>92.601299999999995</v>
      </c>
      <c r="L161" s="1">
        <v>0.35930000000000001</v>
      </c>
      <c r="N161" s="37" t="s">
        <v>602</v>
      </c>
    </row>
    <row r="162" spans="1:14" x14ac:dyDescent="0.25">
      <c r="A162" s="37">
        <v>2</v>
      </c>
      <c r="B162" s="1">
        <v>0.37393300000000002</v>
      </c>
      <c r="C162" s="1">
        <v>4.4050000000000001E-3</v>
      </c>
      <c r="D162" s="1">
        <v>4.1460000000000004E-3</v>
      </c>
      <c r="E162" s="1">
        <v>8.5509999999999996E-3</v>
      </c>
      <c r="F162" s="1">
        <v>0</v>
      </c>
      <c r="G162" s="1">
        <v>-2.6268E-2</v>
      </c>
      <c r="H162" s="1">
        <v>0</v>
      </c>
      <c r="I162" s="1">
        <v>0</v>
      </c>
      <c r="J162" s="1">
        <v>0</v>
      </c>
      <c r="K162" s="1">
        <v>92.601299999999995</v>
      </c>
      <c r="L162" s="1">
        <v>0.4073</v>
      </c>
      <c r="N162" s="37" t="s">
        <v>603</v>
      </c>
    </row>
    <row r="163" spans="1:14" x14ac:dyDescent="0.25">
      <c r="A163" s="37">
        <v>2.5</v>
      </c>
      <c r="B163" s="1">
        <v>0.42281600000000003</v>
      </c>
      <c r="C163" s="1">
        <v>5.581E-3</v>
      </c>
      <c r="D163" s="1">
        <v>4.15E-3</v>
      </c>
      <c r="E163" s="1">
        <v>9.7310000000000001E-3</v>
      </c>
      <c r="F163" s="1">
        <v>0</v>
      </c>
      <c r="G163" s="1">
        <v>-4.1526E-2</v>
      </c>
      <c r="H163" s="1">
        <v>0</v>
      </c>
      <c r="I163" s="1">
        <v>0</v>
      </c>
      <c r="J163" s="1">
        <v>0</v>
      </c>
      <c r="K163" s="1">
        <v>92.601299999999995</v>
      </c>
      <c r="L163" s="1">
        <v>0.44340000000000002</v>
      </c>
      <c r="N163" s="37" t="s">
        <v>604</v>
      </c>
    </row>
    <row r="164" spans="1:14" x14ac:dyDescent="0.25">
      <c r="A164" s="37">
        <v>3</v>
      </c>
      <c r="B164" s="1">
        <v>0.47167300000000001</v>
      </c>
      <c r="C164" s="1">
        <v>6.914E-3</v>
      </c>
      <c r="D164" s="1">
        <v>4.3610000000000003E-3</v>
      </c>
      <c r="E164" s="1">
        <v>1.1276E-2</v>
      </c>
      <c r="F164" s="1">
        <v>0</v>
      </c>
      <c r="G164" s="1">
        <v>-5.6320000000000002E-2</v>
      </c>
      <c r="H164" s="1">
        <v>0</v>
      </c>
      <c r="I164" s="1">
        <v>0</v>
      </c>
      <c r="J164" s="1">
        <v>0</v>
      </c>
      <c r="K164" s="1">
        <v>92.601299999999995</v>
      </c>
      <c r="L164" s="1">
        <v>0.47139999999999999</v>
      </c>
      <c r="N164" s="37" t="s">
        <v>605</v>
      </c>
    </row>
    <row r="165" spans="1:14" x14ac:dyDescent="0.25">
      <c r="A165" s="37">
        <v>3.5</v>
      </c>
      <c r="B165" s="1">
        <v>0.52050200000000002</v>
      </c>
      <c r="C165" s="1">
        <v>8.4060000000000003E-3</v>
      </c>
      <c r="D165" s="1">
        <v>5.0169999999999998E-3</v>
      </c>
      <c r="E165" s="1">
        <v>1.3424E-2</v>
      </c>
      <c r="F165" s="1">
        <v>0</v>
      </c>
      <c r="G165" s="1">
        <v>-7.0682999999999996E-2</v>
      </c>
      <c r="H165" s="1">
        <v>0</v>
      </c>
      <c r="I165" s="1">
        <v>0</v>
      </c>
      <c r="J165" s="1">
        <v>0</v>
      </c>
      <c r="K165" s="1">
        <v>92.601299999999995</v>
      </c>
      <c r="L165" s="1">
        <v>0.49340000000000001</v>
      </c>
      <c r="N165" s="37" t="s">
        <v>606</v>
      </c>
    </row>
    <row r="166" spans="1:14" x14ac:dyDescent="0.25">
      <c r="A166" s="37">
        <v>4</v>
      </c>
      <c r="B166" s="1">
        <v>0.56930099999999995</v>
      </c>
      <c r="C166" s="1">
        <v>1.0057E-2</v>
      </c>
      <c r="D166" s="1">
        <v>6.0289999999999996E-3</v>
      </c>
      <c r="E166" s="1">
        <v>1.6086E-2</v>
      </c>
      <c r="F166" s="1">
        <v>0</v>
      </c>
      <c r="G166" s="1">
        <v>-8.4557999999999994E-2</v>
      </c>
      <c r="H166" s="1">
        <v>0</v>
      </c>
      <c r="I166" s="1">
        <v>0</v>
      </c>
      <c r="J166" s="1">
        <v>0</v>
      </c>
      <c r="K166" s="1">
        <v>92.601299999999995</v>
      </c>
      <c r="L166" s="1">
        <v>0.51100000000000001</v>
      </c>
      <c r="N166" s="37" t="s">
        <v>607</v>
      </c>
    </row>
    <row r="167" spans="1:14" x14ac:dyDescent="0.25">
      <c r="A167" s="37">
        <v>4.5</v>
      </c>
      <c r="B167" s="1">
        <v>0.61806899999999998</v>
      </c>
      <c r="C167" s="1">
        <v>1.1866E-2</v>
      </c>
      <c r="D167" s="1">
        <v>6.9369999999999996E-3</v>
      </c>
      <c r="E167" s="1">
        <v>1.8804000000000001E-2</v>
      </c>
      <c r="F167" s="1">
        <v>0</v>
      </c>
      <c r="G167" s="1">
        <v>-9.7820000000000004E-2</v>
      </c>
      <c r="H167" s="1">
        <v>0</v>
      </c>
      <c r="I167" s="1">
        <v>0</v>
      </c>
      <c r="J167" s="1">
        <v>0</v>
      </c>
      <c r="K167" s="1">
        <v>92.601299999999995</v>
      </c>
      <c r="L167" s="1">
        <v>0.52529999999999999</v>
      </c>
      <c r="N167" s="37" t="s">
        <v>608</v>
      </c>
    </row>
    <row r="168" spans="1:14" x14ac:dyDescent="0.25">
      <c r="A168" s="37">
        <v>5</v>
      </c>
      <c r="B168" s="1">
        <v>0.66680200000000001</v>
      </c>
      <c r="C168" s="1">
        <v>1.3835E-2</v>
      </c>
      <c r="D168" s="1">
        <v>7.6790000000000001E-3</v>
      </c>
      <c r="E168" s="1">
        <v>2.1513999999999998E-2</v>
      </c>
      <c r="F168" s="1">
        <v>0</v>
      </c>
      <c r="G168" s="1">
        <v>-0.110432</v>
      </c>
      <c r="H168" s="1">
        <v>0</v>
      </c>
      <c r="I168" s="1">
        <v>0</v>
      </c>
      <c r="J168" s="1">
        <v>0</v>
      </c>
      <c r="K168" s="1">
        <v>92.601299999999995</v>
      </c>
      <c r="L168" s="1">
        <v>0.53690000000000004</v>
      </c>
      <c r="N168" s="37" t="s">
        <v>609</v>
      </c>
    </row>
    <row r="169" spans="1:14" x14ac:dyDescent="0.25">
      <c r="A169" s="37">
        <v>5.5</v>
      </c>
      <c r="B169" s="1">
        <v>0.71550000000000002</v>
      </c>
      <c r="C169" s="1">
        <v>1.5963999999999999E-2</v>
      </c>
      <c r="D169" s="1">
        <v>8.3359999999999997E-3</v>
      </c>
      <c r="E169" s="1">
        <v>2.4299999999999999E-2</v>
      </c>
      <c r="F169" s="1">
        <v>0</v>
      </c>
      <c r="G169" s="1">
        <v>-0.122392</v>
      </c>
      <c r="H169" s="1">
        <v>0</v>
      </c>
      <c r="I169" s="1">
        <v>0</v>
      </c>
      <c r="J169" s="1">
        <v>0</v>
      </c>
      <c r="K169" s="1">
        <v>92.601299999999995</v>
      </c>
      <c r="L169" s="1">
        <v>0.5464</v>
      </c>
      <c r="N169" s="37" t="s">
        <v>610</v>
      </c>
    </row>
    <row r="170" spans="1:14" x14ac:dyDescent="0.25">
      <c r="A170" s="37">
        <v>6</v>
      </c>
      <c r="B170" s="1">
        <v>0.76415999999999995</v>
      </c>
      <c r="C170" s="1">
        <v>1.8260999999999999E-2</v>
      </c>
      <c r="D170" s="1">
        <v>8.9160000000000003E-3</v>
      </c>
      <c r="E170" s="1">
        <v>2.7177E-2</v>
      </c>
      <c r="F170" s="1">
        <v>0</v>
      </c>
      <c r="G170" s="1">
        <v>-0.13367799999999999</v>
      </c>
      <c r="H170" s="1">
        <v>0</v>
      </c>
      <c r="I170" s="1">
        <v>0</v>
      </c>
      <c r="J170" s="1">
        <v>0</v>
      </c>
      <c r="K170" s="1">
        <v>92.601299999999995</v>
      </c>
      <c r="L170" s="1">
        <v>0.55420000000000003</v>
      </c>
      <c r="N170" s="37" t="s">
        <v>611</v>
      </c>
    </row>
    <row r="171" spans="1:14" x14ac:dyDescent="0.25">
      <c r="A171" s="37">
        <v>6.5</v>
      </c>
      <c r="B171" s="1">
        <v>0.81278399999999995</v>
      </c>
      <c r="C171" s="1">
        <v>2.0747999999999999E-2</v>
      </c>
      <c r="D171" s="1">
        <v>9.4289999999999999E-3</v>
      </c>
      <c r="E171" s="1">
        <v>3.0178E-2</v>
      </c>
      <c r="F171" s="1">
        <v>0</v>
      </c>
      <c r="G171" s="1">
        <v>-0.14426</v>
      </c>
      <c r="H171" s="1">
        <v>0</v>
      </c>
      <c r="I171" s="1">
        <v>0</v>
      </c>
      <c r="J171" s="1">
        <v>0</v>
      </c>
      <c r="K171" s="1">
        <v>92.601299999999995</v>
      </c>
      <c r="L171" s="1">
        <v>0.56059999999999999</v>
      </c>
      <c r="N171" s="37" t="s">
        <v>612</v>
      </c>
    </row>
    <row r="172" spans="1:14" x14ac:dyDescent="0.25">
      <c r="A172" s="37">
        <v>7</v>
      </c>
      <c r="B172" s="1">
        <v>0.86139299999999996</v>
      </c>
      <c r="C172" s="1">
        <v>2.3526999999999999E-2</v>
      </c>
      <c r="D172" s="1">
        <v>9.9710000000000007E-3</v>
      </c>
      <c r="E172" s="1">
        <v>3.3498E-2</v>
      </c>
      <c r="F172" s="1">
        <v>0</v>
      </c>
      <c r="G172" s="1">
        <v>-0.15412699999999999</v>
      </c>
      <c r="H172" s="1">
        <v>0</v>
      </c>
      <c r="I172" s="1">
        <v>0</v>
      </c>
      <c r="J172" s="1">
        <v>0</v>
      </c>
      <c r="K172" s="1">
        <v>92.601299999999995</v>
      </c>
      <c r="L172" s="1">
        <v>0.56569999999999998</v>
      </c>
      <c r="N172" s="37" t="s">
        <v>613</v>
      </c>
    </row>
    <row r="173" spans="1:14" x14ac:dyDescent="0.25">
      <c r="A173" s="37">
        <v>7.5</v>
      </c>
      <c r="B173" s="1">
        <v>0.91032500000000005</v>
      </c>
      <c r="C173" s="1">
        <v>2.7053000000000001E-2</v>
      </c>
      <c r="D173" s="1">
        <v>1.0571000000000001E-2</v>
      </c>
      <c r="E173" s="1">
        <v>3.7622999999999997E-2</v>
      </c>
      <c r="F173" s="1">
        <v>0</v>
      </c>
      <c r="G173" s="1">
        <v>-0.16351599999999999</v>
      </c>
      <c r="H173" s="1">
        <v>0</v>
      </c>
      <c r="I173" s="1">
        <v>0</v>
      </c>
      <c r="J173" s="1">
        <v>0</v>
      </c>
      <c r="K173" s="1">
        <v>92.601299999999995</v>
      </c>
      <c r="L173" s="1">
        <v>0.56989999999999996</v>
      </c>
      <c r="N173" s="37" t="s">
        <v>614</v>
      </c>
    </row>
    <row r="174" spans="1:14" x14ac:dyDescent="0.25">
      <c r="A174" s="37">
        <v>8</v>
      </c>
      <c r="B174" s="1">
        <v>0.95570900000000003</v>
      </c>
      <c r="C174" s="1">
        <v>2.1149000000000001E-2</v>
      </c>
      <c r="D174" s="1">
        <v>1.1158E-2</v>
      </c>
      <c r="E174" s="1">
        <v>3.2307000000000002E-2</v>
      </c>
      <c r="F174" s="1">
        <v>0</v>
      </c>
      <c r="G174" s="1">
        <v>-0.174403</v>
      </c>
      <c r="H174" s="1">
        <v>0</v>
      </c>
      <c r="I174" s="1">
        <v>0</v>
      </c>
      <c r="J174" s="1">
        <v>0</v>
      </c>
      <c r="K174" s="1">
        <v>92.601299999999995</v>
      </c>
      <c r="L174" s="1">
        <v>0.57840000000000003</v>
      </c>
      <c r="N174" s="37" t="s">
        <v>615</v>
      </c>
    </row>
    <row r="175" spans="1:14" x14ac:dyDescent="0.25">
      <c r="A175" s="37">
        <v>8.5</v>
      </c>
      <c r="B175" s="1">
        <v>1.007201</v>
      </c>
      <c r="C175" s="1">
        <v>3.1524999999999997E-2</v>
      </c>
      <c r="D175" s="1">
        <v>1.1813000000000001E-2</v>
      </c>
      <c r="E175" s="1">
        <v>4.3338000000000002E-2</v>
      </c>
      <c r="F175" s="1">
        <v>0</v>
      </c>
      <c r="G175" s="1">
        <v>-0.185645</v>
      </c>
      <c r="H175" s="1">
        <v>0</v>
      </c>
      <c r="I175" s="1">
        <v>0</v>
      </c>
      <c r="J175" s="1">
        <v>0</v>
      </c>
      <c r="K175" s="1">
        <v>92.601299999999995</v>
      </c>
      <c r="L175" s="1">
        <v>0.58360000000000001</v>
      </c>
      <c r="N175" s="37" t="s">
        <v>616</v>
      </c>
    </row>
    <row r="176" spans="1:14" x14ac:dyDescent="0.25">
      <c r="A176" s="37">
        <v>9</v>
      </c>
      <c r="B176" s="1">
        <v>1.0536970000000001</v>
      </c>
      <c r="C176" s="1">
        <v>4.0370999999999997E-2</v>
      </c>
      <c r="D176" s="1">
        <v>1.2425E-2</v>
      </c>
      <c r="E176" s="1">
        <v>5.2796000000000003E-2</v>
      </c>
      <c r="F176" s="1">
        <v>0</v>
      </c>
      <c r="G176" s="1">
        <v>-0.18671299999999999</v>
      </c>
      <c r="H176" s="1">
        <v>0</v>
      </c>
      <c r="I176" s="1">
        <v>0</v>
      </c>
      <c r="J176" s="1">
        <v>0</v>
      </c>
      <c r="K176" s="1">
        <v>92.601299999999995</v>
      </c>
      <c r="L176" s="1">
        <v>0.57879999999999998</v>
      </c>
      <c r="N176" s="37" t="s">
        <v>617</v>
      </c>
    </row>
    <row r="177" spans="1:14" x14ac:dyDescent="0.25">
      <c r="A177" s="37">
        <v>9.5</v>
      </c>
      <c r="B177" s="1">
        <v>1.1037650000000001</v>
      </c>
      <c r="C177" s="1">
        <v>3.7855E-2</v>
      </c>
      <c r="D177" s="1">
        <v>1.3058E-2</v>
      </c>
      <c r="E177" s="1">
        <v>5.0911999999999999E-2</v>
      </c>
      <c r="F177" s="1">
        <v>0</v>
      </c>
      <c r="G177" s="1">
        <v>-0.20033300000000001</v>
      </c>
      <c r="H177" s="1">
        <v>0</v>
      </c>
      <c r="I177" s="1">
        <v>0</v>
      </c>
      <c r="J177" s="1">
        <v>0</v>
      </c>
      <c r="K177" s="1">
        <v>92.601299999999995</v>
      </c>
      <c r="L177" s="1">
        <v>0.58819999999999995</v>
      </c>
      <c r="N177" s="37" t="s">
        <v>618</v>
      </c>
    </row>
    <row r="178" spans="1:14" x14ac:dyDescent="0.25">
      <c r="A178" s="37">
        <v>10</v>
      </c>
      <c r="B178" s="1">
        <v>1.151108</v>
      </c>
      <c r="C178" s="1">
        <v>4.3158000000000002E-2</v>
      </c>
      <c r="D178" s="1">
        <v>1.3722E-2</v>
      </c>
      <c r="E178" s="1">
        <v>5.688E-2</v>
      </c>
      <c r="F178" s="1">
        <v>0</v>
      </c>
      <c r="G178" s="1">
        <v>-0.20241300000000001</v>
      </c>
      <c r="H178" s="1">
        <v>0</v>
      </c>
      <c r="I178" s="1">
        <v>0</v>
      </c>
      <c r="J178" s="1">
        <v>0</v>
      </c>
      <c r="K178" s="1">
        <v>92.601299999999995</v>
      </c>
      <c r="L178" s="1">
        <v>0.58530000000000004</v>
      </c>
      <c r="N178" s="37" t="s">
        <v>619</v>
      </c>
    </row>
    <row r="179" spans="1:14" x14ac:dyDescent="0.25">
      <c r="A179" s="37">
        <v>10.5</v>
      </c>
      <c r="B179" s="1">
        <v>1.2006330000000001</v>
      </c>
      <c r="C179" s="1">
        <v>4.5918E-2</v>
      </c>
      <c r="D179" s="1">
        <v>1.4423E-2</v>
      </c>
      <c r="E179" s="1">
        <v>6.0340999999999999E-2</v>
      </c>
      <c r="F179" s="1">
        <v>0</v>
      </c>
      <c r="G179" s="1">
        <v>-0.21194099999999999</v>
      </c>
      <c r="H179" s="1">
        <v>0</v>
      </c>
      <c r="I179" s="1">
        <v>0</v>
      </c>
      <c r="J179" s="1">
        <v>0</v>
      </c>
      <c r="K179" s="1">
        <v>92.601299999999995</v>
      </c>
      <c r="L179" s="1">
        <v>0.59050000000000002</v>
      </c>
      <c r="N179" s="37" t="s">
        <v>620</v>
      </c>
    </row>
    <row r="180" spans="1:14" x14ac:dyDescent="0.25">
      <c r="A180" s="37">
        <v>11</v>
      </c>
      <c r="B180" s="1">
        <v>1.25091</v>
      </c>
      <c r="C180" s="1">
        <v>4.9854999999999997E-2</v>
      </c>
      <c r="D180" s="1">
        <v>1.5172E-2</v>
      </c>
      <c r="E180" s="1">
        <v>6.5028000000000002E-2</v>
      </c>
      <c r="F180" s="1">
        <v>0</v>
      </c>
      <c r="G180" s="1">
        <v>-0.22276899999999999</v>
      </c>
      <c r="H180" s="1">
        <v>0</v>
      </c>
      <c r="I180" s="1">
        <v>0</v>
      </c>
      <c r="J180" s="1">
        <v>0</v>
      </c>
      <c r="K180" s="1">
        <v>92.601299999999995</v>
      </c>
      <c r="L180" s="1">
        <v>0.59699999999999998</v>
      </c>
      <c r="N180" s="37" t="s">
        <v>621</v>
      </c>
    </row>
    <row r="181" spans="1:14" x14ac:dyDescent="0.25">
      <c r="A181" s="37">
        <v>11.5</v>
      </c>
      <c r="B181" s="1">
        <v>1.2997129999999999</v>
      </c>
      <c r="C181" s="1">
        <v>5.3866999999999998E-2</v>
      </c>
      <c r="D181" s="1">
        <v>1.5980999999999999E-2</v>
      </c>
      <c r="E181" s="1">
        <v>6.9847999999999993E-2</v>
      </c>
      <c r="F181" s="1">
        <v>0</v>
      </c>
      <c r="G181" s="1">
        <v>-0.22883899999999999</v>
      </c>
      <c r="H181" s="1">
        <v>0</v>
      </c>
      <c r="I181" s="1">
        <v>0</v>
      </c>
      <c r="J181" s="1">
        <v>0</v>
      </c>
      <c r="K181" s="1">
        <v>92.601299999999995</v>
      </c>
      <c r="L181" s="1">
        <v>0.59909999999999997</v>
      </c>
      <c r="N181" s="37" t="s">
        <v>622</v>
      </c>
    </row>
    <row r="182" spans="1:14" x14ac:dyDescent="0.25">
      <c r="A182" s="37">
        <v>12</v>
      </c>
      <c r="B182" s="1">
        <v>1.3494280000000001</v>
      </c>
      <c r="C182" s="1">
        <v>5.8145000000000002E-2</v>
      </c>
      <c r="D182" s="1">
        <v>1.6854000000000001E-2</v>
      </c>
      <c r="E182" s="1">
        <v>7.4998999999999996E-2</v>
      </c>
      <c r="F182" s="1">
        <v>0</v>
      </c>
      <c r="G182" s="1">
        <v>-0.236401</v>
      </c>
      <c r="H182" s="1">
        <v>0</v>
      </c>
      <c r="I182" s="1">
        <v>0</v>
      </c>
      <c r="J182" s="1">
        <v>0</v>
      </c>
      <c r="K182" s="1">
        <v>92.601299999999995</v>
      </c>
      <c r="L182" s="1">
        <v>0.60270000000000001</v>
      </c>
      <c r="N182" s="37" t="s">
        <v>623</v>
      </c>
    </row>
    <row r="183" spans="1:14" x14ac:dyDescent="0.25">
      <c r="A183" s="37">
        <v>12.5</v>
      </c>
      <c r="B183" s="1">
        <v>1.3986540000000001</v>
      </c>
      <c r="C183" s="1">
        <v>6.2523999999999996E-2</v>
      </c>
      <c r="D183" s="1">
        <v>1.7805000000000001E-2</v>
      </c>
      <c r="E183" s="1">
        <v>8.0328999999999998E-2</v>
      </c>
      <c r="F183" s="1">
        <v>0</v>
      </c>
      <c r="G183" s="1">
        <v>-0.24199999999999999</v>
      </c>
      <c r="H183" s="1">
        <v>0</v>
      </c>
      <c r="I183" s="1">
        <v>0</v>
      </c>
      <c r="J183" s="1">
        <v>0</v>
      </c>
      <c r="K183" s="1">
        <v>92.601299999999995</v>
      </c>
      <c r="L183" s="1">
        <v>0.60499999999999998</v>
      </c>
      <c r="N183" s="37" t="s">
        <v>624</v>
      </c>
    </row>
    <row r="184" spans="1:14" x14ac:dyDescent="0.25">
      <c r="A184" s="37">
        <v>13</v>
      </c>
      <c r="B184" s="1">
        <v>1.4478040000000001</v>
      </c>
      <c r="C184" s="1">
        <v>6.7050999999999999E-2</v>
      </c>
      <c r="D184" s="1">
        <v>1.8828000000000001E-2</v>
      </c>
      <c r="E184" s="1">
        <v>8.5878999999999997E-2</v>
      </c>
      <c r="F184" s="1">
        <v>0</v>
      </c>
      <c r="G184" s="1">
        <v>-0.24668100000000001</v>
      </c>
      <c r="H184" s="1">
        <v>0</v>
      </c>
      <c r="I184" s="1">
        <v>0</v>
      </c>
      <c r="J184" s="1">
        <v>0</v>
      </c>
      <c r="K184" s="1">
        <v>92.601299999999995</v>
      </c>
      <c r="L184" s="1">
        <v>0.60670000000000002</v>
      </c>
      <c r="N184" s="37" t="s">
        <v>625</v>
      </c>
    </row>
    <row r="185" spans="1:14" x14ac:dyDescent="0.25">
      <c r="A185" s="37">
        <v>13.5</v>
      </c>
      <c r="B185" s="1">
        <v>1.49692</v>
      </c>
      <c r="C185" s="1">
        <v>7.1729000000000001E-2</v>
      </c>
      <c r="D185" s="1">
        <v>1.9875E-2</v>
      </c>
      <c r="E185" s="1">
        <v>9.1604000000000005E-2</v>
      </c>
      <c r="F185" s="1">
        <v>0</v>
      </c>
      <c r="G185" s="1">
        <v>-0.25053399999999998</v>
      </c>
      <c r="H185" s="1">
        <v>0</v>
      </c>
      <c r="I185" s="1">
        <v>0</v>
      </c>
      <c r="J185" s="1">
        <v>0</v>
      </c>
      <c r="K185" s="1">
        <v>92.601299999999995</v>
      </c>
      <c r="L185" s="1">
        <v>0.60809999999999997</v>
      </c>
      <c r="N185" s="37" t="s">
        <v>626</v>
      </c>
    </row>
    <row r="186" spans="1:14" x14ac:dyDescent="0.25">
      <c r="A186" s="37">
        <v>14</v>
      </c>
      <c r="B186" s="1">
        <v>1.5460199999999999</v>
      </c>
      <c r="C186" s="1">
        <v>7.6561000000000004E-2</v>
      </c>
      <c r="D186" s="1">
        <v>2.0972999999999999E-2</v>
      </c>
      <c r="E186" s="1">
        <v>9.7533999999999996E-2</v>
      </c>
      <c r="F186" s="1">
        <v>0</v>
      </c>
      <c r="G186" s="1">
        <v>-0.25358799999999998</v>
      </c>
      <c r="H186" s="1">
        <v>0</v>
      </c>
      <c r="I186" s="1">
        <v>0</v>
      </c>
      <c r="J186" s="1">
        <v>0</v>
      </c>
      <c r="K186" s="1">
        <v>92.601299999999995</v>
      </c>
      <c r="L186" s="1">
        <v>0.60919999999999996</v>
      </c>
      <c r="N186" s="37" t="s">
        <v>627</v>
      </c>
    </row>
    <row r="187" spans="1:14" x14ac:dyDescent="0.25">
      <c r="A187" s="37">
        <v>14.5</v>
      </c>
      <c r="B187" s="1">
        <v>1.5951059999999999</v>
      </c>
      <c r="C187" s="1">
        <v>8.1545999999999993E-2</v>
      </c>
      <c r="D187" s="1">
        <v>2.2162000000000001E-2</v>
      </c>
      <c r="E187" s="1">
        <v>0.10370799999999999</v>
      </c>
      <c r="F187" s="1">
        <v>0</v>
      </c>
      <c r="G187" s="1">
        <v>-0.25584299999999999</v>
      </c>
      <c r="H187" s="1">
        <v>0</v>
      </c>
      <c r="I187" s="1">
        <v>0</v>
      </c>
      <c r="J187" s="1">
        <v>0</v>
      </c>
      <c r="K187" s="1">
        <v>92.601299999999995</v>
      </c>
      <c r="L187" s="1">
        <v>0.61009999999999998</v>
      </c>
      <c r="N187" s="37" t="s">
        <v>628</v>
      </c>
    </row>
    <row r="188" spans="1:14" x14ac:dyDescent="0.25">
      <c r="A188" s="1">
        <v>15</v>
      </c>
      <c r="B188" s="1">
        <v>1.6441779999999999</v>
      </c>
      <c r="C188" s="1">
        <v>8.6683999999999997E-2</v>
      </c>
      <c r="D188" s="1">
        <v>2.3546999999999998E-2</v>
      </c>
      <c r="E188" s="1">
        <v>0.110231</v>
      </c>
      <c r="F188" s="1">
        <v>0</v>
      </c>
      <c r="G188" s="1">
        <v>-0.25730700000000001</v>
      </c>
      <c r="H188" s="1">
        <v>0</v>
      </c>
      <c r="I188" s="1">
        <v>0</v>
      </c>
      <c r="J188" s="1">
        <v>0</v>
      </c>
      <c r="K188" s="1">
        <v>92.601299999999995</v>
      </c>
      <c r="L188" s="1">
        <v>0.61070000000000002</v>
      </c>
    </row>
    <row r="190" spans="1:14" x14ac:dyDescent="0.25">
      <c r="A190" s="13"/>
    </row>
    <row r="191" spans="1:14" x14ac:dyDescent="0.25">
      <c r="A191" s="13" t="s">
        <v>629</v>
      </c>
    </row>
    <row r="192" spans="1:14" x14ac:dyDescent="0.25">
      <c r="A192" s="44" t="s">
        <v>119</v>
      </c>
      <c r="B192">
        <f>MATCH($B$7,B197:B233,1)+ROW()+4</f>
        <v>209</v>
      </c>
      <c r="F192" s="21" t="s">
        <v>736</v>
      </c>
      <c r="G192">
        <f>MATCH(0,G197:G233,-1)+ROW()+4</f>
        <v>204</v>
      </c>
    </row>
    <row r="193" spans="1:14" x14ac:dyDescent="0.25">
      <c r="A193" s="45" t="s">
        <v>186</v>
      </c>
      <c r="B193">
        <f ca="1">INDIRECT(CONCATENATE("C",B192+1)) - (INDIRECT(CONCATENATE("B",B192+1))-$B$7) / (INDIRECT(CONCATENATE("B",B192+1))-INDIRECT(CONCATENATE("B",B192))) * (INDIRECT(CONCATENATE("C",B192+1)) - INDIRECT(CONCATENATE("C",B192)) )</f>
        <v>8.4960091707219874E-3</v>
      </c>
      <c r="F193" s="21" t="s">
        <v>737</v>
      </c>
      <c r="G193" s="1">
        <f ca="1">INDIRECT(CONCATENATE("B",G192+1)) - (INDIRECT(CONCATENATE("B",G192+1))-INDIRECT(CONCATENATE("B",G192))) / (INDIRECT(CONCATENATE("G",G192+1))-INDIRECT(CONCATENATE("G",G192))) * (INDIRECT(CONCATENATE("G",G192+1)) - 0)</f>
        <v>0.26558367452034248</v>
      </c>
      <c r="N193" s="37"/>
    </row>
    <row r="194" spans="1:14" x14ac:dyDescent="0.25">
      <c r="A194" s="13" t="s">
        <v>2</v>
      </c>
      <c r="B194" s="13">
        <f ca="1">$B$7^2/(PI()*$B$2*B193)</f>
        <v>0.99387914916829478</v>
      </c>
      <c r="N194" s="37" t="s">
        <v>146</v>
      </c>
    </row>
    <row r="195" spans="1:14" x14ac:dyDescent="0.25">
      <c r="N195" s="37" t="s">
        <v>147</v>
      </c>
    </row>
    <row r="196" spans="1:14" x14ac:dyDescent="0.25">
      <c r="A196" s="1" t="s">
        <v>128</v>
      </c>
      <c r="B196" s="1" t="s">
        <v>118</v>
      </c>
      <c r="C196" s="1" t="s">
        <v>149</v>
      </c>
      <c r="D196" s="1" t="s">
        <v>150</v>
      </c>
      <c r="E196" s="1" t="s">
        <v>151</v>
      </c>
      <c r="F196" s="1" t="s">
        <v>152</v>
      </c>
      <c r="G196" s="1" t="s">
        <v>153</v>
      </c>
      <c r="H196" s="1" t="s">
        <v>154</v>
      </c>
      <c r="I196" s="1" t="s">
        <v>155</v>
      </c>
      <c r="J196" s="1" t="s">
        <v>156</v>
      </c>
      <c r="K196" s="1" t="s">
        <v>157</v>
      </c>
      <c r="L196" s="1" t="s">
        <v>158</v>
      </c>
      <c r="N196" s="37" t="s">
        <v>631</v>
      </c>
    </row>
    <row r="197" spans="1:14" x14ac:dyDescent="0.25">
      <c r="A197" s="37">
        <v>-2.5</v>
      </c>
      <c r="B197" s="1">
        <v>-9.9982000000000001E-2</v>
      </c>
      <c r="C197" s="1">
        <v>1.0189999999999999E-3</v>
      </c>
      <c r="D197" s="1">
        <v>7.5950000000000002E-3</v>
      </c>
      <c r="E197" s="1">
        <v>8.6140000000000001E-3</v>
      </c>
      <c r="F197" s="1">
        <v>0</v>
      </c>
      <c r="G197" s="1">
        <v>0.131526</v>
      </c>
      <c r="H197" s="1">
        <v>0</v>
      </c>
      <c r="I197" s="1">
        <v>0</v>
      </c>
      <c r="J197" s="1">
        <v>0</v>
      </c>
      <c r="K197" s="1">
        <v>92.601299999999995</v>
      </c>
      <c r="L197" s="1">
        <v>1.9132</v>
      </c>
      <c r="N197" s="37" t="s">
        <v>632</v>
      </c>
    </row>
    <row r="198" spans="1:14" x14ac:dyDescent="0.25">
      <c r="A198" s="37">
        <v>-2</v>
      </c>
      <c r="B198" s="1">
        <v>-5.1019000000000002E-2</v>
      </c>
      <c r="C198" s="1">
        <v>6.8099999999999996E-4</v>
      </c>
      <c r="D198" s="1">
        <v>7.3790000000000001E-3</v>
      </c>
      <c r="E198" s="1">
        <v>8.0599999999999995E-3</v>
      </c>
      <c r="F198" s="1">
        <v>0</v>
      </c>
      <c r="G198" s="1">
        <v>0.11279599999999999</v>
      </c>
      <c r="H198" s="1">
        <v>0</v>
      </c>
      <c r="I198" s="1">
        <v>0</v>
      </c>
      <c r="J198" s="1">
        <v>0</v>
      </c>
      <c r="K198" s="1">
        <v>92.601299999999995</v>
      </c>
      <c r="L198" s="1">
        <v>3.0076000000000001</v>
      </c>
      <c r="N198" s="37" t="s">
        <v>633</v>
      </c>
    </row>
    <row r="199" spans="1:14" x14ac:dyDescent="0.25">
      <c r="A199" s="37">
        <v>-1.5</v>
      </c>
      <c r="B199" s="1">
        <v>-2.0639999999999999E-3</v>
      </c>
      <c r="C199" s="1">
        <v>5.0000000000000001E-4</v>
      </c>
      <c r="D199" s="1">
        <v>7.1640000000000002E-3</v>
      </c>
      <c r="E199" s="1">
        <v>7.6639999999999998E-3</v>
      </c>
      <c r="F199" s="1">
        <v>0</v>
      </c>
      <c r="G199" s="1">
        <v>9.4353999999999993E-2</v>
      </c>
      <c r="H199" s="1">
        <v>0</v>
      </c>
      <c r="I199" s="1">
        <v>0</v>
      </c>
      <c r="J199" s="1">
        <v>0</v>
      </c>
      <c r="K199" s="1">
        <v>92.601299999999995</v>
      </c>
      <c r="L199" s="1">
        <v>56.1477</v>
      </c>
      <c r="N199" s="37" t="s">
        <v>634</v>
      </c>
    </row>
    <row r="200" spans="1:14" x14ac:dyDescent="0.25">
      <c r="A200" s="37">
        <v>-1</v>
      </c>
      <c r="B200" s="1">
        <v>4.6882E-2</v>
      </c>
      <c r="C200" s="1">
        <v>4.7600000000000002E-4</v>
      </c>
      <c r="D200" s="1">
        <v>6.9470000000000001E-3</v>
      </c>
      <c r="E200" s="1">
        <v>7.4229999999999999E-3</v>
      </c>
      <c r="F200" s="1">
        <v>0</v>
      </c>
      <c r="G200" s="1">
        <v>7.6228000000000004E-2</v>
      </c>
      <c r="H200" s="1">
        <v>0</v>
      </c>
      <c r="I200" s="1">
        <v>0</v>
      </c>
      <c r="J200" s="1">
        <v>0</v>
      </c>
      <c r="K200" s="1">
        <v>92.601299999999995</v>
      </c>
      <c r="L200" s="1">
        <v>-1.6759999999999999</v>
      </c>
      <c r="N200" s="37" t="s">
        <v>635</v>
      </c>
    </row>
    <row r="201" spans="1:14" x14ac:dyDescent="0.25">
      <c r="A201" s="37">
        <v>-0.5</v>
      </c>
      <c r="B201" s="1">
        <v>9.5814999999999997E-2</v>
      </c>
      <c r="C201" s="1">
        <v>6.0999999999999997E-4</v>
      </c>
      <c r="D201" s="1">
        <v>6.6959999999999997E-3</v>
      </c>
      <c r="E201" s="1">
        <v>7.306E-3</v>
      </c>
      <c r="F201" s="1">
        <v>0</v>
      </c>
      <c r="G201" s="1">
        <v>5.8451000000000003E-2</v>
      </c>
      <c r="H201" s="1">
        <v>0</v>
      </c>
      <c r="I201" s="1">
        <v>0</v>
      </c>
      <c r="J201" s="1">
        <v>0</v>
      </c>
      <c r="K201" s="1">
        <v>92.601299999999995</v>
      </c>
      <c r="L201" s="1">
        <v>-0.43369999999999997</v>
      </c>
      <c r="N201" s="37" t="s">
        <v>636</v>
      </c>
    </row>
    <row r="202" spans="1:14" x14ac:dyDescent="0.25">
      <c r="A202" s="37">
        <v>0</v>
      </c>
      <c r="B202" s="1">
        <v>0.144735</v>
      </c>
      <c r="C202" s="1">
        <v>9.01E-4</v>
      </c>
      <c r="D202" s="1">
        <v>6.4229999999999999E-3</v>
      </c>
      <c r="E202" s="1">
        <v>7.3249999999999999E-3</v>
      </c>
      <c r="F202" s="1">
        <v>0</v>
      </c>
      <c r="G202" s="1">
        <v>4.1051999999999998E-2</v>
      </c>
      <c r="H202" s="1">
        <v>0</v>
      </c>
      <c r="I202" s="1">
        <v>0</v>
      </c>
      <c r="J202" s="1">
        <v>0</v>
      </c>
      <c r="K202" s="1">
        <v>92.601299999999995</v>
      </c>
      <c r="L202" s="1">
        <v>-3.3500000000000002E-2</v>
      </c>
      <c r="N202" s="37" t="s">
        <v>637</v>
      </c>
    </row>
    <row r="203" spans="1:14" x14ac:dyDescent="0.25">
      <c r="A203" s="37">
        <v>0.5</v>
      </c>
      <c r="B203" s="1">
        <v>0.19363900000000001</v>
      </c>
      <c r="C203" s="1">
        <v>1.351E-3</v>
      </c>
      <c r="D203" s="1">
        <v>6.0289999999999996E-3</v>
      </c>
      <c r="E203" s="1">
        <v>7.3800000000000003E-3</v>
      </c>
      <c r="F203" s="1">
        <v>0</v>
      </c>
      <c r="G203" s="1">
        <v>2.4070999999999999E-2</v>
      </c>
      <c r="H203" s="1">
        <v>0</v>
      </c>
      <c r="I203" s="1">
        <v>0</v>
      </c>
      <c r="J203" s="1">
        <v>0</v>
      </c>
      <c r="K203" s="1">
        <v>92.601299999999995</v>
      </c>
      <c r="L203" s="1">
        <v>0.16300000000000001</v>
      </c>
      <c r="N203" s="37" t="s">
        <v>638</v>
      </c>
    </row>
    <row r="204" spans="1:14" x14ac:dyDescent="0.25">
      <c r="A204" s="37">
        <v>1</v>
      </c>
      <c r="B204" s="1">
        <v>0.24252599999999999</v>
      </c>
      <c r="C204" s="1">
        <v>1.9589999999999998E-3</v>
      </c>
      <c r="D204" s="1">
        <v>5.4819999999999999E-3</v>
      </c>
      <c r="E204" s="1">
        <v>7.4409999999999997E-3</v>
      </c>
      <c r="F204" s="1">
        <v>0</v>
      </c>
      <c r="G204" s="1">
        <v>7.5500000000000003E-3</v>
      </c>
      <c r="H204" s="1">
        <v>0</v>
      </c>
      <c r="I204" s="1">
        <v>0</v>
      </c>
      <c r="J204" s="1">
        <v>0</v>
      </c>
      <c r="K204" s="1">
        <v>92.601299999999995</v>
      </c>
      <c r="L204" s="1">
        <v>0.27900000000000003</v>
      </c>
      <c r="N204" s="37" t="s">
        <v>639</v>
      </c>
    </row>
    <row r="205" spans="1:14" x14ac:dyDescent="0.25">
      <c r="A205" s="37">
        <v>1.5</v>
      </c>
      <c r="B205" s="1">
        <v>0.29139300000000001</v>
      </c>
      <c r="C205" s="1">
        <v>2.725E-3</v>
      </c>
      <c r="D205" s="1">
        <v>4.6189999999999998E-3</v>
      </c>
      <c r="E205" s="1">
        <v>7.3439999999999998E-3</v>
      </c>
      <c r="F205" s="1">
        <v>0</v>
      </c>
      <c r="G205" s="1">
        <v>-8.4510000000000002E-3</v>
      </c>
      <c r="H205" s="1">
        <v>0</v>
      </c>
      <c r="I205" s="1">
        <v>0</v>
      </c>
      <c r="J205" s="1">
        <v>0</v>
      </c>
      <c r="K205" s="1">
        <v>92.601299999999995</v>
      </c>
      <c r="L205" s="1">
        <v>0.35499999999999998</v>
      </c>
      <c r="N205" s="37" t="s">
        <v>640</v>
      </c>
    </row>
    <row r="206" spans="1:14" x14ac:dyDescent="0.25">
      <c r="A206" s="37">
        <v>2</v>
      </c>
      <c r="B206" s="1">
        <v>0.34023900000000001</v>
      </c>
      <c r="C206" s="1">
        <v>3.65E-3</v>
      </c>
      <c r="D206" s="1">
        <v>4.2690000000000002E-3</v>
      </c>
      <c r="E206" s="1">
        <v>7.9190000000000007E-3</v>
      </c>
      <c r="F206" s="1">
        <v>0</v>
      </c>
      <c r="G206" s="1">
        <v>-2.4136999999999999E-2</v>
      </c>
      <c r="H206" s="1">
        <v>0</v>
      </c>
      <c r="I206" s="1">
        <v>0</v>
      </c>
      <c r="J206" s="1">
        <v>0</v>
      </c>
      <c r="K206" s="1">
        <v>92.601299999999995</v>
      </c>
      <c r="L206" s="1">
        <v>0.40820000000000001</v>
      </c>
      <c r="N206" s="37" t="s">
        <v>641</v>
      </c>
    </row>
    <row r="207" spans="1:14" x14ac:dyDescent="0.25">
      <c r="A207" s="37">
        <v>2.5</v>
      </c>
      <c r="B207" s="1">
        <v>0.38906200000000002</v>
      </c>
      <c r="C207" s="1">
        <v>4.7330000000000002E-3</v>
      </c>
      <c r="D207" s="1">
        <v>4.1809999999999998E-3</v>
      </c>
      <c r="E207" s="1">
        <v>8.914E-3</v>
      </c>
      <c r="F207" s="1">
        <v>0</v>
      </c>
      <c r="G207" s="1">
        <v>-3.9383000000000001E-2</v>
      </c>
      <c r="H207" s="1">
        <v>0</v>
      </c>
      <c r="I207" s="1">
        <v>0</v>
      </c>
      <c r="J207" s="1">
        <v>0</v>
      </c>
      <c r="K207" s="1">
        <v>92.601299999999995</v>
      </c>
      <c r="L207" s="1">
        <v>0.44719999999999999</v>
      </c>
      <c r="N207" s="37" t="s">
        <v>642</v>
      </c>
    </row>
    <row r="208" spans="1:14" x14ac:dyDescent="0.25">
      <c r="A208" s="37">
        <v>3</v>
      </c>
      <c r="B208" s="1">
        <v>0.43786000000000003</v>
      </c>
      <c r="C208" s="1">
        <v>5.9750000000000003E-3</v>
      </c>
      <c r="D208" s="1">
        <v>4.2259999999999997E-3</v>
      </c>
      <c r="E208" s="1">
        <v>1.0200000000000001E-2</v>
      </c>
      <c r="F208" s="1">
        <v>0</v>
      </c>
      <c r="G208" s="1">
        <v>-5.4137999999999999E-2</v>
      </c>
      <c r="H208" s="1">
        <v>0</v>
      </c>
      <c r="I208" s="1">
        <v>0</v>
      </c>
      <c r="J208" s="1">
        <v>0</v>
      </c>
      <c r="K208" s="1">
        <v>92.601299999999995</v>
      </c>
      <c r="L208" s="1">
        <v>0.47670000000000001</v>
      </c>
      <c r="N208" s="37" t="s">
        <v>643</v>
      </c>
    </row>
    <row r="209" spans="1:14" x14ac:dyDescent="0.25">
      <c r="A209" s="37">
        <v>3.5</v>
      </c>
      <c r="B209" s="1">
        <v>0.48663099999999998</v>
      </c>
      <c r="C209" s="1">
        <v>7.3749999999999996E-3</v>
      </c>
      <c r="D209" s="1">
        <v>4.555E-3</v>
      </c>
      <c r="E209" s="1">
        <v>1.1929E-2</v>
      </c>
      <c r="F209" s="1">
        <v>0</v>
      </c>
      <c r="G209" s="1">
        <v>-6.8432999999999994E-2</v>
      </c>
      <c r="H209" s="1">
        <v>0</v>
      </c>
      <c r="I209" s="1">
        <v>0</v>
      </c>
      <c r="J209" s="1">
        <v>0</v>
      </c>
      <c r="K209" s="1">
        <v>92.601299999999995</v>
      </c>
      <c r="L209" s="1">
        <v>0.49959999999999999</v>
      </c>
      <c r="N209" s="37" t="s">
        <v>644</v>
      </c>
    </row>
    <row r="210" spans="1:14" x14ac:dyDescent="0.25">
      <c r="A210" s="37">
        <v>4</v>
      </c>
      <c r="B210" s="1">
        <v>0.53537400000000002</v>
      </c>
      <c r="C210" s="1">
        <v>8.933E-3</v>
      </c>
      <c r="D210" s="1">
        <v>5.3819999999999996E-3</v>
      </c>
      <c r="E210" s="1">
        <v>1.4316000000000001E-2</v>
      </c>
      <c r="F210" s="1">
        <v>0</v>
      </c>
      <c r="G210" s="1">
        <v>-8.2285999999999998E-2</v>
      </c>
      <c r="H210" s="1">
        <v>0</v>
      </c>
      <c r="I210" s="1">
        <v>0</v>
      </c>
      <c r="J210" s="1">
        <v>0</v>
      </c>
      <c r="K210" s="1">
        <v>92.601299999999995</v>
      </c>
      <c r="L210" s="1">
        <v>0.51770000000000005</v>
      </c>
      <c r="N210" s="37" t="s">
        <v>645</v>
      </c>
    </row>
    <row r="211" spans="1:14" x14ac:dyDescent="0.25">
      <c r="A211" s="37">
        <v>4.5</v>
      </c>
      <c r="B211" s="1">
        <v>0.58408499999999997</v>
      </c>
      <c r="C211" s="1">
        <v>1.0651000000000001E-2</v>
      </c>
      <c r="D211" s="1">
        <v>6.326E-3</v>
      </c>
      <c r="E211" s="1">
        <v>1.6976999999999999E-2</v>
      </c>
      <c r="F211" s="1">
        <v>0</v>
      </c>
      <c r="G211" s="1">
        <v>-9.5568E-2</v>
      </c>
      <c r="H211" s="1">
        <v>0</v>
      </c>
      <c r="I211" s="1">
        <v>0</v>
      </c>
      <c r="J211" s="1">
        <v>0</v>
      </c>
      <c r="K211" s="1">
        <v>92.601299999999995</v>
      </c>
      <c r="L211" s="1">
        <v>0.53210000000000002</v>
      </c>
      <c r="N211" s="37" t="s">
        <v>646</v>
      </c>
    </row>
    <row r="212" spans="1:14" x14ac:dyDescent="0.25">
      <c r="A212" s="37">
        <v>5</v>
      </c>
      <c r="B212" s="1">
        <v>0.63276399999999999</v>
      </c>
      <c r="C212" s="1">
        <v>1.2527E-2</v>
      </c>
      <c r="D212" s="1">
        <v>7.143E-3</v>
      </c>
      <c r="E212" s="1">
        <v>1.967E-2</v>
      </c>
      <c r="F212" s="1">
        <v>0</v>
      </c>
      <c r="G212" s="1">
        <v>-0.108205</v>
      </c>
      <c r="H212" s="1">
        <v>0</v>
      </c>
      <c r="I212" s="1">
        <v>0</v>
      </c>
      <c r="J212" s="1">
        <v>0</v>
      </c>
      <c r="K212" s="1">
        <v>92.601299999999995</v>
      </c>
      <c r="L212" s="1">
        <v>0.54379999999999995</v>
      </c>
      <c r="N212" s="37" t="s">
        <v>647</v>
      </c>
    </row>
    <row r="213" spans="1:14" x14ac:dyDescent="0.25">
      <c r="A213" s="37">
        <v>5.5</v>
      </c>
      <c r="B213" s="1">
        <v>0.68140699999999998</v>
      </c>
      <c r="C213" s="1">
        <v>1.4565E-2</v>
      </c>
      <c r="D213" s="1">
        <v>7.8410000000000007E-3</v>
      </c>
      <c r="E213" s="1">
        <v>2.2407E-2</v>
      </c>
      <c r="F213" s="1">
        <v>0</v>
      </c>
      <c r="G213" s="1">
        <v>-0.12017799999999999</v>
      </c>
      <c r="H213" s="1">
        <v>0</v>
      </c>
      <c r="I213" s="1">
        <v>0</v>
      </c>
      <c r="J213" s="1">
        <v>0</v>
      </c>
      <c r="K213" s="1">
        <v>92.601299999999995</v>
      </c>
      <c r="L213" s="1">
        <v>0.55320000000000003</v>
      </c>
      <c r="N213" s="37" t="s">
        <v>648</v>
      </c>
    </row>
    <row r="214" spans="1:14" x14ac:dyDescent="0.25">
      <c r="A214" s="37">
        <v>6</v>
      </c>
      <c r="B214" s="1">
        <v>0.73001400000000005</v>
      </c>
      <c r="C214" s="1">
        <v>1.6771999999999999E-2</v>
      </c>
      <c r="D214" s="1">
        <v>8.4720000000000004E-3</v>
      </c>
      <c r="E214" s="1">
        <v>2.5243999999999999E-2</v>
      </c>
      <c r="F214" s="1">
        <v>0</v>
      </c>
      <c r="G214" s="1">
        <v>-0.13147900000000001</v>
      </c>
      <c r="H214" s="1">
        <v>0</v>
      </c>
      <c r="I214" s="1">
        <v>0</v>
      </c>
      <c r="J214" s="1">
        <v>0</v>
      </c>
      <c r="K214" s="1">
        <v>92.601299999999995</v>
      </c>
      <c r="L214" s="1">
        <v>0.56079999999999997</v>
      </c>
      <c r="N214" s="37" t="s">
        <v>649</v>
      </c>
    </row>
    <row r="215" spans="1:14" x14ac:dyDescent="0.25">
      <c r="A215" s="37">
        <v>6.5</v>
      </c>
      <c r="B215" s="1">
        <v>0.778586</v>
      </c>
      <c r="C215" s="1">
        <v>1.9175000000000001E-2</v>
      </c>
      <c r="D215" s="1">
        <v>9.025E-3</v>
      </c>
      <c r="E215" s="1">
        <v>2.8198999999999998E-2</v>
      </c>
      <c r="F215" s="1">
        <v>0</v>
      </c>
      <c r="G215" s="1">
        <v>-0.142066</v>
      </c>
      <c r="H215" s="1">
        <v>0</v>
      </c>
      <c r="I215" s="1">
        <v>0</v>
      </c>
      <c r="J215" s="1">
        <v>0</v>
      </c>
      <c r="K215" s="1">
        <v>92.601299999999995</v>
      </c>
      <c r="L215" s="1">
        <v>0.56689999999999996</v>
      </c>
      <c r="N215" s="37" t="s">
        <v>650</v>
      </c>
    </row>
    <row r="216" spans="1:14" x14ac:dyDescent="0.25">
      <c r="A216" s="37">
        <v>7</v>
      </c>
      <c r="B216" s="1">
        <v>0.82714699999999997</v>
      </c>
      <c r="C216" s="1">
        <v>2.1892000000000002E-2</v>
      </c>
      <c r="D216" s="1">
        <v>9.554E-3</v>
      </c>
      <c r="E216" s="1">
        <v>3.1446000000000002E-2</v>
      </c>
      <c r="F216" s="1">
        <v>0</v>
      </c>
      <c r="G216" s="1">
        <v>-0.151922</v>
      </c>
      <c r="H216" s="1">
        <v>0</v>
      </c>
      <c r="I216" s="1">
        <v>0</v>
      </c>
      <c r="J216" s="1">
        <v>0</v>
      </c>
      <c r="K216" s="1">
        <v>92.601299999999995</v>
      </c>
      <c r="L216" s="1">
        <v>0.57169999999999999</v>
      </c>
      <c r="N216" s="37" t="s">
        <v>651</v>
      </c>
    </row>
    <row r="217" spans="1:14" x14ac:dyDescent="0.25">
      <c r="A217" s="37">
        <v>7.5</v>
      </c>
      <c r="B217" s="1">
        <v>0.87641999999999998</v>
      </c>
      <c r="C217" s="1">
        <v>2.6377999999999999E-2</v>
      </c>
      <c r="D217" s="1">
        <v>1.0137E-2</v>
      </c>
      <c r="E217" s="1">
        <v>3.6513999999999998E-2</v>
      </c>
      <c r="F217" s="1">
        <v>0</v>
      </c>
      <c r="G217" s="1">
        <v>-0.16142000000000001</v>
      </c>
      <c r="H217" s="1">
        <v>0</v>
      </c>
      <c r="I217" s="1">
        <v>0</v>
      </c>
      <c r="J217" s="1">
        <v>0</v>
      </c>
      <c r="K217" s="1">
        <v>92.601299999999995</v>
      </c>
      <c r="L217" s="1">
        <v>0.5756</v>
      </c>
      <c r="N217" s="37" t="s">
        <v>652</v>
      </c>
    </row>
    <row r="218" spans="1:14" x14ac:dyDescent="0.25">
      <c r="A218" s="37">
        <v>8</v>
      </c>
      <c r="B218" s="1">
        <v>0.92276499999999995</v>
      </c>
      <c r="C218" s="1">
        <v>2.4611999999999998E-2</v>
      </c>
      <c r="D218" s="1">
        <v>1.0717000000000001E-2</v>
      </c>
      <c r="E218" s="1">
        <v>3.5328999999999999E-2</v>
      </c>
      <c r="F218" s="1">
        <v>0</v>
      </c>
      <c r="G218" s="1">
        <v>-0.17306099999999999</v>
      </c>
      <c r="H218" s="1">
        <v>0</v>
      </c>
      <c r="I218" s="1">
        <v>0</v>
      </c>
      <c r="J218" s="1">
        <v>0</v>
      </c>
      <c r="K218" s="1">
        <v>92.601299999999995</v>
      </c>
      <c r="L218" s="1">
        <v>0.58450000000000002</v>
      </c>
      <c r="N218" s="37" t="s">
        <v>653</v>
      </c>
    </row>
    <row r="219" spans="1:14" x14ac:dyDescent="0.25">
      <c r="A219" s="37">
        <v>8.5</v>
      </c>
      <c r="B219" s="1">
        <v>0.97250300000000001</v>
      </c>
      <c r="C219" s="1">
        <v>3.0268E-2</v>
      </c>
      <c r="D219" s="1">
        <v>1.1381E-2</v>
      </c>
      <c r="E219" s="1">
        <v>4.1648999999999999E-2</v>
      </c>
      <c r="F219" s="1">
        <v>0</v>
      </c>
      <c r="G219" s="1">
        <v>-0.182034</v>
      </c>
      <c r="H219" s="1">
        <v>0</v>
      </c>
      <c r="I219" s="1">
        <v>0</v>
      </c>
      <c r="J219" s="1">
        <v>0</v>
      </c>
      <c r="K219" s="1">
        <v>92.601299999999995</v>
      </c>
      <c r="L219" s="1">
        <v>0.58740000000000003</v>
      </c>
      <c r="N219" s="37" t="s">
        <v>654</v>
      </c>
    </row>
    <row r="220" spans="1:14" x14ac:dyDescent="0.25">
      <c r="A220" s="37">
        <v>9</v>
      </c>
      <c r="B220" s="1">
        <v>1.0192099999999999</v>
      </c>
      <c r="C220" s="1">
        <v>3.7670000000000002E-2</v>
      </c>
      <c r="D220" s="1">
        <v>1.1984E-2</v>
      </c>
      <c r="E220" s="1">
        <v>4.9653999999999997E-2</v>
      </c>
      <c r="F220" s="1">
        <v>0</v>
      </c>
      <c r="G220" s="1">
        <v>-0.18509900000000001</v>
      </c>
      <c r="H220" s="1">
        <v>0</v>
      </c>
      <c r="I220" s="1">
        <v>0</v>
      </c>
      <c r="J220" s="1">
        <v>0</v>
      </c>
      <c r="K220" s="1">
        <v>92.601299999999995</v>
      </c>
      <c r="L220" s="1">
        <v>0.58460000000000001</v>
      </c>
      <c r="N220" s="37" t="s">
        <v>655</v>
      </c>
    </row>
    <row r="221" spans="1:14" x14ac:dyDescent="0.25">
      <c r="A221" s="37">
        <v>9.5</v>
      </c>
      <c r="B221" s="1">
        <v>1.0696639999999999</v>
      </c>
      <c r="C221" s="1">
        <v>3.5791000000000003E-2</v>
      </c>
      <c r="D221" s="1">
        <v>1.261E-2</v>
      </c>
      <c r="E221" s="1">
        <v>4.8399999999999999E-2</v>
      </c>
      <c r="F221" s="1">
        <v>0</v>
      </c>
      <c r="G221" s="1">
        <v>-0.19914399999999999</v>
      </c>
      <c r="H221" s="1">
        <v>0</v>
      </c>
      <c r="I221" s="1">
        <v>0</v>
      </c>
      <c r="J221" s="1">
        <v>0</v>
      </c>
      <c r="K221" s="1">
        <v>92.601299999999995</v>
      </c>
      <c r="L221" s="1">
        <v>0.59430000000000005</v>
      </c>
      <c r="N221" s="37" t="s">
        <v>656</v>
      </c>
    </row>
    <row r="222" spans="1:14" x14ac:dyDescent="0.25">
      <c r="A222" s="37">
        <v>10</v>
      </c>
      <c r="B222" s="1">
        <v>1.117224</v>
      </c>
      <c r="C222" s="1">
        <v>4.0922E-2</v>
      </c>
      <c r="D222" s="1">
        <v>1.3245E-2</v>
      </c>
      <c r="E222" s="1">
        <v>5.4167E-2</v>
      </c>
      <c r="F222" s="1">
        <v>0</v>
      </c>
      <c r="G222" s="1">
        <v>-0.201959</v>
      </c>
      <c r="H222" s="1">
        <v>0</v>
      </c>
      <c r="I222" s="1">
        <v>0</v>
      </c>
      <c r="J222" s="1">
        <v>0</v>
      </c>
      <c r="K222" s="1">
        <v>92.601299999999995</v>
      </c>
      <c r="L222" s="1">
        <v>0.5917</v>
      </c>
      <c r="N222" s="37" t="s">
        <v>657</v>
      </c>
    </row>
    <row r="223" spans="1:14" x14ac:dyDescent="0.25">
      <c r="A223" s="37">
        <v>10.5</v>
      </c>
      <c r="B223" s="1">
        <v>1.166849</v>
      </c>
      <c r="C223" s="1">
        <v>4.3640999999999999E-2</v>
      </c>
      <c r="D223" s="1">
        <v>1.3929E-2</v>
      </c>
      <c r="E223" s="1">
        <v>5.7570000000000003E-2</v>
      </c>
      <c r="F223" s="1">
        <v>0</v>
      </c>
      <c r="G223" s="1">
        <v>-0.21184600000000001</v>
      </c>
      <c r="H223" s="1">
        <v>0</v>
      </c>
      <c r="I223" s="1">
        <v>0</v>
      </c>
      <c r="J223" s="1">
        <v>0</v>
      </c>
      <c r="K223" s="1">
        <v>92.601299999999995</v>
      </c>
      <c r="L223" s="1">
        <v>0.59709999999999996</v>
      </c>
      <c r="N223" s="37" t="s">
        <v>658</v>
      </c>
    </row>
    <row r="224" spans="1:14" x14ac:dyDescent="0.25">
      <c r="A224" s="37">
        <v>11</v>
      </c>
      <c r="B224" s="1">
        <v>1.2169140000000001</v>
      </c>
      <c r="C224" s="1">
        <v>4.7468999999999997E-2</v>
      </c>
      <c r="D224" s="1">
        <v>1.464E-2</v>
      </c>
      <c r="E224" s="1">
        <v>6.2107999999999997E-2</v>
      </c>
      <c r="F224" s="1">
        <v>0</v>
      </c>
      <c r="G224" s="1">
        <v>-0.222194</v>
      </c>
      <c r="H224" s="1">
        <v>0</v>
      </c>
      <c r="I224" s="1">
        <v>0</v>
      </c>
      <c r="J224" s="1">
        <v>0</v>
      </c>
      <c r="K224" s="1">
        <v>92.601299999999995</v>
      </c>
      <c r="L224" s="1">
        <v>0.60289999999999999</v>
      </c>
      <c r="N224" s="37" t="s">
        <v>659</v>
      </c>
    </row>
    <row r="225" spans="1:14" x14ac:dyDescent="0.25">
      <c r="A225" s="37">
        <v>11.5</v>
      </c>
      <c r="B225" s="1">
        <v>1.265865</v>
      </c>
      <c r="C225" s="1">
        <v>5.1404999999999999E-2</v>
      </c>
      <c r="D225" s="1">
        <v>1.541E-2</v>
      </c>
      <c r="E225" s="1">
        <v>6.6814999999999999E-2</v>
      </c>
      <c r="F225" s="1">
        <v>0</v>
      </c>
      <c r="G225" s="1">
        <v>-0.228768</v>
      </c>
      <c r="H225" s="1">
        <v>0</v>
      </c>
      <c r="I225" s="1">
        <v>0</v>
      </c>
      <c r="J225" s="1">
        <v>0</v>
      </c>
      <c r="K225" s="1">
        <v>92.601299999999995</v>
      </c>
      <c r="L225" s="1">
        <v>0.60519999999999996</v>
      </c>
      <c r="N225" s="37" t="s">
        <v>660</v>
      </c>
    </row>
    <row r="226" spans="1:14" x14ac:dyDescent="0.25">
      <c r="A226" s="37">
        <v>12</v>
      </c>
      <c r="B226" s="1">
        <v>1.3155920000000001</v>
      </c>
      <c r="C226" s="1">
        <v>5.5592999999999997E-2</v>
      </c>
      <c r="D226" s="1">
        <v>1.6239E-2</v>
      </c>
      <c r="E226" s="1">
        <v>7.1831999999999993E-2</v>
      </c>
      <c r="F226" s="1">
        <v>0</v>
      </c>
      <c r="G226" s="1">
        <v>-0.23648</v>
      </c>
      <c r="H226" s="1">
        <v>0</v>
      </c>
      <c r="I226" s="1">
        <v>0</v>
      </c>
      <c r="J226" s="1">
        <v>0</v>
      </c>
      <c r="K226" s="1">
        <v>92.601299999999995</v>
      </c>
      <c r="L226" s="1">
        <v>0.60880000000000001</v>
      </c>
      <c r="N226" s="37" t="s">
        <v>661</v>
      </c>
    </row>
    <row r="227" spans="1:14" x14ac:dyDescent="0.25">
      <c r="A227" s="37">
        <v>12.5</v>
      </c>
      <c r="B227" s="1">
        <v>1.3648670000000001</v>
      </c>
      <c r="C227" s="1">
        <v>5.9887000000000003E-2</v>
      </c>
      <c r="D227" s="1">
        <v>1.7131E-2</v>
      </c>
      <c r="E227" s="1">
        <v>7.7018000000000003E-2</v>
      </c>
      <c r="F227" s="1">
        <v>0</v>
      </c>
      <c r="G227" s="1">
        <v>-0.242314</v>
      </c>
      <c r="H227" s="1">
        <v>0</v>
      </c>
      <c r="I227" s="1">
        <v>0</v>
      </c>
      <c r="J227" s="1">
        <v>0</v>
      </c>
      <c r="K227" s="1">
        <v>92.601299999999995</v>
      </c>
      <c r="L227" s="1">
        <v>0.61099999999999999</v>
      </c>
      <c r="N227" s="37" t="s">
        <v>662</v>
      </c>
    </row>
    <row r="228" spans="1:14" x14ac:dyDescent="0.25">
      <c r="A228" s="37">
        <v>13</v>
      </c>
      <c r="B228" s="1">
        <v>1.4140710000000001</v>
      </c>
      <c r="C228" s="1">
        <v>6.4327999999999996E-2</v>
      </c>
      <c r="D228" s="1">
        <v>1.8110000000000001E-2</v>
      </c>
      <c r="E228" s="1">
        <v>8.2437999999999997E-2</v>
      </c>
      <c r="F228" s="1">
        <v>0</v>
      </c>
      <c r="G228" s="1">
        <v>-0.24723700000000001</v>
      </c>
      <c r="H228" s="1">
        <v>0</v>
      </c>
      <c r="I228" s="1">
        <v>0</v>
      </c>
      <c r="J228" s="1">
        <v>0</v>
      </c>
      <c r="K228" s="1">
        <v>92.601299999999995</v>
      </c>
      <c r="L228" s="1">
        <v>0.61270000000000002</v>
      </c>
      <c r="N228" s="37" t="s">
        <v>663</v>
      </c>
    </row>
    <row r="229" spans="1:14" x14ac:dyDescent="0.25">
      <c r="A229" s="37">
        <v>13.5</v>
      </c>
      <c r="B229" s="1">
        <v>1.463241</v>
      </c>
      <c r="C229" s="1">
        <v>6.8920999999999996E-2</v>
      </c>
      <c r="D229" s="1">
        <v>1.9141999999999999E-2</v>
      </c>
      <c r="E229" s="1">
        <v>8.8063000000000002E-2</v>
      </c>
      <c r="F229" s="1">
        <v>0</v>
      </c>
      <c r="G229" s="1">
        <v>-0.25133299999999997</v>
      </c>
      <c r="H229" s="1">
        <v>0</v>
      </c>
      <c r="I229" s="1">
        <v>0</v>
      </c>
      <c r="J229" s="1">
        <v>0</v>
      </c>
      <c r="K229" s="1">
        <v>92.601299999999995</v>
      </c>
      <c r="L229" s="1">
        <v>0.61409999999999998</v>
      </c>
      <c r="N229" s="37" t="s">
        <v>664</v>
      </c>
    </row>
    <row r="230" spans="1:14" x14ac:dyDescent="0.25">
      <c r="A230" s="37">
        <v>14</v>
      </c>
      <c r="B230" s="1">
        <v>1.5123960000000001</v>
      </c>
      <c r="C230" s="1">
        <v>7.3666999999999996E-2</v>
      </c>
      <c r="D230" s="1">
        <v>2.0205999999999998E-2</v>
      </c>
      <c r="E230" s="1">
        <v>9.3873999999999999E-2</v>
      </c>
      <c r="F230" s="1">
        <v>0</v>
      </c>
      <c r="G230" s="1">
        <v>-0.25462299999999999</v>
      </c>
      <c r="H230" s="1">
        <v>0</v>
      </c>
      <c r="I230" s="1">
        <v>0</v>
      </c>
      <c r="J230" s="1">
        <v>0</v>
      </c>
      <c r="K230" s="1">
        <v>92.601299999999995</v>
      </c>
      <c r="L230" s="1">
        <v>0.61509999999999998</v>
      </c>
      <c r="N230" s="37" t="s">
        <v>665</v>
      </c>
    </row>
    <row r="231" spans="1:14" x14ac:dyDescent="0.25">
      <c r="A231" s="37">
        <v>14.5</v>
      </c>
      <c r="B231" s="1">
        <v>1.5615380000000001</v>
      </c>
      <c r="C231" s="1">
        <v>7.8566999999999998E-2</v>
      </c>
      <c r="D231" s="1">
        <v>2.1314E-2</v>
      </c>
      <c r="E231" s="1">
        <v>9.9880999999999998E-2</v>
      </c>
      <c r="F231" s="1">
        <v>0</v>
      </c>
      <c r="G231" s="1">
        <v>-0.25710300000000003</v>
      </c>
      <c r="H231" s="1">
        <v>0</v>
      </c>
      <c r="I231" s="1">
        <v>0</v>
      </c>
      <c r="J231" s="1">
        <v>0</v>
      </c>
      <c r="K231" s="1">
        <v>92.601299999999995</v>
      </c>
      <c r="L231" s="1">
        <v>0.61599999999999999</v>
      </c>
      <c r="N231" s="37" t="s">
        <v>666</v>
      </c>
    </row>
    <row r="232" spans="1:14" x14ac:dyDescent="0.25">
      <c r="A232" s="1">
        <v>15</v>
      </c>
      <c r="B232" s="1">
        <v>1.6106670000000001</v>
      </c>
      <c r="C232" s="1">
        <v>8.362E-2</v>
      </c>
      <c r="D232" s="1">
        <v>2.2540000000000001E-2</v>
      </c>
      <c r="E232" s="1">
        <v>0.10616</v>
      </c>
      <c r="F232" s="1">
        <v>0</v>
      </c>
      <c r="G232" s="1">
        <v>-0.258772</v>
      </c>
      <c r="H232" s="1">
        <v>0</v>
      </c>
      <c r="I232" s="1">
        <v>0</v>
      </c>
      <c r="J232" s="1">
        <v>0</v>
      </c>
      <c r="K232" s="1">
        <v>92.601299999999995</v>
      </c>
      <c r="L232" s="1">
        <v>0.61660000000000004</v>
      </c>
    </row>
    <row r="234" spans="1:14" x14ac:dyDescent="0.25">
      <c r="A234" s="13"/>
    </row>
    <row r="235" spans="1:14" x14ac:dyDescent="0.25">
      <c r="A235" s="13" t="s">
        <v>630</v>
      </c>
    </row>
    <row r="236" spans="1:14" x14ac:dyDescent="0.25">
      <c r="A236" s="44" t="s">
        <v>119</v>
      </c>
      <c r="B236">
        <f>MATCH($B$7,B241:B277,1)+ROW()+4</f>
        <v>253</v>
      </c>
      <c r="F236" s="21" t="s">
        <v>736</v>
      </c>
      <c r="G236">
        <f>MATCH(0,G241:G277,-1)+ROW()+4</f>
        <v>247</v>
      </c>
    </row>
    <row r="237" spans="1:14" x14ac:dyDescent="0.25">
      <c r="A237" s="45" t="s">
        <v>186</v>
      </c>
      <c r="B237">
        <f ca="1">INDIRECT(CONCATENATE("C",B236+1)) - (INDIRECT(CONCATENATE("B",B236+1))-$B$7) / (INDIRECT(CONCATENATE("B",B236+1))-INDIRECT(CONCATENATE("B",B236))) * (INDIRECT(CONCATENATE("C",B236+1)) - INDIRECT(CONCATENATE("C",B236)) )</f>
        <v>8.576095670519172E-3</v>
      </c>
      <c r="F237" s="21" t="s">
        <v>737</v>
      </c>
      <c r="G237" s="1">
        <f ca="1">INDIRECT(CONCATENATE("B",G236+1)) - (INDIRECT(CONCATENATE("B",G236+1))-INDIRECT(CONCATENATE("B",G236))) / (INDIRECT(CONCATENATE("G",G236+1))-INDIRECT(CONCATENATE("G",G236))) * (INDIRECT(CONCATENATE("G",G236+1)) - 0)</f>
        <v>0.24195828386895477</v>
      </c>
      <c r="N237" s="37"/>
    </row>
    <row r="238" spans="1:14" x14ac:dyDescent="0.25">
      <c r="A238" s="13" t="s">
        <v>2</v>
      </c>
      <c r="B238" s="13">
        <f ca="1">$B$7^2/(PI()*$B$2*B237)</f>
        <v>0.98459796745854422</v>
      </c>
      <c r="N238" s="37" t="s">
        <v>146</v>
      </c>
    </row>
    <row r="239" spans="1:14" x14ac:dyDescent="0.25">
      <c r="N239" s="37" t="s">
        <v>147</v>
      </c>
    </row>
    <row r="240" spans="1:14" x14ac:dyDescent="0.25">
      <c r="A240" s="1" t="s">
        <v>128</v>
      </c>
      <c r="B240" s="1" t="s">
        <v>118</v>
      </c>
      <c r="C240" s="1" t="s">
        <v>149</v>
      </c>
      <c r="D240" s="1" t="s">
        <v>150</v>
      </c>
      <c r="E240" s="1" t="s">
        <v>151</v>
      </c>
      <c r="F240" s="1" t="s">
        <v>152</v>
      </c>
      <c r="G240" s="1" t="s">
        <v>153</v>
      </c>
      <c r="H240" s="1" t="s">
        <v>154</v>
      </c>
      <c r="I240" s="1" t="s">
        <v>155</v>
      </c>
      <c r="J240" s="1" t="s">
        <v>156</v>
      </c>
      <c r="K240" s="1" t="s">
        <v>157</v>
      </c>
      <c r="L240" s="1" t="s">
        <v>158</v>
      </c>
      <c r="N240" s="37" t="s">
        <v>667</v>
      </c>
    </row>
    <row r="241" spans="1:14" x14ac:dyDescent="0.25">
      <c r="A241" s="37">
        <v>-2</v>
      </c>
      <c r="B241" s="1">
        <v>-7.7914999999999998E-2</v>
      </c>
      <c r="C241" s="1">
        <v>7.4100000000000001E-4</v>
      </c>
      <c r="D241" s="1">
        <v>7.5100000000000002E-3</v>
      </c>
      <c r="E241" s="1">
        <v>8.2500000000000004E-3</v>
      </c>
      <c r="F241" s="1">
        <v>0</v>
      </c>
      <c r="G241" s="1">
        <v>0.114037</v>
      </c>
      <c r="H241" s="1">
        <v>0</v>
      </c>
      <c r="I241" s="1">
        <v>0</v>
      </c>
      <c r="J241" s="1">
        <v>0</v>
      </c>
      <c r="K241" s="1">
        <v>92.601299999999995</v>
      </c>
      <c r="L241" s="1">
        <v>2.0952000000000002</v>
      </c>
      <c r="N241" s="37" t="s">
        <v>668</v>
      </c>
    </row>
    <row r="242" spans="1:14" x14ac:dyDescent="0.25">
      <c r="A242" s="37">
        <v>-1.5</v>
      </c>
      <c r="B242" s="1">
        <v>-2.9020000000000001E-2</v>
      </c>
      <c r="C242" s="1">
        <v>4.86E-4</v>
      </c>
      <c r="D242" s="1">
        <v>7.293E-3</v>
      </c>
      <c r="E242" s="1">
        <v>7.7790000000000003E-3</v>
      </c>
      <c r="F242" s="1">
        <v>0</v>
      </c>
      <c r="G242" s="1">
        <v>9.5598000000000002E-2</v>
      </c>
      <c r="H242" s="1">
        <v>0</v>
      </c>
      <c r="I242" s="1">
        <v>0</v>
      </c>
      <c r="J242" s="1">
        <v>0</v>
      </c>
      <c r="K242" s="1">
        <v>92.601299999999995</v>
      </c>
      <c r="L242" s="1">
        <v>4.3327999999999998</v>
      </c>
      <c r="N242" s="37" t="s">
        <v>669</v>
      </c>
    </row>
    <row r="243" spans="1:14" x14ac:dyDescent="0.25">
      <c r="A243" s="37">
        <v>-1</v>
      </c>
      <c r="B243" s="1">
        <v>1.9865000000000001E-2</v>
      </c>
      <c r="C243" s="1">
        <v>3.88E-4</v>
      </c>
      <c r="D243" s="1">
        <v>7.0800000000000004E-3</v>
      </c>
      <c r="E243" s="1">
        <v>7.4679999999999998E-3</v>
      </c>
      <c r="F243" s="1">
        <v>0</v>
      </c>
      <c r="G243" s="1">
        <v>7.7474000000000001E-2</v>
      </c>
      <c r="H243" s="1">
        <v>0</v>
      </c>
      <c r="I243" s="1">
        <v>0</v>
      </c>
      <c r="J243" s="1">
        <v>0</v>
      </c>
      <c r="K243" s="1">
        <v>92.601299999999995</v>
      </c>
      <c r="L243" s="1">
        <v>-4.4554999999999998</v>
      </c>
      <c r="N243" s="37" t="s">
        <v>670</v>
      </c>
    </row>
    <row r="244" spans="1:14" x14ac:dyDescent="0.25">
      <c r="A244" s="37">
        <v>-0.5</v>
      </c>
      <c r="B244" s="1">
        <v>6.8738999999999995E-2</v>
      </c>
      <c r="C244" s="1">
        <v>4.4799999999999999E-4</v>
      </c>
      <c r="D244" s="1">
        <v>6.8469999999999998E-3</v>
      </c>
      <c r="E244" s="1">
        <v>7.2950000000000003E-3</v>
      </c>
      <c r="F244" s="1">
        <v>0</v>
      </c>
      <c r="G244" s="1">
        <v>5.9698000000000001E-2</v>
      </c>
      <c r="H244" s="1">
        <v>0</v>
      </c>
      <c r="I244" s="1">
        <v>0</v>
      </c>
      <c r="J244" s="1">
        <v>0</v>
      </c>
      <c r="K244" s="1">
        <v>92.601299999999995</v>
      </c>
      <c r="L244" s="1">
        <v>-0.75019999999999998</v>
      </c>
      <c r="N244" s="37" t="s">
        <v>671</v>
      </c>
    </row>
    <row r="245" spans="1:14" x14ac:dyDescent="0.25">
      <c r="A245" s="37">
        <v>0</v>
      </c>
      <c r="B245" s="1">
        <v>0.1176</v>
      </c>
      <c r="C245" s="1">
        <v>6.6600000000000003E-4</v>
      </c>
      <c r="D245" s="1">
        <v>6.5849999999999997E-3</v>
      </c>
      <c r="E245" s="1">
        <v>7.2509999999999996E-3</v>
      </c>
      <c r="F245" s="1">
        <v>0</v>
      </c>
      <c r="G245" s="1">
        <v>4.2294999999999999E-2</v>
      </c>
      <c r="H245" s="1">
        <v>0</v>
      </c>
      <c r="I245" s="1">
        <v>0</v>
      </c>
      <c r="J245" s="1">
        <v>0</v>
      </c>
      <c r="K245" s="1">
        <v>92.601299999999995</v>
      </c>
      <c r="L245" s="1">
        <v>-0.12690000000000001</v>
      </c>
      <c r="N245" s="37" t="s">
        <v>672</v>
      </c>
    </row>
    <row r="246" spans="1:14" x14ac:dyDescent="0.25">
      <c r="A246" s="37">
        <v>0.5</v>
      </c>
      <c r="B246" s="1">
        <v>0.16644500000000001</v>
      </c>
      <c r="C246" s="1">
        <v>1.042E-3</v>
      </c>
      <c r="D246" s="1">
        <v>6.2849999999999998E-3</v>
      </c>
      <c r="E246" s="1">
        <v>7.3270000000000002E-3</v>
      </c>
      <c r="F246" s="1">
        <v>0</v>
      </c>
      <c r="G246" s="1">
        <v>2.5301000000000001E-2</v>
      </c>
      <c r="H246" s="1">
        <v>0</v>
      </c>
      <c r="I246" s="1">
        <v>0</v>
      </c>
      <c r="J246" s="1">
        <v>0</v>
      </c>
      <c r="K246" s="1">
        <v>92.601299999999995</v>
      </c>
      <c r="L246" s="1">
        <v>0.12870000000000001</v>
      </c>
      <c r="N246" s="37" t="s">
        <v>673</v>
      </c>
    </row>
    <row r="247" spans="1:14" x14ac:dyDescent="0.25">
      <c r="A247" s="37">
        <v>1</v>
      </c>
      <c r="B247" s="1">
        <v>0.21527399999999999</v>
      </c>
      <c r="C247" s="1">
        <v>1.5759999999999999E-3</v>
      </c>
      <c r="D247" s="1">
        <v>5.8269999999999997E-3</v>
      </c>
      <c r="E247" s="1">
        <v>7.4029999999999999E-3</v>
      </c>
      <c r="F247" s="1">
        <v>0</v>
      </c>
      <c r="G247" s="1">
        <v>8.7609999999999997E-3</v>
      </c>
      <c r="H247" s="1">
        <v>0</v>
      </c>
      <c r="I247" s="1">
        <v>0</v>
      </c>
      <c r="J247" s="1">
        <v>0</v>
      </c>
      <c r="K247" s="1">
        <v>92.601299999999995</v>
      </c>
      <c r="L247" s="1">
        <v>0.26679999999999998</v>
      </c>
      <c r="N247" s="37" t="s">
        <v>674</v>
      </c>
    </row>
    <row r="248" spans="1:14" x14ac:dyDescent="0.25">
      <c r="A248" s="37">
        <v>1.5</v>
      </c>
      <c r="B248" s="1">
        <v>0.26408300000000001</v>
      </c>
      <c r="C248" s="1">
        <v>2.2680000000000001E-3</v>
      </c>
      <c r="D248" s="1">
        <v>5.1180000000000002E-3</v>
      </c>
      <c r="E248" s="1">
        <v>7.3860000000000002E-3</v>
      </c>
      <c r="F248" s="1">
        <v>0</v>
      </c>
      <c r="G248" s="1">
        <v>-7.2639999999999996E-3</v>
      </c>
      <c r="H248" s="1">
        <v>0</v>
      </c>
      <c r="I248" s="1">
        <v>0</v>
      </c>
      <c r="J248" s="1">
        <v>0</v>
      </c>
      <c r="K248" s="1">
        <v>92.601299999999995</v>
      </c>
      <c r="L248" s="1">
        <v>0.35270000000000001</v>
      </c>
      <c r="N248" s="37" t="s">
        <v>675</v>
      </c>
    </row>
    <row r="249" spans="1:14" x14ac:dyDescent="0.25">
      <c r="A249" s="37">
        <v>2</v>
      </c>
      <c r="B249" s="1">
        <v>0.31287199999999998</v>
      </c>
      <c r="C249" s="1">
        <v>3.1189999999999998E-3</v>
      </c>
      <c r="D249" s="1">
        <v>4.5009999999999998E-3</v>
      </c>
      <c r="E249" s="1">
        <v>7.62E-3</v>
      </c>
      <c r="F249" s="1">
        <v>0</v>
      </c>
      <c r="G249" s="1">
        <v>-2.2867999999999999E-2</v>
      </c>
      <c r="H249" s="1">
        <v>0</v>
      </c>
      <c r="I249" s="1">
        <v>0</v>
      </c>
      <c r="J249" s="1">
        <v>0</v>
      </c>
      <c r="K249" s="1">
        <v>92.601299999999995</v>
      </c>
      <c r="L249" s="1">
        <v>0.41070000000000001</v>
      </c>
      <c r="N249" s="37" t="s">
        <v>676</v>
      </c>
    </row>
    <row r="250" spans="1:14" x14ac:dyDescent="0.25">
      <c r="A250" s="37">
        <v>2.5</v>
      </c>
      <c r="B250" s="1">
        <v>0.36163800000000001</v>
      </c>
      <c r="C250" s="1">
        <v>4.1279999999999997E-3</v>
      </c>
      <c r="D250" s="1">
        <v>4.2560000000000002E-3</v>
      </c>
      <c r="E250" s="1">
        <v>8.3840000000000008E-3</v>
      </c>
      <c r="F250" s="1">
        <v>0</v>
      </c>
      <c r="G250" s="1">
        <v>-3.8085000000000001E-2</v>
      </c>
      <c r="H250" s="1">
        <v>0</v>
      </c>
      <c r="I250" s="1">
        <v>0</v>
      </c>
      <c r="J250" s="1">
        <v>0</v>
      </c>
      <c r="K250" s="1">
        <v>92.601299999999995</v>
      </c>
      <c r="L250" s="1">
        <v>0.45219999999999999</v>
      </c>
      <c r="N250" s="37" t="s">
        <v>677</v>
      </c>
    </row>
    <row r="251" spans="1:14" x14ac:dyDescent="0.25">
      <c r="A251" s="37">
        <v>3</v>
      </c>
      <c r="B251" s="1">
        <v>0.41037899999999999</v>
      </c>
      <c r="C251" s="1">
        <v>5.2960000000000004E-3</v>
      </c>
      <c r="D251" s="1">
        <v>4.1910000000000003E-3</v>
      </c>
      <c r="E251" s="1">
        <v>9.4870000000000006E-3</v>
      </c>
      <c r="F251" s="1">
        <v>0</v>
      </c>
      <c r="G251" s="1">
        <v>-5.2817000000000003E-2</v>
      </c>
      <c r="H251" s="1">
        <v>0</v>
      </c>
      <c r="I251" s="1">
        <v>0</v>
      </c>
      <c r="J251" s="1">
        <v>0</v>
      </c>
      <c r="K251" s="1">
        <v>92.601299999999995</v>
      </c>
      <c r="L251" s="1">
        <v>0.4829</v>
      </c>
      <c r="N251" s="37" t="s">
        <v>678</v>
      </c>
    </row>
    <row r="252" spans="1:14" x14ac:dyDescent="0.25">
      <c r="A252" s="37">
        <v>3.5</v>
      </c>
      <c r="B252" s="1">
        <v>0.459094</v>
      </c>
      <c r="C252" s="1">
        <v>6.6210000000000001E-3</v>
      </c>
      <c r="D252" s="1">
        <v>4.3990000000000001E-3</v>
      </c>
      <c r="E252" s="1">
        <v>1.102E-2</v>
      </c>
      <c r="F252" s="1">
        <v>0</v>
      </c>
      <c r="G252" s="1">
        <v>-6.7079E-2</v>
      </c>
      <c r="H252" s="1">
        <v>0</v>
      </c>
      <c r="I252" s="1">
        <v>0</v>
      </c>
      <c r="J252" s="1">
        <v>0</v>
      </c>
      <c r="K252" s="1">
        <v>92.601299999999995</v>
      </c>
      <c r="L252" s="1">
        <v>0.50639999999999996</v>
      </c>
      <c r="N252" s="37" t="s">
        <v>679</v>
      </c>
    </row>
    <row r="253" spans="1:14" x14ac:dyDescent="0.25">
      <c r="A253" s="37">
        <v>4</v>
      </c>
      <c r="B253" s="1">
        <v>0.50778100000000004</v>
      </c>
      <c r="C253" s="1">
        <v>8.1060000000000004E-3</v>
      </c>
      <c r="D253" s="1">
        <v>4.9300000000000004E-3</v>
      </c>
      <c r="E253" s="1">
        <v>1.3036000000000001E-2</v>
      </c>
      <c r="F253" s="1">
        <v>0</v>
      </c>
      <c r="G253" s="1">
        <v>-8.0862000000000003E-2</v>
      </c>
      <c r="H253" s="1">
        <v>0</v>
      </c>
      <c r="I253" s="1">
        <v>0</v>
      </c>
      <c r="J253" s="1">
        <v>0</v>
      </c>
      <c r="K253" s="1">
        <v>92.601299999999995</v>
      </c>
      <c r="L253" s="1">
        <v>0.52470000000000006</v>
      </c>
      <c r="N253" s="37" t="s">
        <v>680</v>
      </c>
    </row>
    <row r="254" spans="1:14" x14ac:dyDescent="0.25">
      <c r="A254" s="37">
        <v>4.5</v>
      </c>
      <c r="B254" s="1">
        <v>0.55643699999999996</v>
      </c>
      <c r="C254" s="1">
        <v>9.7490000000000007E-3</v>
      </c>
      <c r="D254" s="1">
        <v>5.7759999999999999E-3</v>
      </c>
      <c r="E254" s="1">
        <v>1.5525000000000001E-2</v>
      </c>
      <c r="F254" s="1">
        <v>0</v>
      </c>
      <c r="G254" s="1">
        <v>-9.4131000000000006E-2</v>
      </c>
      <c r="H254" s="1">
        <v>0</v>
      </c>
      <c r="I254" s="1">
        <v>0</v>
      </c>
      <c r="J254" s="1">
        <v>0</v>
      </c>
      <c r="K254" s="1">
        <v>92.601299999999995</v>
      </c>
      <c r="L254" s="1">
        <v>0.53910000000000002</v>
      </c>
      <c r="N254" s="37" t="s">
        <v>681</v>
      </c>
    </row>
    <row r="255" spans="1:14" x14ac:dyDescent="0.25">
      <c r="A255" s="37">
        <v>5</v>
      </c>
      <c r="B255" s="1">
        <v>0.60506099999999996</v>
      </c>
      <c r="C255" s="1">
        <v>1.1552E-2</v>
      </c>
      <c r="D255" s="1">
        <v>6.6779999999999999E-3</v>
      </c>
      <c r="E255" s="1">
        <v>1.823E-2</v>
      </c>
      <c r="F255" s="1">
        <v>0</v>
      </c>
      <c r="G255" s="1">
        <v>-0.10679</v>
      </c>
      <c r="H255" s="1">
        <v>0</v>
      </c>
      <c r="I255" s="1">
        <v>0</v>
      </c>
      <c r="J255" s="1">
        <v>0</v>
      </c>
      <c r="K255" s="1">
        <v>92.601299999999995</v>
      </c>
      <c r="L255" s="1">
        <v>0.55059999999999998</v>
      </c>
      <c r="N255" s="37" t="s">
        <v>682</v>
      </c>
    </row>
    <row r="256" spans="1:14" x14ac:dyDescent="0.25">
      <c r="A256" s="37">
        <v>5.5</v>
      </c>
      <c r="B256" s="1">
        <v>0.65364999999999995</v>
      </c>
      <c r="C256" s="1">
        <v>1.3517E-2</v>
      </c>
      <c r="D256" s="1">
        <v>7.4130000000000003E-3</v>
      </c>
      <c r="E256" s="1">
        <v>2.0930000000000001E-2</v>
      </c>
      <c r="F256" s="1">
        <v>0</v>
      </c>
      <c r="G256" s="1">
        <v>-0.118768</v>
      </c>
      <c r="H256" s="1">
        <v>0</v>
      </c>
      <c r="I256" s="1">
        <v>0</v>
      </c>
      <c r="J256" s="1">
        <v>0</v>
      </c>
      <c r="K256" s="1">
        <v>92.601299999999995</v>
      </c>
      <c r="L256" s="1">
        <v>0.55979999999999996</v>
      </c>
      <c r="N256" s="37" t="s">
        <v>683</v>
      </c>
    </row>
    <row r="257" spans="1:14" x14ac:dyDescent="0.25">
      <c r="A257" s="37">
        <v>6</v>
      </c>
      <c r="B257" s="1">
        <v>0.70220199999999999</v>
      </c>
      <c r="C257" s="1">
        <v>1.5651999999999999E-2</v>
      </c>
      <c r="D257" s="1">
        <v>8.0879999999999997E-3</v>
      </c>
      <c r="E257" s="1">
        <v>2.3740000000000001E-2</v>
      </c>
      <c r="F257" s="1">
        <v>0</v>
      </c>
      <c r="G257" s="1">
        <v>-0.13006999999999999</v>
      </c>
      <c r="H257" s="1">
        <v>0</v>
      </c>
      <c r="I257" s="1">
        <v>0</v>
      </c>
      <c r="J257" s="1">
        <v>0</v>
      </c>
      <c r="K257" s="1">
        <v>92.601299999999995</v>
      </c>
      <c r="L257" s="1">
        <v>0.56720000000000004</v>
      </c>
      <c r="N257" s="37" t="s">
        <v>684</v>
      </c>
    </row>
    <row r="258" spans="1:14" x14ac:dyDescent="0.25">
      <c r="A258" s="37">
        <v>6.5</v>
      </c>
      <c r="B258" s="1">
        <v>0.75071900000000003</v>
      </c>
      <c r="C258" s="1">
        <v>1.7989000000000002E-2</v>
      </c>
      <c r="D258" s="1">
        <v>8.6820000000000005E-3</v>
      </c>
      <c r="E258" s="1">
        <v>2.6671E-2</v>
      </c>
      <c r="F258" s="1">
        <v>0</v>
      </c>
      <c r="G258" s="1">
        <v>-0.14065</v>
      </c>
      <c r="H258" s="1">
        <v>0</v>
      </c>
      <c r="I258" s="1">
        <v>0</v>
      </c>
      <c r="J258" s="1">
        <v>0</v>
      </c>
      <c r="K258" s="1">
        <v>92.601299999999995</v>
      </c>
      <c r="L258" s="1">
        <v>0.57299999999999995</v>
      </c>
      <c r="N258" s="37" t="s">
        <v>685</v>
      </c>
    </row>
    <row r="259" spans="1:14" x14ac:dyDescent="0.25">
      <c r="A259" s="37">
        <v>7</v>
      </c>
      <c r="B259" s="1">
        <v>0.79923200000000005</v>
      </c>
      <c r="C259" s="1">
        <v>2.0667999999999999E-2</v>
      </c>
      <c r="D259" s="1">
        <v>9.2180000000000005E-3</v>
      </c>
      <c r="E259" s="1">
        <v>2.9885999999999999E-2</v>
      </c>
      <c r="F259" s="1">
        <v>0</v>
      </c>
      <c r="G259" s="1">
        <v>-0.15048600000000001</v>
      </c>
      <c r="H259" s="1">
        <v>0</v>
      </c>
      <c r="I259" s="1">
        <v>0</v>
      </c>
      <c r="J259" s="1">
        <v>0</v>
      </c>
      <c r="K259" s="1">
        <v>92.601299999999995</v>
      </c>
      <c r="L259" s="1">
        <v>0.57750000000000001</v>
      </c>
      <c r="N259" s="37" t="s">
        <v>686</v>
      </c>
    </row>
    <row r="260" spans="1:14" x14ac:dyDescent="0.25">
      <c r="A260" s="37">
        <v>7.5</v>
      </c>
      <c r="B260" s="1">
        <v>0.84814000000000001</v>
      </c>
      <c r="C260" s="1">
        <v>3.6580000000000001E-2</v>
      </c>
      <c r="D260" s="1">
        <v>9.7809999999999998E-3</v>
      </c>
      <c r="E260" s="1">
        <v>4.6360999999999999E-2</v>
      </c>
      <c r="F260" s="1">
        <v>0</v>
      </c>
      <c r="G260" s="1">
        <v>-0.16012499999999999</v>
      </c>
      <c r="H260" s="1">
        <v>0</v>
      </c>
      <c r="I260" s="1">
        <v>0</v>
      </c>
      <c r="J260" s="1">
        <v>0</v>
      </c>
      <c r="K260" s="1">
        <v>92.601299999999995</v>
      </c>
      <c r="L260" s="1">
        <v>0.58150000000000002</v>
      </c>
      <c r="N260" s="37" t="s">
        <v>687</v>
      </c>
    </row>
    <row r="261" spans="1:14" x14ac:dyDescent="0.25">
      <c r="A261" s="37">
        <v>8</v>
      </c>
      <c r="B261" s="1">
        <v>0.89551999999999998</v>
      </c>
      <c r="C261" s="1">
        <v>2.3984999999999999E-2</v>
      </c>
      <c r="D261" s="1">
        <v>1.0352E-2</v>
      </c>
      <c r="E261" s="1">
        <v>3.4336999999999999E-2</v>
      </c>
      <c r="F261" s="1">
        <v>0</v>
      </c>
      <c r="G261" s="1">
        <v>-0.17266599999999999</v>
      </c>
      <c r="H261" s="1">
        <v>0</v>
      </c>
      <c r="I261" s="1">
        <v>0</v>
      </c>
      <c r="J261" s="1">
        <v>0</v>
      </c>
      <c r="K261" s="1">
        <v>92.601299999999995</v>
      </c>
      <c r="L261" s="1">
        <v>0.59099999999999997</v>
      </c>
      <c r="N261" s="37" t="s">
        <v>688</v>
      </c>
    </row>
    <row r="262" spans="1:14" x14ac:dyDescent="0.25">
      <c r="A262" s="37">
        <v>8.5</v>
      </c>
      <c r="B262" s="1">
        <v>0.94385200000000002</v>
      </c>
      <c r="C262" s="1">
        <v>2.9558000000000001E-2</v>
      </c>
      <c r="D262" s="1">
        <v>1.1003000000000001E-2</v>
      </c>
      <c r="E262" s="1">
        <v>4.0561E-2</v>
      </c>
      <c r="F262" s="1">
        <v>0</v>
      </c>
      <c r="G262" s="1">
        <v>-0.17824599999999999</v>
      </c>
      <c r="H262" s="1">
        <v>0</v>
      </c>
      <c r="I262" s="1">
        <v>0</v>
      </c>
      <c r="J262" s="1">
        <v>0</v>
      </c>
      <c r="K262" s="1">
        <v>92.601299999999995</v>
      </c>
      <c r="L262" s="1">
        <v>0.58960000000000001</v>
      </c>
      <c r="N262" s="37" t="s">
        <v>689</v>
      </c>
    </row>
    <row r="263" spans="1:14" x14ac:dyDescent="0.25">
      <c r="A263" s="37">
        <v>9</v>
      </c>
      <c r="B263" s="1">
        <v>0.99114400000000002</v>
      </c>
      <c r="C263" s="1">
        <v>3.4911999999999999E-2</v>
      </c>
      <c r="D263" s="1">
        <v>1.1627999999999999E-2</v>
      </c>
      <c r="E263" s="1">
        <v>4.6538999999999997E-2</v>
      </c>
      <c r="F263" s="1">
        <v>0</v>
      </c>
      <c r="G263" s="1">
        <v>-0.1842</v>
      </c>
      <c r="H263" s="1">
        <v>0</v>
      </c>
      <c r="I263" s="1">
        <v>0</v>
      </c>
      <c r="J263" s="1">
        <v>0</v>
      </c>
      <c r="K263" s="1">
        <v>92.601299999999995</v>
      </c>
      <c r="L263" s="1">
        <v>0.59</v>
      </c>
      <c r="N263" s="37" t="s">
        <v>690</v>
      </c>
    </row>
    <row r="264" spans="1:14" x14ac:dyDescent="0.25">
      <c r="A264" s="37">
        <v>9.5</v>
      </c>
      <c r="B264" s="1">
        <v>1.0418350000000001</v>
      </c>
      <c r="C264" s="1">
        <v>3.4238999999999999E-2</v>
      </c>
      <c r="D264" s="1">
        <v>1.2246E-2</v>
      </c>
      <c r="E264" s="1">
        <v>4.6484999999999999E-2</v>
      </c>
      <c r="F264" s="1">
        <v>0</v>
      </c>
      <c r="G264" s="1">
        <v>-0.198572</v>
      </c>
      <c r="H264" s="1">
        <v>0</v>
      </c>
      <c r="I264" s="1">
        <v>0</v>
      </c>
      <c r="J264" s="1">
        <v>0</v>
      </c>
      <c r="K264" s="1">
        <v>92.601299999999995</v>
      </c>
      <c r="L264" s="1">
        <v>0.59989999999999999</v>
      </c>
      <c r="N264" s="37" t="s">
        <v>691</v>
      </c>
    </row>
    <row r="265" spans="1:14" x14ac:dyDescent="0.25">
      <c r="A265" s="37">
        <v>10</v>
      </c>
      <c r="B265" s="1">
        <v>1.0895699999999999</v>
      </c>
      <c r="C265" s="1">
        <v>3.9204000000000003E-2</v>
      </c>
      <c r="D265" s="1">
        <v>1.2869E-2</v>
      </c>
      <c r="E265" s="1">
        <v>5.2073000000000001E-2</v>
      </c>
      <c r="F265" s="1">
        <v>0</v>
      </c>
      <c r="G265" s="1">
        <v>-0.20199300000000001</v>
      </c>
      <c r="H265" s="1">
        <v>0</v>
      </c>
      <c r="I265" s="1">
        <v>0</v>
      </c>
      <c r="J265" s="1">
        <v>0</v>
      </c>
      <c r="K265" s="1">
        <v>92.601299999999995</v>
      </c>
      <c r="L265" s="1">
        <v>0.59760000000000002</v>
      </c>
      <c r="N265" s="37" t="s">
        <v>692</v>
      </c>
    </row>
    <row r="266" spans="1:14" x14ac:dyDescent="0.25">
      <c r="A266" s="37">
        <v>10.5</v>
      </c>
      <c r="B266" s="1">
        <v>1.1393169999999999</v>
      </c>
      <c r="C266" s="1">
        <v>4.1886E-2</v>
      </c>
      <c r="D266" s="1">
        <v>1.3523E-2</v>
      </c>
      <c r="E266" s="1">
        <v>5.5407999999999999E-2</v>
      </c>
      <c r="F266" s="1">
        <v>0</v>
      </c>
      <c r="G266" s="1">
        <v>-0.21232599999999999</v>
      </c>
      <c r="H266" s="1">
        <v>0</v>
      </c>
      <c r="I266" s="1">
        <v>0</v>
      </c>
      <c r="J266" s="1">
        <v>0</v>
      </c>
      <c r="K266" s="1">
        <v>92.601299999999995</v>
      </c>
      <c r="L266" s="1">
        <v>0.60329999999999995</v>
      </c>
      <c r="N266" s="37" t="s">
        <v>693</v>
      </c>
    </row>
    <row r="267" spans="1:14" x14ac:dyDescent="0.25">
      <c r="A267" s="37">
        <v>11</v>
      </c>
      <c r="B267" s="1">
        <v>1.189154</v>
      </c>
      <c r="C267" s="1">
        <v>4.5619E-2</v>
      </c>
      <c r="D267" s="1">
        <v>1.422E-2</v>
      </c>
      <c r="E267" s="1">
        <v>5.9839000000000003E-2</v>
      </c>
      <c r="F267" s="1">
        <v>0</v>
      </c>
      <c r="G267" s="1">
        <v>-0.222162</v>
      </c>
      <c r="H267" s="1">
        <v>0</v>
      </c>
      <c r="I267" s="1">
        <v>0</v>
      </c>
      <c r="J267" s="1">
        <v>0</v>
      </c>
      <c r="K267" s="1">
        <v>92.601299999999995</v>
      </c>
      <c r="L267" s="1">
        <v>0.60840000000000005</v>
      </c>
      <c r="N267" s="37" t="s">
        <v>694</v>
      </c>
    </row>
    <row r="268" spans="1:14" x14ac:dyDescent="0.25">
      <c r="A268" s="37">
        <v>11.5</v>
      </c>
      <c r="B268" s="1">
        <v>1.2382880000000001</v>
      </c>
      <c r="C268" s="1">
        <v>4.9501999999999997E-2</v>
      </c>
      <c r="D268" s="1">
        <v>1.4952999999999999E-2</v>
      </c>
      <c r="E268" s="1">
        <v>6.4454999999999998E-2</v>
      </c>
      <c r="F268" s="1">
        <v>0</v>
      </c>
      <c r="G268" s="1">
        <v>-0.22933300000000001</v>
      </c>
      <c r="H268" s="1">
        <v>0</v>
      </c>
      <c r="I268" s="1">
        <v>0</v>
      </c>
      <c r="J268" s="1">
        <v>0</v>
      </c>
      <c r="K268" s="1">
        <v>92.601299999999995</v>
      </c>
      <c r="L268" s="1">
        <v>0.61099999999999999</v>
      </c>
      <c r="N268" s="37" t="s">
        <v>695</v>
      </c>
    </row>
    <row r="269" spans="1:14" x14ac:dyDescent="0.25">
      <c r="A269" s="37">
        <v>12</v>
      </c>
      <c r="B269" s="1">
        <v>1.28799</v>
      </c>
      <c r="C269" s="1">
        <v>5.3614000000000002E-2</v>
      </c>
      <c r="D269" s="1">
        <v>1.5751000000000001E-2</v>
      </c>
      <c r="E269" s="1">
        <v>6.9364999999999996E-2</v>
      </c>
      <c r="F269" s="1">
        <v>0</v>
      </c>
      <c r="G269" s="1">
        <v>-0.23710700000000001</v>
      </c>
      <c r="H269" s="1">
        <v>0</v>
      </c>
      <c r="I269" s="1">
        <v>0</v>
      </c>
      <c r="J269" s="1">
        <v>0</v>
      </c>
      <c r="K269" s="1">
        <v>92.601299999999995</v>
      </c>
      <c r="L269" s="1">
        <v>0.61450000000000005</v>
      </c>
      <c r="N269" s="37" t="s">
        <v>696</v>
      </c>
    </row>
    <row r="270" spans="1:14" x14ac:dyDescent="0.25">
      <c r="A270" s="37">
        <v>12.5</v>
      </c>
      <c r="B270" s="1">
        <v>1.3373010000000001</v>
      </c>
      <c r="C270" s="1">
        <v>5.7838000000000001E-2</v>
      </c>
      <c r="D270" s="1">
        <v>1.6601000000000001E-2</v>
      </c>
      <c r="E270" s="1">
        <v>7.4438000000000004E-2</v>
      </c>
      <c r="F270" s="1">
        <v>0</v>
      </c>
      <c r="G270" s="1">
        <v>-0.243147</v>
      </c>
      <c r="H270" s="1">
        <v>0</v>
      </c>
      <c r="I270" s="1">
        <v>0</v>
      </c>
      <c r="J270" s="1">
        <v>0</v>
      </c>
      <c r="K270" s="1">
        <v>92.601299999999995</v>
      </c>
      <c r="L270" s="1">
        <v>0.61660000000000004</v>
      </c>
      <c r="N270" s="37" t="s">
        <v>697</v>
      </c>
    </row>
    <row r="271" spans="1:14" x14ac:dyDescent="0.25">
      <c r="A271" s="37">
        <v>13</v>
      </c>
      <c r="B271" s="1">
        <v>1.3865430000000001</v>
      </c>
      <c r="C271" s="1">
        <v>6.2210000000000001E-2</v>
      </c>
      <c r="D271" s="1">
        <v>1.7528999999999999E-2</v>
      </c>
      <c r="E271" s="1">
        <v>7.9739000000000004E-2</v>
      </c>
      <c r="F271" s="1">
        <v>0</v>
      </c>
      <c r="G271" s="1">
        <v>-0.248276</v>
      </c>
      <c r="H271" s="1">
        <v>0</v>
      </c>
      <c r="I271" s="1">
        <v>0</v>
      </c>
      <c r="J271" s="1">
        <v>0</v>
      </c>
      <c r="K271" s="1">
        <v>92.601299999999995</v>
      </c>
      <c r="L271" s="1">
        <v>0.61829999999999996</v>
      </c>
      <c r="N271" s="37" t="s">
        <v>698</v>
      </c>
    </row>
    <row r="272" spans="1:14" x14ac:dyDescent="0.25">
      <c r="A272" s="37">
        <v>13.5</v>
      </c>
      <c r="B272" s="1">
        <v>1.4357519999999999</v>
      </c>
      <c r="C272" s="1">
        <v>6.6733000000000001E-2</v>
      </c>
      <c r="D272" s="1">
        <v>1.8533000000000001E-2</v>
      </c>
      <c r="E272" s="1">
        <v>8.5265999999999995E-2</v>
      </c>
      <c r="F272" s="1">
        <v>0</v>
      </c>
      <c r="G272" s="1">
        <v>-0.25257800000000002</v>
      </c>
      <c r="H272" s="1">
        <v>0</v>
      </c>
      <c r="I272" s="1">
        <v>0</v>
      </c>
      <c r="J272" s="1">
        <v>0</v>
      </c>
      <c r="K272" s="1">
        <v>92.601299999999995</v>
      </c>
      <c r="L272" s="1">
        <v>0.61960000000000004</v>
      </c>
      <c r="N272" s="37" t="s">
        <v>699</v>
      </c>
    </row>
    <row r="273" spans="1:14" x14ac:dyDescent="0.25">
      <c r="A273" s="37">
        <v>14</v>
      </c>
      <c r="B273" s="1">
        <v>1.484945</v>
      </c>
      <c r="C273" s="1">
        <v>7.1410000000000001E-2</v>
      </c>
      <c r="D273" s="1">
        <v>1.9581999999999999E-2</v>
      </c>
      <c r="E273" s="1">
        <v>9.0992000000000003E-2</v>
      </c>
      <c r="F273" s="1">
        <v>0</v>
      </c>
      <c r="G273" s="1">
        <v>-0.25607200000000002</v>
      </c>
      <c r="H273" s="1">
        <v>0</v>
      </c>
      <c r="I273" s="1">
        <v>0</v>
      </c>
      <c r="J273" s="1">
        <v>0</v>
      </c>
      <c r="K273" s="1">
        <v>92.601299999999995</v>
      </c>
      <c r="L273" s="1">
        <v>0.62060000000000004</v>
      </c>
      <c r="N273" s="37" t="s">
        <v>700</v>
      </c>
    </row>
    <row r="274" spans="1:14" x14ac:dyDescent="0.25">
      <c r="A274" s="37">
        <v>14.5</v>
      </c>
      <c r="B274" s="1">
        <v>1.5341260000000001</v>
      </c>
      <c r="C274" s="1">
        <v>7.6240000000000002E-2</v>
      </c>
      <c r="D274" s="1">
        <v>2.0660000000000001E-2</v>
      </c>
      <c r="E274" s="1">
        <v>9.6901000000000001E-2</v>
      </c>
      <c r="F274" s="1">
        <v>0</v>
      </c>
      <c r="G274" s="1">
        <v>-0.25875100000000001</v>
      </c>
      <c r="H274" s="1">
        <v>0</v>
      </c>
      <c r="I274" s="1">
        <v>0</v>
      </c>
      <c r="J274" s="1">
        <v>0</v>
      </c>
      <c r="K274" s="1">
        <v>92.601299999999995</v>
      </c>
      <c r="L274" s="1">
        <v>0.62139999999999995</v>
      </c>
      <c r="N274" s="37" t="s">
        <v>701</v>
      </c>
    </row>
    <row r="275" spans="1:14" x14ac:dyDescent="0.25">
      <c r="A275" s="37">
        <v>15</v>
      </c>
      <c r="B275" s="1">
        <v>1.5832949999999999</v>
      </c>
      <c r="C275" s="1">
        <v>8.1224000000000005E-2</v>
      </c>
      <c r="D275" s="1">
        <v>2.1793E-2</v>
      </c>
      <c r="E275" s="1">
        <v>0.103016</v>
      </c>
      <c r="F275" s="1">
        <v>0</v>
      </c>
      <c r="G275" s="1">
        <v>-0.260602</v>
      </c>
      <c r="H275" s="1">
        <v>0</v>
      </c>
      <c r="I275" s="1">
        <v>0</v>
      </c>
      <c r="J275" s="1">
        <v>0</v>
      </c>
      <c r="K275" s="1">
        <v>92.601299999999995</v>
      </c>
      <c r="L275" s="1">
        <v>0.62190000000000001</v>
      </c>
      <c r="N275" s="37"/>
    </row>
    <row r="276" spans="1:14" x14ac:dyDescent="0.25">
      <c r="A276" s="37"/>
    </row>
    <row r="278" spans="1:14" x14ac:dyDescent="0.25">
      <c r="A278" s="13" t="s">
        <v>702</v>
      </c>
    </row>
    <row r="279" spans="1:14" x14ac:dyDescent="0.25">
      <c r="A279" s="44" t="s">
        <v>119</v>
      </c>
      <c r="B279">
        <f>MATCH($B$7,B284:B320,1)+ROW()+4</f>
        <v>294</v>
      </c>
      <c r="F279" s="21" t="s">
        <v>736</v>
      </c>
      <c r="G279">
        <f>MATCH(0,G284:G320,-1)+ROW()+4</f>
        <v>288</v>
      </c>
    </row>
    <row r="280" spans="1:14" x14ac:dyDescent="0.25">
      <c r="A280" s="45" t="s">
        <v>186</v>
      </c>
      <c r="B280">
        <f ca="1">INDIRECT(CONCATENATE("C",B279+1)) - (INDIRECT(CONCATENATE("B",B279+1))-$B$7) / (INDIRECT(CONCATENATE("B",B279+1))-INDIRECT(CONCATENATE("B",B279))) * (INDIRECT(CONCATENATE("C",B279+1)) - INDIRECT(CONCATENATE("C",B279)) )</f>
        <v>8.7345087006321549E-3</v>
      </c>
      <c r="F280" s="21" t="s">
        <v>737</v>
      </c>
      <c r="G280" s="1">
        <f ca="1">INDIRECT(CONCATENATE("B",G279+1)) - (INDIRECT(CONCATENATE("B",G279+1))-INDIRECT(CONCATENATE("B",G279))) / (INDIRECT(CONCATENATE("G",G279+1))-INDIRECT(CONCATENATE("G",G279))) * (INDIRECT(CONCATENATE("G",G279+1)) - 0)</f>
        <v>0.21475852020673766</v>
      </c>
    </row>
    <row r="281" spans="1:14" x14ac:dyDescent="0.25">
      <c r="A281" s="13" t="s">
        <v>2</v>
      </c>
      <c r="B281" s="13">
        <f ca="1">$B$7^2/(PI()*$B$2*B280)</f>
        <v>0.96674085003911769</v>
      </c>
      <c r="N281" s="37" t="s">
        <v>146</v>
      </c>
    </row>
    <row r="282" spans="1:14" x14ac:dyDescent="0.25">
      <c r="N282" s="37" t="s">
        <v>147</v>
      </c>
    </row>
    <row r="283" spans="1:14" x14ac:dyDescent="0.25">
      <c r="A283" s="1" t="s">
        <v>128</v>
      </c>
      <c r="B283" s="1" t="s">
        <v>118</v>
      </c>
      <c r="C283" s="1" t="s">
        <v>149</v>
      </c>
      <c r="D283" s="1" t="s">
        <v>150</v>
      </c>
      <c r="E283" s="1" t="s">
        <v>151</v>
      </c>
      <c r="F283" s="1" t="s">
        <v>152</v>
      </c>
      <c r="G283" s="1" t="s">
        <v>153</v>
      </c>
      <c r="H283" s="1" t="s">
        <v>154</v>
      </c>
      <c r="I283" s="1" t="s">
        <v>155</v>
      </c>
      <c r="J283" s="1" t="s">
        <v>156</v>
      </c>
      <c r="K283" s="1" t="s">
        <v>157</v>
      </c>
      <c r="L283" s="1" t="s">
        <v>158</v>
      </c>
      <c r="N283" s="37" t="s">
        <v>703</v>
      </c>
    </row>
    <row r="284" spans="1:14" x14ac:dyDescent="0.25">
      <c r="A284" s="1">
        <v>-1</v>
      </c>
      <c r="B284" s="1">
        <v>-1.3245E-2</v>
      </c>
      <c r="C284" s="1">
        <v>4.0299999999999998E-4</v>
      </c>
      <c r="D284" s="1">
        <v>7.2500000000000004E-3</v>
      </c>
      <c r="E284" s="1">
        <v>7.6530000000000001E-3</v>
      </c>
      <c r="F284" s="1">
        <v>0</v>
      </c>
      <c r="G284" s="1">
        <v>7.9577999999999996E-2</v>
      </c>
      <c r="H284" s="1">
        <v>0</v>
      </c>
      <c r="I284" s="1">
        <v>0</v>
      </c>
      <c r="J284" s="1">
        <v>0</v>
      </c>
      <c r="K284" s="1">
        <v>92.601299999999995</v>
      </c>
      <c r="L284" s="1">
        <v>7.6551999999999998</v>
      </c>
      <c r="N284" s="37" t="s">
        <v>704</v>
      </c>
    </row>
    <row r="285" spans="1:14" x14ac:dyDescent="0.25">
      <c r="A285" s="37">
        <v>-0.5</v>
      </c>
      <c r="B285" s="1">
        <v>3.5540000000000002E-2</v>
      </c>
      <c r="C285" s="1">
        <v>3.7100000000000002E-4</v>
      </c>
      <c r="D285" s="1">
        <v>7.0239999999999999E-3</v>
      </c>
      <c r="E285" s="1">
        <v>7.3949999999999997E-3</v>
      </c>
      <c r="F285" s="1">
        <v>0</v>
      </c>
      <c r="G285" s="1">
        <v>6.1806E-2</v>
      </c>
      <c r="H285" s="1">
        <v>0</v>
      </c>
      <c r="I285" s="1">
        <v>0</v>
      </c>
      <c r="J285" s="1">
        <v>0</v>
      </c>
      <c r="K285" s="1">
        <v>92.601299999999995</v>
      </c>
      <c r="L285" s="1">
        <v>-1.8160000000000001</v>
      </c>
      <c r="N285" s="37" t="s">
        <v>705</v>
      </c>
    </row>
    <row r="286" spans="1:14" x14ac:dyDescent="0.25">
      <c r="A286" s="37">
        <v>0</v>
      </c>
      <c r="B286" s="1">
        <v>8.4312999999999999E-2</v>
      </c>
      <c r="C286" s="1">
        <v>4.9700000000000005E-4</v>
      </c>
      <c r="D286" s="1">
        <v>6.783E-3</v>
      </c>
      <c r="E286" s="1">
        <v>7.28E-3</v>
      </c>
      <c r="F286" s="1">
        <v>0</v>
      </c>
      <c r="G286" s="1">
        <v>4.4407000000000002E-2</v>
      </c>
      <c r="H286" s="1">
        <v>0</v>
      </c>
      <c r="I286" s="1">
        <v>0</v>
      </c>
      <c r="J286" s="1">
        <v>0</v>
      </c>
      <c r="K286" s="1">
        <v>92.601299999999995</v>
      </c>
      <c r="L286" s="1">
        <v>-0.33189999999999997</v>
      </c>
      <c r="N286" s="37" t="s">
        <v>706</v>
      </c>
    </row>
    <row r="287" spans="1:14" x14ac:dyDescent="0.25">
      <c r="A287" s="37">
        <v>0.5</v>
      </c>
      <c r="B287" s="1">
        <v>0.133072</v>
      </c>
      <c r="C287" s="1">
        <v>7.7999999999999999E-4</v>
      </c>
      <c r="D287" s="1">
        <v>6.5009999999999998E-3</v>
      </c>
      <c r="E287" s="1">
        <v>7.2810000000000001E-3</v>
      </c>
      <c r="F287" s="1">
        <v>0</v>
      </c>
      <c r="G287" s="1">
        <v>2.7408999999999999E-2</v>
      </c>
      <c r="H287" s="1">
        <v>0</v>
      </c>
      <c r="I287" s="1">
        <v>0</v>
      </c>
      <c r="J287" s="1">
        <v>0</v>
      </c>
      <c r="K287" s="1">
        <v>92.601299999999995</v>
      </c>
      <c r="L287" s="1">
        <v>6.2100000000000002E-2</v>
      </c>
      <c r="N287" s="37" t="s">
        <v>707</v>
      </c>
    </row>
    <row r="288" spans="1:14" x14ac:dyDescent="0.25">
      <c r="A288" s="37">
        <v>1</v>
      </c>
      <c r="B288" s="1">
        <v>0.181814</v>
      </c>
      <c r="C288" s="1">
        <v>1.222E-3</v>
      </c>
      <c r="D288" s="1">
        <v>6.1370000000000001E-3</v>
      </c>
      <c r="E288" s="1">
        <v>7.3590000000000001E-3</v>
      </c>
      <c r="F288" s="1">
        <v>0</v>
      </c>
      <c r="G288" s="1">
        <v>1.0858E-2</v>
      </c>
      <c r="H288" s="1">
        <v>0</v>
      </c>
      <c r="I288" s="1">
        <v>0</v>
      </c>
      <c r="J288" s="1">
        <v>0</v>
      </c>
      <c r="K288" s="1">
        <v>92.601299999999995</v>
      </c>
      <c r="L288" s="1">
        <v>0.24310000000000001</v>
      </c>
      <c r="N288" s="37" t="s">
        <v>708</v>
      </c>
    </row>
    <row r="289" spans="1:14" x14ac:dyDescent="0.25">
      <c r="A289" s="37">
        <v>1.5</v>
      </c>
      <c r="B289" s="1">
        <v>0.23053899999999999</v>
      </c>
      <c r="C289" s="1">
        <v>1.823E-3</v>
      </c>
      <c r="D289" s="1">
        <v>5.5900000000000004E-3</v>
      </c>
      <c r="E289" s="1">
        <v>7.4120000000000002E-3</v>
      </c>
      <c r="F289" s="1">
        <v>0</v>
      </c>
      <c r="G289" s="1">
        <v>-5.2009999999999999E-3</v>
      </c>
      <c r="H289" s="1">
        <v>0</v>
      </c>
      <c r="I289" s="1">
        <v>0</v>
      </c>
      <c r="J289" s="1">
        <v>0</v>
      </c>
      <c r="K289" s="1">
        <v>92.601299999999995</v>
      </c>
      <c r="L289" s="1">
        <v>0.34610000000000002</v>
      </c>
      <c r="N289" s="37" t="s">
        <v>709</v>
      </c>
    </row>
    <row r="290" spans="1:14" x14ac:dyDescent="0.25">
      <c r="A290" s="37">
        <v>2</v>
      </c>
      <c r="B290" s="1">
        <v>0.27924399999999999</v>
      </c>
      <c r="C290" s="1">
        <v>2.581E-3</v>
      </c>
      <c r="D290" s="1">
        <v>4.8739999999999999E-3</v>
      </c>
      <c r="E290" s="1">
        <v>7.456E-3</v>
      </c>
      <c r="F290" s="1">
        <v>0</v>
      </c>
      <c r="G290" s="1">
        <v>-2.0756E-2</v>
      </c>
      <c r="H290" s="1">
        <v>0</v>
      </c>
      <c r="I290" s="1">
        <v>0</v>
      </c>
      <c r="J290" s="1">
        <v>0</v>
      </c>
      <c r="K290" s="1">
        <v>92.601299999999995</v>
      </c>
      <c r="L290" s="1">
        <v>0.41199999999999998</v>
      </c>
      <c r="N290" s="37" t="s">
        <v>710</v>
      </c>
    </row>
    <row r="291" spans="1:14" x14ac:dyDescent="0.25">
      <c r="A291" s="37">
        <v>2.5</v>
      </c>
      <c r="B291" s="1">
        <v>0.32792700000000002</v>
      </c>
      <c r="C291" s="1">
        <v>3.4989999999999999E-3</v>
      </c>
      <c r="D291" s="1">
        <v>4.5399999999999998E-3</v>
      </c>
      <c r="E291" s="1">
        <v>8.0389999999999993E-3</v>
      </c>
      <c r="F291" s="1">
        <v>0</v>
      </c>
      <c r="G291" s="1">
        <v>-3.5943999999999997E-2</v>
      </c>
      <c r="H291" s="1">
        <v>0</v>
      </c>
      <c r="I291" s="1">
        <v>0</v>
      </c>
      <c r="J291" s="1">
        <v>0</v>
      </c>
      <c r="K291" s="1">
        <v>92.601299999999995</v>
      </c>
      <c r="L291" s="1">
        <v>0.45739999999999997</v>
      </c>
      <c r="N291" s="37" t="s">
        <v>711</v>
      </c>
    </row>
    <row r="292" spans="1:14" x14ac:dyDescent="0.25">
      <c r="A292" s="37">
        <v>3</v>
      </c>
      <c r="B292" s="1">
        <v>0.37658700000000001</v>
      </c>
      <c r="C292" s="1">
        <v>4.5750000000000001E-3</v>
      </c>
      <c r="D292" s="1">
        <v>4.3220000000000003E-3</v>
      </c>
      <c r="E292" s="1">
        <v>8.8970000000000004E-3</v>
      </c>
      <c r="F292" s="1">
        <v>0</v>
      </c>
      <c r="G292" s="1">
        <v>-5.0650000000000001E-2</v>
      </c>
      <c r="H292" s="1">
        <v>0</v>
      </c>
      <c r="I292" s="1">
        <v>0</v>
      </c>
      <c r="J292" s="1">
        <v>0</v>
      </c>
      <c r="K292" s="1">
        <v>92.601299999999995</v>
      </c>
      <c r="L292" s="1">
        <v>0.49009999999999998</v>
      </c>
      <c r="N292" s="37" t="s">
        <v>712</v>
      </c>
    </row>
    <row r="293" spans="1:14" x14ac:dyDescent="0.25">
      <c r="A293" s="37">
        <v>3.5</v>
      </c>
      <c r="B293" s="1">
        <v>0.42522100000000002</v>
      </c>
      <c r="C293" s="1">
        <v>5.8100000000000001E-3</v>
      </c>
      <c r="D293" s="1">
        <v>4.3319999999999999E-3</v>
      </c>
      <c r="E293" s="1">
        <v>1.0142E-2</v>
      </c>
      <c r="F293" s="1">
        <v>0</v>
      </c>
      <c r="G293" s="1">
        <v>-6.4868999999999996E-2</v>
      </c>
      <c r="H293" s="1">
        <v>0</v>
      </c>
      <c r="I293" s="1">
        <v>0</v>
      </c>
      <c r="J293" s="1">
        <v>0</v>
      </c>
      <c r="K293" s="1">
        <v>92.601299999999995</v>
      </c>
      <c r="L293" s="1">
        <v>0.51449999999999996</v>
      </c>
      <c r="N293" s="37" t="s">
        <v>713</v>
      </c>
    </row>
    <row r="294" spans="1:14" x14ac:dyDescent="0.25">
      <c r="A294" s="37">
        <v>4</v>
      </c>
      <c r="B294" s="1">
        <v>0.47382800000000003</v>
      </c>
      <c r="C294" s="1">
        <v>7.2040000000000003E-3</v>
      </c>
      <c r="D294" s="1">
        <v>4.6080000000000001E-3</v>
      </c>
      <c r="E294" s="1">
        <v>1.1812E-2</v>
      </c>
      <c r="F294" s="1">
        <v>0</v>
      </c>
      <c r="G294" s="1">
        <v>-7.8594999999999998E-2</v>
      </c>
      <c r="H294" s="1">
        <v>0</v>
      </c>
      <c r="I294" s="1">
        <v>0</v>
      </c>
      <c r="J294" s="1">
        <v>0</v>
      </c>
      <c r="K294" s="1">
        <v>92.601299999999995</v>
      </c>
      <c r="L294" s="1">
        <v>0.53310000000000002</v>
      </c>
      <c r="N294" s="37" t="s">
        <v>714</v>
      </c>
    </row>
    <row r="295" spans="1:14" x14ac:dyDescent="0.25">
      <c r="A295" s="37">
        <v>4.5</v>
      </c>
      <c r="B295" s="1">
        <v>0.52240600000000004</v>
      </c>
      <c r="C295" s="1">
        <v>8.7569999999999992E-3</v>
      </c>
      <c r="D295" s="1">
        <v>5.306E-3</v>
      </c>
      <c r="E295" s="1">
        <v>1.4063000000000001E-2</v>
      </c>
      <c r="F295" s="1">
        <v>0</v>
      </c>
      <c r="G295" s="1">
        <v>-9.1843999999999995E-2</v>
      </c>
      <c r="H295" s="1">
        <v>0</v>
      </c>
      <c r="I295" s="1">
        <v>0</v>
      </c>
      <c r="J295" s="1">
        <v>0</v>
      </c>
      <c r="K295" s="1">
        <v>92.601299999999995</v>
      </c>
      <c r="L295" s="1">
        <v>0.54759999999999998</v>
      </c>
      <c r="N295" s="37" t="s">
        <v>715</v>
      </c>
    </row>
    <row r="296" spans="1:14" x14ac:dyDescent="0.25">
      <c r="A296" s="37">
        <v>5</v>
      </c>
      <c r="B296" s="1">
        <v>0.57095200000000002</v>
      </c>
      <c r="C296" s="1">
        <v>1.047E-2</v>
      </c>
      <c r="D296" s="1">
        <v>6.1050000000000002E-3</v>
      </c>
      <c r="E296" s="1">
        <v>1.6574999999999999E-2</v>
      </c>
      <c r="F296" s="1">
        <v>0</v>
      </c>
      <c r="G296" s="1">
        <v>-0.10449799999999999</v>
      </c>
      <c r="H296" s="1">
        <v>0</v>
      </c>
      <c r="I296" s="1">
        <v>0</v>
      </c>
      <c r="J296" s="1">
        <v>0</v>
      </c>
      <c r="K296" s="1">
        <v>92.601299999999995</v>
      </c>
      <c r="L296" s="1">
        <v>0.55889999999999995</v>
      </c>
      <c r="N296" s="37" t="s">
        <v>716</v>
      </c>
    </row>
    <row r="297" spans="1:14" x14ac:dyDescent="0.25">
      <c r="A297" s="37">
        <v>5.5</v>
      </c>
      <c r="B297" s="1">
        <v>0.61946400000000001</v>
      </c>
      <c r="C297" s="1">
        <v>1.2345999999999999E-2</v>
      </c>
      <c r="D297" s="1">
        <v>6.8830000000000002E-3</v>
      </c>
      <c r="E297" s="1">
        <v>1.9227999999999999E-2</v>
      </c>
      <c r="F297" s="1">
        <v>0</v>
      </c>
      <c r="G297" s="1">
        <v>-0.116497</v>
      </c>
      <c r="H297" s="1">
        <v>0</v>
      </c>
      <c r="I297" s="1">
        <v>0</v>
      </c>
      <c r="J297" s="1">
        <v>0</v>
      </c>
      <c r="K297" s="1">
        <v>92.601299999999995</v>
      </c>
      <c r="L297" s="1">
        <v>0.56789999999999996</v>
      </c>
      <c r="N297" s="37" t="s">
        <v>717</v>
      </c>
    </row>
    <row r="298" spans="1:14" x14ac:dyDescent="0.25">
      <c r="A298" s="37">
        <v>6</v>
      </c>
      <c r="B298" s="1">
        <v>0.66793999999999998</v>
      </c>
      <c r="C298" s="1">
        <v>1.4394000000000001E-2</v>
      </c>
      <c r="D298" s="1">
        <v>7.5770000000000004E-3</v>
      </c>
      <c r="E298" s="1">
        <v>2.1971000000000001E-2</v>
      </c>
      <c r="F298" s="1">
        <v>0</v>
      </c>
      <c r="G298" s="1">
        <v>-0.127807</v>
      </c>
      <c r="H298" s="1">
        <v>0</v>
      </c>
      <c r="I298" s="1">
        <v>0</v>
      </c>
      <c r="J298" s="1">
        <v>0</v>
      </c>
      <c r="K298" s="1">
        <v>92.601299999999995</v>
      </c>
      <c r="L298" s="1">
        <v>0.57489999999999997</v>
      </c>
      <c r="N298" s="37" t="s">
        <v>718</v>
      </c>
    </row>
    <row r="299" spans="1:14" x14ac:dyDescent="0.25">
      <c r="A299" s="37">
        <v>6.5</v>
      </c>
      <c r="B299" s="1">
        <v>0.71638000000000002</v>
      </c>
      <c r="C299" s="1">
        <v>1.6652E-2</v>
      </c>
      <c r="D299" s="1">
        <v>8.2159999999999993E-3</v>
      </c>
      <c r="E299" s="1">
        <v>2.4868000000000001E-2</v>
      </c>
      <c r="F299" s="1">
        <v>0</v>
      </c>
      <c r="G299" s="1">
        <v>-0.13839099999999999</v>
      </c>
      <c r="H299" s="1">
        <v>0</v>
      </c>
      <c r="I299" s="1">
        <v>0</v>
      </c>
      <c r="J299" s="1">
        <v>0</v>
      </c>
      <c r="K299" s="1">
        <v>92.601299999999995</v>
      </c>
      <c r="L299" s="1">
        <v>0.58040000000000003</v>
      </c>
      <c r="N299" s="37" t="s">
        <v>719</v>
      </c>
    </row>
    <row r="300" spans="1:14" x14ac:dyDescent="0.25">
      <c r="A300" s="37">
        <v>7</v>
      </c>
      <c r="B300" s="1">
        <v>0.76482399999999995</v>
      </c>
      <c r="C300" s="1">
        <v>1.9279000000000001E-2</v>
      </c>
      <c r="D300" s="1">
        <v>8.7910000000000002E-3</v>
      </c>
      <c r="E300" s="1">
        <v>2.8070999999999999E-2</v>
      </c>
      <c r="F300" s="1">
        <v>0</v>
      </c>
      <c r="G300" s="1">
        <v>-0.148225</v>
      </c>
      <c r="H300" s="1">
        <v>0</v>
      </c>
      <c r="I300" s="1">
        <v>0</v>
      </c>
      <c r="J300" s="1">
        <v>0</v>
      </c>
      <c r="K300" s="1">
        <v>92.601299999999995</v>
      </c>
      <c r="L300" s="1">
        <v>0.58450000000000002</v>
      </c>
      <c r="N300" s="37" t="s">
        <v>720</v>
      </c>
    </row>
    <row r="301" spans="1:14" x14ac:dyDescent="0.25">
      <c r="A301" s="37">
        <v>7.5</v>
      </c>
      <c r="B301" s="1">
        <v>0.81246200000000002</v>
      </c>
      <c r="C301" s="1">
        <v>2.3425000000000001E-2</v>
      </c>
      <c r="D301" s="1">
        <v>9.3299999999999998E-3</v>
      </c>
      <c r="E301" s="1">
        <v>3.2754999999999999E-2</v>
      </c>
      <c r="F301" s="1">
        <v>0</v>
      </c>
      <c r="G301" s="1">
        <v>-0.158077</v>
      </c>
      <c r="H301" s="1">
        <v>0</v>
      </c>
      <c r="I301" s="1">
        <v>0</v>
      </c>
      <c r="J301" s="1">
        <v>0</v>
      </c>
      <c r="K301" s="1">
        <v>92.601299999999995</v>
      </c>
      <c r="L301" s="1">
        <v>0.58940000000000003</v>
      </c>
      <c r="N301" s="37" t="s">
        <v>721</v>
      </c>
    </row>
    <row r="302" spans="1:14" x14ac:dyDescent="0.25">
      <c r="A302" s="37">
        <v>8</v>
      </c>
      <c r="B302" s="1">
        <v>0.86161500000000002</v>
      </c>
      <c r="C302" s="1">
        <v>2.2474000000000001E-2</v>
      </c>
      <c r="D302" s="1">
        <v>9.9139999999999992E-3</v>
      </c>
      <c r="E302" s="1">
        <v>3.2388E-2</v>
      </c>
      <c r="F302" s="1">
        <v>0</v>
      </c>
      <c r="G302" s="1">
        <v>-0.17176</v>
      </c>
      <c r="H302" s="1">
        <v>0</v>
      </c>
      <c r="I302" s="1">
        <v>0</v>
      </c>
      <c r="J302" s="1">
        <v>0</v>
      </c>
      <c r="K302" s="1">
        <v>92.601299999999995</v>
      </c>
      <c r="L302" s="1">
        <v>0.59919999999999995</v>
      </c>
      <c r="N302" s="37" t="s">
        <v>722</v>
      </c>
    </row>
    <row r="303" spans="1:14" x14ac:dyDescent="0.25">
      <c r="A303" s="37">
        <v>8.5</v>
      </c>
      <c r="B303" s="1">
        <v>0.90850299999999995</v>
      </c>
      <c r="C303" s="1">
        <v>2.8618999999999999E-2</v>
      </c>
      <c r="D303" s="1">
        <v>1.0534999999999999E-2</v>
      </c>
      <c r="E303" s="1">
        <v>3.9154000000000001E-2</v>
      </c>
      <c r="F303" s="1">
        <v>0</v>
      </c>
      <c r="G303" s="1">
        <v>-0.17316300000000001</v>
      </c>
      <c r="H303" s="1">
        <v>0</v>
      </c>
      <c r="I303" s="1">
        <v>0</v>
      </c>
      <c r="J303" s="1">
        <v>0</v>
      </c>
      <c r="K303" s="1">
        <v>92.601299999999995</v>
      </c>
      <c r="L303" s="1">
        <v>0.59209999999999996</v>
      </c>
      <c r="N303" s="37" t="s">
        <v>723</v>
      </c>
    </row>
    <row r="304" spans="1:14" x14ac:dyDescent="0.25">
      <c r="A304" s="37">
        <v>9</v>
      </c>
      <c r="B304" s="1">
        <v>0.95664899999999997</v>
      </c>
      <c r="C304" s="1">
        <v>3.1997999999999999E-2</v>
      </c>
      <c r="D304" s="1">
        <v>1.1176999999999999E-2</v>
      </c>
      <c r="E304" s="1">
        <v>4.3173999999999997E-2</v>
      </c>
      <c r="F304" s="1">
        <v>0</v>
      </c>
      <c r="G304" s="1">
        <v>-0.18260000000000001</v>
      </c>
      <c r="H304" s="1">
        <v>0</v>
      </c>
      <c r="I304" s="1">
        <v>0</v>
      </c>
      <c r="J304" s="1">
        <v>0</v>
      </c>
      <c r="K304" s="1">
        <v>92.601299999999995</v>
      </c>
      <c r="L304" s="1">
        <v>0.59660000000000002</v>
      </c>
      <c r="N304" s="37" t="s">
        <v>724</v>
      </c>
    </row>
    <row r="305" spans="1:14" x14ac:dyDescent="0.25">
      <c r="A305" s="37">
        <v>9.5</v>
      </c>
      <c r="B305" s="1">
        <v>1.007455</v>
      </c>
      <c r="C305" s="1">
        <v>3.2482999999999998E-2</v>
      </c>
      <c r="D305" s="1">
        <v>1.1813000000000001E-2</v>
      </c>
      <c r="E305" s="1">
        <v>4.4296000000000002E-2</v>
      </c>
      <c r="F305" s="1">
        <v>0</v>
      </c>
      <c r="G305" s="1">
        <v>-0.19731699999999999</v>
      </c>
      <c r="H305" s="1">
        <v>0</v>
      </c>
      <c r="I305" s="1">
        <v>0</v>
      </c>
      <c r="J305" s="1">
        <v>0</v>
      </c>
      <c r="K305" s="1">
        <v>92.601299999999995</v>
      </c>
      <c r="L305" s="1">
        <v>0.60680000000000001</v>
      </c>
      <c r="N305" s="37" t="s">
        <v>725</v>
      </c>
    </row>
    <row r="306" spans="1:14" x14ac:dyDescent="0.25">
      <c r="A306" s="37">
        <v>10</v>
      </c>
      <c r="B306" s="1">
        <v>1.0552859999999999</v>
      </c>
      <c r="C306" s="1">
        <v>3.7252E-2</v>
      </c>
      <c r="D306" s="1">
        <v>1.2427000000000001E-2</v>
      </c>
      <c r="E306" s="1">
        <v>4.9679000000000001E-2</v>
      </c>
      <c r="F306" s="1">
        <v>0</v>
      </c>
      <c r="G306" s="1">
        <v>-0.20117399999999999</v>
      </c>
      <c r="H306" s="1">
        <v>0</v>
      </c>
      <c r="I306" s="1">
        <v>0</v>
      </c>
      <c r="J306" s="1">
        <v>0</v>
      </c>
      <c r="K306" s="1">
        <v>92.601299999999995</v>
      </c>
      <c r="L306" s="1">
        <v>0.60450000000000004</v>
      </c>
      <c r="N306" s="37" t="s">
        <v>726</v>
      </c>
    </row>
    <row r="307" spans="1:14" x14ac:dyDescent="0.25">
      <c r="A307" s="37">
        <v>10.5</v>
      </c>
      <c r="B307" s="1">
        <v>1.105186</v>
      </c>
      <c r="C307" s="1">
        <v>3.9874E-2</v>
      </c>
      <c r="D307" s="1">
        <v>1.3055000000000001E-2</v>
      </c>
      <c r="E307" s="1">
        <v>5.2928000000000003E-2</v>
      </c>
      <c r="F307" s="1">
        <v>0</v>
      </c>
      <c r="G307" s="1">
        <v>-0.21213199999999999</v>
      </c>
      <c r="H307" s="1">
        <v>0</v>
      </c>
      <c r="I307" s="1">
        <v>0</v>
      </c>
      <c r="J307" s="1">
        <v>0</v>
      </c>
      <c r="K307" s="1">
        <v>92.601299999999995</v>
      </c>
      <c r="L307" s="1">
        <v>0.61050000000000004</v>
      </c>
      <c r="N307" s="37" t="s">
        <v>727</v>
      </c>
    </row>
    <row r="308" spans="1:14" x14ac:dyDescent="0.25">
      <c r="A308" s="37">
        <v>11</v>
      </c>
      <c r="B308" s="1">
        <v>1.1547829999999999</v>
      </c>
      <c r="C308" s="1">
        <v>4.3500999999999998E-2</v>
      </c>
      <c r="D308" s="1">
        <v>1.3727E-2</v>
      </c>
      <c r="E308" s="1">
        <v>5.7229000000000002E-2</v>
      </c>
      <c r="F308" s="1">
        <v>0</v>
      </c>
      <c r="G308" s="1">
        <v>-0.221496</v>
      </c>
      <c r="H308" s="1">
        <v>0</v>
      </c>
      <c r="I308" s="1">
        <v>0</v>
      </c>
      <c r="J308" s="1">
        <v>0</v>
      </c>
      <c r="K308" s="1">
        <v>92.601299999999995</v>
      </c>
      <c r="L308" s="1">
        <v>0.6149</v>
      </c>
      <c r="N308" s="37" t="s">
        <v>728</v>
      </c>
    </row>
    <row r="309" spans="1:14" x14ac:dyDescent="0.25">
      <c r="A309" s="37">
        <v>11.5</v>
      </c>
      <c r="B309" s="1">
        <v>1.204129</v>
      </c>
      <c r="C309" s="1">
        <v>4.7324999999999999E-2</v>
      </c>
      <c r="D309" s="1">
        <v>1.4430999999999999E-2</v>
      </c>
      <c r="E309" s="1">
        <v>6.1755999999999998E-2</v>
      </c>
      <c r="F309" s="1">
        <v>0</v>
      </c>
      <c r="G309" s="1">
        <v>-0.22939799999999999</v>
      </c>
      <c r="H309" s="1">
        <v>0</v>
      </c>
      <c r="I309" s="1">
        <v>0</v>
      </c>
      <c r="J309" s="1">
        <v>0</v>
      </c>
      <c r="K309" s="1">
        <v>92.601299999999995</v>
      </c>
      <c r="L309" s="1">
        <v>0.61799999999999999</v>
      </c>
      <c r="N309" s="37" t="s">
        <v>729</v>
      </c>
    </row>
    <row r="310" spans="1:14" x14ac:dyDescent="0.25">
      <c r="A310" s="37">
        <v>12</v>
      </c>
      <c r="B310" s="1">
        <v>1.2537990000000001</v>
      </c>
      <c r="C310" s="1">
        <v>5.135E-2</v>
      </c>
      <c r="D310" s="1">
        <v>1.5195E-2</v>
      </c>
      <c r="E310" s="1">
        <v>6.6544000000000006E-2</v>
      </c>
      <c r="F310" s="1">
        <v>0</v>
      </c>
      <c r="G310" s="1">
        <v>-0.23727500000000001</v>
      </c>
      <c r="H310" s="1">
        <v>0</v>
      </c>
      <c r="I310" s="1">
        <v>0</v>
      </c>
      <c r="J310" s="1">
        <v>0</v>
      </c>
      <c r="K310" s="1">
        <v>92.601299999999995</v>
      </c>
      <c r="L310" s="1">
        <v>0.62129999999999996</v>
      </c>
      <c r="N310" s="37" t="s">
        <v>730</v>
      </c>
    </row>
    <row r="311" spans="1:14" x14ac:dyDescent="0.25">
      <c r="A311" s="37">
        <v>12.5</v>
      </c>
      <c r="B311" s="1">
        <v>1.303139</v>
      </c>
      <c r="C311" s="1">
        <v>5.5494000000000002E-2</v>
      </c>
      <c r="D311" s="1">
        <v>1.6004000000000001E-2</v>
      </c>
      <c r="E311" s="1">
        <v>7.1498000000000006E-2</v>
      </c>
      <c r="F311" s="1">
        <v>0</v>
      </c>
      <c r="G311" s="1">
        <v>-0.243561</v>
      </c>
      <c r="H311" s="1">
        <v>0</v>
      </c>
      <c r="I311" s="1">
        <v>0</v>
      </c>
      <c r="J311" s="1">
        <v>0</v>
      </c>
      <c r="K311" s="1">
        <v>92.601299999999995</v>
      </c>
      <c r="L311" s="1">
        <v>0.62339999999999995</v>
      </c>
      <c r="N311" s="37" t="s">
        <v>731</v>
      </c>
    </row>
    <row r="312" spans="1:14" x14ac:dyDescent="0.25">
      <c r="A312" s="37">
        <v>13</v>
      </c>
      <c r="B312" s="1">
        <v>1.3524119999999999</v>
      </c>
      <c r="C312" s="1">
        <v>5.9787E-2</v>
      </c>
      <c r="D312" s="1">
        <v>1.6878000000000001E-2</v>
      </c>
      <c r="E312" s="1">
        <v>7.6663999999999996E-2</v>
      </c>
      <c r="F312" s="1">
        <v>0</v>
      </c>
      <c r="G312" s="1">
        <v>-0.24893499999999999</v>
      </c>
      <c r="H312" s="1">
        <v>0</v>
      </c>
      <c r="I312" s="1">
        <v>0</v>
      </c>
      <c r="J312" s="1">
        <v>0</v>
      </c>
      <c r="K312" s="1">
        <v>92.601299999999995</v>
      </c>
      <c r="L312" s="1">
        <v>0.625</v>
      </c>
      <c r="N312" s="37" t="s">
        <v>732</v>
      </c>
    </row>
    <row r="313" spans="1:14" x14ac:dyDescent="0.25">
      <c r="A313" s="37">
        <v>13.5</v>
      </c>
      <c r="B313" s="1">
        <v>1.4016519999999999</v>
      </c>
      <c r="C313" s="1">
        <v>6.4230999999999996E-2</v>
      </c>
      <c r="D313" s="1">
        <v>1.7831E-2</v>
      </c>
      <c r="E313" s="1">
        <v>8.2061999999999996E-2</v>
      </c>
      <c r="F313" s="1">
        <v>0</v>
      </c>
      <c r="G313" s="1">
        <v>-0.25347799999999998</v>
      </c>
      <c r="H313" s="1">
        <v>0</v>
      </c>
      <c r="I313" s="1">
        <v>0</v>
      </c>
      <c r="J313" s="1">
        <v>0</v>
      </c>
      <c r="K313" s="1">
        <v>92.601299999999995</v>
      </c>
      <c r="L313" s="1">
        <v>0.62629999999999997</v>
      </c>
      <c r="N313" s="37" t="s">
        <v>733</v>
      </c>
    </row>
    <row r="314" spans="1:14" x14ac:dyDescent="0.25">
      <c r="A314" s="37">
        <v>14</v>
      </c>
      <c r="B314" s="1">
        <v>1.4508779999999999</v>
      </c>
      <c r="C314" s="1">
        <v>6.8828E-2</v>
      </c>
      <c r="D314" s="1">
        <v>1.8848E-2</v>
      </c>
      <c r="E314" s="1">
        <v>8.7676000000000004E-2</v>
      </c>
      <c r="F314" s="1">
        <v>0</v>
      </c>
      <c r="G314" s="1">
        <v>-0.257214</v>
      </c>
      <c r="H314" s="1">
        <v>0</v>
      </c>
      <c r="I314" s="1">
        <v>0</v>
      </c>
      <c r="J314" s="1">
        <v>0</v>
      </c>
      <c r="K314" s="1">
        <v>92.601299999999995</v>
      </c>
      <c r="L314" s="1">
        <v>0.62719999999999998</v>
      </c>
      <c r="N314" s="37" t="s">
        <v>734</v>
      </c>
    </row>
    <row r="315" spans="1:14" x14ac:dyDescent="0.25">
      <c r="A315" s="37">
        <v>14.5</v>
      </c>
      <c r="B315" s="1">
        <v>1.5000929999999999</v>
      </c>
      <c r="C315" s="1">
        <v>7.3579000000000006E-2</v>
      </c>
      <c r="D315" s="1">
        <v>1.9911999999999999E-2</v>
      </c>
      <c r="E315" s="1">
        <v>9.3491000000000005E-2</v>
      </c>
      <c r="F315" s="1">
        <v>0</v>
      </c>
      <c r="G315" s="1">
        <v>-0.26013599999999998</v>
      </c>
      <c r="H315" s="1">
        <v>0</v>
      </c>
      <c r="I315" s="1">
        <v>0</v>
      </c>
      <c r="J315" s="1">
        <v>0</v>
      </c>
      <c r="K315" s="1">
        <v>92.601299999999995</v>
      </c>
      <c r="L315" s="1">
        <v>0.62790000000000001</v>
      </c>
      <c r="N315" s="37" t="s">
        <v>735</v>
      </c>
    </row>
    <row r="316" spans="1:14" x14ac:dyDescent="0.25">
      <c r="A316" s="37">
        <v>15</v>
      </c>
      <c r="B316" s="1">
        <v>1.5492969999999999</v>
      </c>
      <c r="C316" s="1">
        <v>7.8482999999999997E-2</v>
      </c>
      <c r="D316" s="1">
        <v>2.0986000000000001E-2</v>
      </c>
      <c r="E316" s="1">
        <v>9.9469000000000002E-2</v>
      </c>
      <c r="F316" s="1">
        <v>0</v>
      </c>
      <c r="G316" s="1">
        <v>-0.26221800000000001</v>
      </c>
      <c r="H316" s="1">
        <v>0</v>
      </c>
      <c r="I316" s="1">
        <v>0</v>
      </c>
      <c r="J316" s="1">
        <v>0</v>
      </c>
      <c r="K316" s="1">
        <v>92.601299999999995</v>
      </c>
      <c r="L316" s="1">
        <v>0.62839999999999996</v>
      </c>
      <c r="N316" s="37"/>
    </row>
    <row r="317" spans="1:14" x14ac:dyDescent="0.25">
      <c r="A317" s="37"/>
      <c r="N317" s="37"/>
    </row>
    <row r="318" spans="1:14" x14ac:dyDescent="0.25">
      <c r="A318" s="37"/>
      <c r="N318" s="37"/>
    </row>
    <row r="319" spans="1:14" x14ac:dyDescent="0.25">
      <c r="A319" s="37"/>
      <c r="N319" s="37"/>
    </row>
    <row r="320" spans="1:14" x14ac:dyDescent="0.25">
      <c r="A320" s="37"/>
    </row>
    <row r="323" spans="1:14" x14ac:dyDescent="0.25">
      <c r="A323" s="13"/>
    </row>
    <row r="324" spans="1:14" x14ac:dyDescent="0.25">
      <c r="A324" s="44"/>
      <c r="B324"/>
    </row>
    <row r="325" spans="1:14" x14ac:dyDescent="0.25">
      <c r="A325" s="45"/>
      <c r="B325"/>
    </row>
    <row r="326" spans="1:14" x14ac:dyDescent="0.25">
      <c r="A326" s="13"/>
      <c r="B326" s="13"/>
      <c r="N326" s="37"/>
    </row>
    <row r="327" spans="1:14" x14ac:dyDescent="0.25">
      <c r="N327" s="37"/>
    </row>
    <row r="328" spans="1:14" x14ac:dyDescent="0.25">
      <c r="N328" s="37"/>
    </row>
    <row r="329" spans="1:14" x14ac:dyDescent="0.25">
      <c r="A329" s="37"/>
      <c r="N329" s="37"/>
    </row>
    <row r="330" spans="1:14" x14ac:dyDescent="0.25">
      <c r="A330" s="37"/>
      <c r="N330" s="37"/>
    </row>
    <row r="331" spans="1:14" x14ac:dyDescent="0.25">
      <c r="A331" s="37"/>
      <c r="N331" s="37"/>
    </row>
    <row r="332" spans="1:14" x14ac:dyDescent="0.25">
      <c r="A332" s="37"/>
      <c r="N332" s="37"/>
    </row>
    <row r="333" spans="1:14" x14ac:dyDescent="0.25">
      <c r="A333" s="37"/>
      <c r="N333" s="37"/>
    </row>
    <row r="334" spans="1:14" x14ac:dyDescent="0.25">
      <c r="A334" s="37"/>
      <c r="N334" s="37"/>
    </row>
    <row r="335" spans="1:14" x14ac:dyDescent="0.25">
      <c r="A335" s="37"/>
      <c r="N335" s="37"/>
    </row>
    <row r="336" spans="1:14" x14ac:dyDescent="0.25">
      <c r="A336" s="37"/>
      <c r="N336" s="37"/>
    </row>
    <row r="337" spans="1:14" x14ac:dyDescent="0.25">
      <c r="A337" s="37"/>
      <c r="N337" s="37"/>
    </row>
    <row r="338" spans="1:14" x14ac:dyDescent="0.25">
      <c r="A338" s="37"/>
      <c r="N338" s="37"/>
    </row>
    <row r="339" spans="1:14" x14ac:dyDescent="0.25">
      <c r="A339" s="37"/>
      <c r="N339" s="37"/>
    </row>
    <row r="340" spans="1:14" x14ac:dyDescent="0.25">
      <c r="A340" s="37"/>
      <c r="N340" s="37"/>
    </row>
    <row r="341" spans="1:14" x14ac:dyDescent="0.25">
      <c r="A341" s="37"/>
      <c r="N341" s="37"/>
    </row>
    <row r="342" spans="1:14" x14ac:dyDescent="0.25">
      <c r="A342" s="37"/>
      <c r="N342" s="37"/>
    </row>
    <row r="343" spans="1:14" x14ac:dyDescent="0.25">
      <c r="A343" s="37"/>
      <c r="N343" s="37"/>
    </row>
    <row r="344" spans="1:14" x14ac:dyDescent="0.25">
      <c r="A344" s="37"/>
      <c r="N344" s="37"/>
    </row>
    <row r="345" spans="1:14" x14ac:dyDescent="0.25">
      <c r="A345" s="37"/>
      <c r="N345" s="37"/>
    </row>
    <row r="346" spans="1:14" x14ac:dyDescent="0.25">
      <c r="A346" s="37"/>
      <c r="N346" s="37"/>
    </row>
    <row r="347" spans="1:14" x14ac:dyDescent="0.25">
      <c r="A347" s="37"/>
      <c r="N347" s="37"/>
    </row>
    <row r="348" spans="1:14" x14ac:dyDescent="0.25">
      <c r="A348" s="37"/>
      <c r="N348" s="37"/>
    </row>
    <row r="349" spans="1:14" x14ac:dyDescent="0.25">
      <c r="A349" s="37"/>
      <c r="N349" s="37"/>
    </row>
    <row r="350" spans="1:14" x14ac:dyDescent="0.25">
      <c r="A350" s="37"/>
      <c r="N350" s="37"/>
    </row>
    <row r="351" spans="1:14" x14ac:dyDescent="0.25">
      <c r="A351" s="37"/>
      <c r="N351" s="37"/>
    </row>
    <row r="352" spans="1:14" x14ac:dyDescent="0.25">
      <c r="A352" s="37"/>
      <c r="N352" s="37"/>
    </row>
    <row r="353" spans="1:14" x14ac:dyDescent="0.25">
      <c r="A353" s="37"/>
      <c r="N353" s="37"/>
    </row>
    <row r="354" spans="1:14" x14ac:dyDescent="0.25">
      <c r="A354" s="37"/>
      <c r="N354" s="37"/>
    </row>
    <row r="355" spans="1:14" x14ac:dyDescent="0.25">
      <c r="A355" s="37"/>
      <c r="N355" s="37"/>
    </row>
    <row r="356" spans="1:14" x14ac:dyDescent="0.25">
      <c r="A356" s="37"/>
      <c r="N356" s="37"/>
    </row>
    <row r="357" spans="1:14" x14ac:dyDescent="0.25">
      <c r="A357" s="37"/>
      <c r="N357" s="37"/>
    </row>
    <row r="358" spans="1:14" x14ac:dyDescent="0.25">
      <c r="A358" s="37"/>
      <c r="N358" s="37"/>
    </row>
    <row r="359" spans="1:14" x14ac:dyDescent="0.25">
      <c r="A359" s="37"/>
      <c r="N359" s="37"/>
    </row>
    <row r="360" spans="1:14" x14ac:dyDescent="0.25">
      <c r="A360" s="37"/>
      <c r="N360" s="37"/>
    </row>
    <row r="361" spans="1:14" x14ac:dyDescent="0.25">
      <c r="A361" s="37"/>
      <c r="N361" s="37"/>
    </row>
    <row r="362" spans="1:14" x14ac:dyDescent="0.25">
      <c r="A362" s="37"/>
      <c r="N362" s="37"/>
    </row>
    <row r="363" spans="1:14" x14ac:dyDescent="0.25">
      <c r="A363" s="37"/>
      <c r="N363" s="37"/>
    </row>
    <row r="364" spans="1:14" x14ac:dyDescent="0.25">
      <c r="A364" s="37"/>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54"/>
  <sheetViews>
    <sheetView workbookViewId="0">
      <selection activeCell="A9" sqref="A9:C9"/>
    </sheetView>
  </sheetViews>
  <sheetFormatPr defaultColWidth="8.88671875" defaultRowHeight="13.2" x14ac:dyDescent="0.25"/>
  <cols>
    <col min="1" max="12" width="8.88671875" style="1"/>
    <col min="13" max="13" width="4" style="1" customWidth="1"/>
    <col min="14" max="16384" width="8.88671875" style="1"/>
  </cols>
  <sheetData>
    <row r="1" spans="1:16" x14ac:dyDescent="0.25">
      <c r="A1" s="13" t="s">
        <v>160</v>
      </c>
      <c r="N1" s="1" t="s">
        <v>148</v>
      </c>
    </row>
    <row r="2" spans="1:16" x14ac:dyDescent="0.25">
      <c r="A2" s="1" t="s">
        <v>187</v>
      </c>
      <c r="B2" s="1">
        <f>'XFLR5 Twist Study'!B2</f>
        <v>10.26</v>
      </c>
      <c r="N2" s="13" t="s">
        <v>159</v>
      </c>
    </row>
    <row r="3" spans="1:16" x14ac:dyDescent="0.25">
      <c r="A3" s="1" t="s">
        <v>512</v>
      </c>
      <c r="B3" s="1">
        <f>'XFLR5 Twist Study'!B7</f>
        <v>0.52170246983857627</v>
      </c>
    </row>
    <row r="4" spans="1:16" x14ac:dyDescent="0.25">
      <c r="A4" s="44" t="s">
        <v>119</v>
      </c>
      <c r="B4">
        <f>MATCH($B$3,B9:B44,1)+ROW()+4</f>
        <v>21</v>
      </c>
      <c r="N4" s="37" t="s">
        <v>136</v>
      </c>
    </row>
    <row r="5" spans="1:16" x14ac:dyDescent="0.25">
      <c r="A5" s="45" t="s">
        <v>513</v>
      </c>
      <c r="B5">
        <f ca="1">INDIRECT(CONCATENATE("C",B4+1)) - (INDIRECT(CONCATENATE("B",B4+1))-$B$3) / (INDIRECT(CONCATENATE("B",B4+1))-INDIRECT(CONCATENATE("B",B4))) * (INDIRECT(CONCATENATE("C",B4+1)) - INDIRECT(CONCATENATE("C",B4)) )</f>
        <v>8.4960091707219874E-3</v>
      </c>
      <c r="N5" s="37" t="s">
        <v>137</v>
      </c>
      <c r="P5" s="1" t="s">
        <v>163</v>
      </c>
    </row>
    <row r="6" spans="1:16" x14ac:dyDescent="0.25">
      <c r="A6" s="1" t="s">
        <v>2</v>
      </c>
      <c r="B6" s="1">
        <f ca="1">$B$3^2/(PI()*$B$2*B5)</f>
        <v>0.99387914916829478</v>
      </c>
      <c r="N6" s="37" t="s">
        <v>138</v>
      </c>
    </row>
    <row r="7" spans="1:16" x14ac:dyDescent="0.25">
      <c r="N7" s="37" t="s">
        <v>135</v>
      </c>
    </row>
    <row r="8" spans="1:16" x14ac:dyDescent="0.25">
      <c r="A8" s="1" t="s">
        <v>128</v>
      </c>
      <c r="B8" s="1" t="s">
        <v>118</v>
      </c>
      <c r="C8" s="1" t="s">
        <v>149</v>
      </c>
      <c r="D8" s="1" t="s">
        <v>150</v>
      </c>
      <c r="E8" s="1" t="s">
        <v>151</v>
      </c>
      <c r="F8" s="1" t="s">
        <v>152</v>
      </c>
      <c r="G8" s="1" t="s">
        <v>153</v>
      </c>
      <c r="H8" s="1" t="s">
        <v>154</v>
      </c>
      <c r="I8" s="1" t="s">
        <v>155</v>
      </c>
      <c r="J8" s="1" t="s">
        <v>156</v>
      </c>
      <c r="K8" s="1" t="s">
        <v>157</v>
      </c>
      <c r="L8" s="1" t="s">
        <v>158</v>
      </c>
      <c r="N8" s="37" t="s">
        <v>139</v>
      </c>
    </row>
    <row r="9" spans="1:16" x14ac:dyDescent="0.25">
      <c r="A9" s="1">
        <v>-2.5</v>
      </c>
      <c r="B9" s="1">
        <v>-9.9982000000000001E-2</v>
      </c>
      <c r="C9" s="1">
        <v>1.0189999999999999E-3</v>
      </c>
      <c r="D9" s="1">
        <v>7.5950000000000002E-3</v>
      </c>
      <c r="E9" s="1">
        <v>8.6140000000000001E-3</v>
      </c>
      <c r="F9" s="1">
        <v>0</v>
      </c>
      <c r="G9" s="1">
        <v>0.131526</v>
      </c>
      <c r="H9" s="1">
        <v>0</v>
      </c>
      <c r="I9" s="1">
        <v>0</v>
      </c>
      <c r="J9" s="1">
        <v>0</v>
      </c>
      <c r="K9" s="1">
        <v>92.601299999999995</v>
      </c>
      <c r="L9" s="1">
        <v>1.9132</v>
      </c>
      <c r="N9" s="37" t="s">
        <v>140</v>
      </c>
    </row>
    <row r="10" spans="1:16" x14ac:dyDescent="0.25">
      <c r="A10" s="1">
        <v>-2</v>
      </c>
      <c r="B10" s="1">
        <v>-5.1019000000000002E-2</v>
      </c>
      <c r="C10" s="1">
        <v>6.8099999999999996E-4</v>
      </c>
      <c r="D10" s="1">
        <v>7.3790000000000001E-3</v>
      </c>
      <c r="E10" s="1">
        <v>8.0599999999999995E-3</v>
      </c>
      <c r="F10" s="1">
        <v>0</v>
      </c>
      <c r="G10" s="1">
        <v>0.11279599999999999</v>
      </c>
      <c r="H10" s="1">
        <v>0</v>
      </c>
      <c r="I10" s="1">
        <v>0</v>
      </c>
      <c r="J10" s="1">
        <v>0</v>
      </c>
      <c r="K10" s="1">
        <v>92.601299999999995</v>
      </c>
      <c r="L10" s="1">
        <v>3.0076000000000001</v>
      </c>
      <c r="N10" s="37" t="s">
        <v>141</v>
      </c>
    </row>
    <row r="11" spans="1:16" x14ac:dyDescent="0.25">
      <c r="A11" s="1">
        <v>-1.5</v>
      </c>
      <c r="B11" s="1">
        <v>-2.0639999999999999E-3</v>
      </c>
      <c r="C11" s="1">
        <v>5.0000000000000001E-4</v>
      </c>
      <c r="D11" s="1">
        <v>7.1640000000000002E-3</v>
      </c>
      <c r="E11" s="1">
        <v>7.6639999999999998E-3</v>
      </c>
      <c r="F11" s="1">
        <v>0</v>
      </c>
      <c r="G11" s="1">
        <v>9.4353999999999993E-2</v>
      </c>
      <c r="H11" s="1">
        <v>0</v>
      </c>
      <c r="I11" s="1">
        <v>0</v>
      </c>
      <c r="J11" s="1">
        <v>0</v>
      </c>
      <c r="K11" s="1">
        <v>92.601299999999995</v>
      </c>
      <c r="L11" s="1">
        <v>56.1477</v>
      </c>
      <c r="N11" s="37" t="s">
        <v>142</v>
      </c>
    </row>
    <row r="12" spans="1:16" x14ac:dyDescent="0.25">
      <c r="A12" s="1">
        <v>-1</v>
      </c>
      <c r="B12" s="1">
        <v>4.6882E-2</v>
      </c>
      <c r="C12" s="1">
        <v>4.7600000000000002E-4</v>
      </c>
      <c r="D12" s="1">
        <v>6.9470000000000001E-3</v>
      </c>
      <c r="E12" s="1">
        <v>7.4229999999999999E-3</v>
      </c>
      <c r="F12" s="1">
        <v>0</v>
      </c>
      <c r="G12" s="1">
        <v>7.6228000000000004E-2</v>
      </c>
      <c r="H12" s="1">
        <v>0</v>
      </c>
      <c r="I12" s="1">
        <v>0</v>
      </c>
      <c r="J12" s="1">
        <v>0</v>
      </c>
      <c r="K12" s="1">
        <v>92.601299999999995</v>
      </c>
      <c r="L12" s="1">
        <v>-1.6759999999999999</v>
      </c>
      <c r="N12" s="37" t="s">
        <v>143</v>
      </c>
    </row>
    <row r="13" spans="1:16" x14ac:dyDescent="0.25">
      <c r="A13" s="1">
        <v>-0.5</v>
      </c>
      <c r="B13" s="1">
        <v>9.5814999999999997E-2</v>
      </c>
      <c r="C13" s="1">
        <v>6.0999999999999997E-4</v>
      </c>
      <c r="D13" s="1">
        <v>6.6959999999999997E-3</v>
      </c>
      <c r="E13" s="1">
        <v>7.306E-3</v>
      </c>
      <c r="F13" s="1">
        <v>0</v>
      </c>
      <c r="G13" s="1">
        <v>5.8451000000000003E-2</v>
      </c>
      <c r="H13" s="1">
        <v>0</v>
      </c>
      <c r="I13" s="1">
        <v>0</v>
      </c>
      <c r="J13" s="1">
        <v>0</v>
      </c>
      <c r="K13" s="1">
        <v>92.601299999999995</v>
      </c>
      <c r="L13" s="1">
        <v>-0.43369999999999997</v>
      </c>
      <c r="N13" s="37" t="s">
        <v>162</v>
      </c>
    </row>
    <row r="14" spans="1:16" x14ac:dyDescent="0.25">
      <c r="A14" s="1">
        <v>0</v>
      </c>
      <c r="B14" s="1">
        <v>0.144735</v>
      </c>
      <c r="C14" s="1">
        <v>9.01E-4</v>
      </c>
      <c r="D14" s="1">
        <v>6.4229999999999999E-3</v>
      </c>
      <c r="E14" s="1">
        <v>7.3249999999999999E-3</v>
      </c>
      <c r="F14" s="1">
        <v>0</v>
      </c>
      <c r="G14" s="1">
        <v>4.1051999999999998E-2</v>
      </c>
      <c r="H14" s="1">
        <v>0</v>
      </c>
      <c r="I14" s="1">
        <v>0</v>
      </c>
      <c r="J14" s="1">
        <v>0</v>
      </c>
      <c r="K14" s="1">
        <v>92.601299999999995</v>
      </c>
      <c r="L14" s="1">
        <v>-3.3500000000000002E-2</v>
      </c>
      <c r="N14" s="37" t="s">
        <v>144</v>
      </c>
    </row>
    <row r="15" spans="1:16" x14ac:dyDescent="0.25">
      <c r="A15" s="1">
        <v>0.5</v>
      </c>
      <c r="B15" s="1">
        <v>0.19363900000000001</v>
      </c>
      <c r="C15" s="1">
        <v>1.351E-3</v>
      </c>
      <c r="D15" s="1">
        <v>6.0289999999999996E-3</v>
      </c>
      <c r="E15" s="1">
        <v>7.3800000000000003E-3</v>
      </c>
      <c r="F15" s="1">
        <v>0</v>
      </c>
      <c r="G15" s="1">
        <v>2.4070999999999999E-2</v>
      </c>
      <c r="H15" s="1">
        <v>0</v>
      </c>
      <c r="I15" s="1">
        <v>0</v>
      </c>
      <c r="J15" s="1">
        <v>0</v>
      </c>
      <c r="K15" s="1">
        <v>92.601299999999995</v>
      </c>
      <c r="L15" s="1">
        <v>0.16300000000000001</v>
      </c>
      <c r="N15" s="37" t="s">
        <v>145</v>
      </c>
    </row>
    <row r="16" spans="1:16" x14ac:dyDescent="0.25">
      <c r="A16" s="1">
        <v>1</v>
      </c>
      <c r="B16" s="1">
        <v>0.24252599999999999</v>
      </c>
      <c r="C16" s="1">
        <v>1.9589999999999998E-3</v>
      </c>
      <c r="D16" s="1">
        <v>5.4819999999999999E-3</v>
      </c>
      <c r="E16" s="1">
        <v>7.4409999999999997E-3</v>
      </c>
      <c r="F16" s="1">
        <v>0</v>
      </c>
      <c r="G16" s="1">
        <v>7.5500000000000003E-3</v>
      </c>
      <c r="H16" s="1">
        <v>0</v>
      </c>
      <c r="I16" s="1">
        <v>0</v>
      </c>
      <c r="J16" s="1">
        <v>0</v>
      </c>
      <c r="K16" s="1">
        <v>92.601299999999995</v>
      </c>
      <c r="L16" s="1">
        <v>0.27900000000000003</v>
      </c>
      <c r="N16" s="37" t="s">
        <v>475</v>
      </c>
    </row>
    <row r="17" spans="1:14" x14ac:dyDescent="0.25">
      <c r="A17" s="1">
        <v>1.5</v>
      </c>
      <c r="B17" s="1">
        <v>0.29139300000000001</v>
      </c>
      <c r="C17" s="1">
        <v>2.725E-3</v>
      </c>
      <c r="D17" s="1">
        <v>4.6189999999999998E-3</v>
      </c>
      <c r="E17" s="1">
        <v>7.3439999999999998E-3</v>
      </c>
      <c r="F17" s="1">
        <v>0</v>
      </c>
      <c r="G17" s="1">
        <v>-8.4510000000000002E-3</v>
      </c>
      <c r="H17" s="1">
        <v>0</v>
      </c>
      <c r="I17" s="1">
        <v>0</v>
      </c>
      <c r="J17" s="1">
        <v>0</v>
      </c>
      <c r="K17" s="1">
        <v>92.601299999999995</v>
      </c>
      <c r="L17" s="1">
        <v>0.35499999999999998</v>
      </c>
      <c r="N17" s="37" t="s">
        <v>146</v>
      </c>
    </row>
    <row r="18" spans="1:14" x14ac:dyDescent="0.25">
      <c r="A18" s="1">
        <v>2</v>
      </c>
      <c r="B18" s="1">
        <v>0.34023900000000001</v>
      </c>
      <c r="C18" s="1">
        <v>3.65E-3</v>
      </c>
      <c r="D18" s="1">
        <v>4.2690000000000002E-3</v>
      </c>
      <c r="E18" s="1">
        <v>7.9190000000000007E-3</v>
      </c>
      <c r="F18" s="1">
        <v>0</v>
      </c>
      <c r="G18" s="1">
        <v>-2.4136999999999999E-2</v>
      </c>
      <c r="H18" s="1">
        <v>0</v>
      </c>
      <c r="I18" s="1">
        <v>0</v>
      </c>
      <c r="J18" s="1">
        <v>0</v>
      </c>
      <c r="K18" s="1">
        <v>92.601299999999995</v>
      </c>
      <c r="L18" s="1">
        <v>0.40820000000000001</v>
      </c>
      <c r="N18" s="37" t="s">
        <v>147</v>
      </c>
    </row>
    <row r="19" spans="1:14" x14ac:dyDescent="0.25">
      <c r="A19" s="1">
        <v>2.5</v>
      </c>
      <c r="B19" s="1">
        <v>0.38906200000000002</v>
      </c>
      <c r="C19" s="1">
        <v>4.7330000000000002E-3</v>
      </c>
      <c r="D19" s="1">
        <v>4.1809999999999998E-3</v>
      </c>
      <c r="E19" s="1">
        <v>8.914E-3</v>
      </c>
      <c r="F19" s="1">
        <v>0</v>
      </c>
      <c r="G19" s="1">
        <v>-3.9383000000000001E-2</v>
      </c>
      <c r="H19" s="1">
        <v>0</v>
      </c>
      <c r="I19" s="1">
        <v>0</v>
      </c>
      <c r="J19" s="1">
        <v>0</v>
      </c>
      <c r="K19" s="1">
        <v>92.601299999999995</v>
      </c>
      <c r="L19" s="1">
        <v>0.44719999999999999</v>
      </c>
      <c r="N19" s="37" t="s">
        <v>631</v>
      </c>
    </row>
    <row r="20" spans="1:14" x14ac:dyDescent="0.25">
      <c r="A20" s="1">
        <v>3</v>
      </c>
      <c r="B20" s="1">
        <v>0.43786000000000003</v>
      </c>
      <c r="C20" s="1">
        <v>5.9750000000000003E-3</v>
      </c>
      <c r="D20" s="1">
        <v>4.2259999999999997E-3</v>
      </c>
      <c r="E20" s="1">
        <v>1.0200000000000001E-2</v>
      </c>
      <c r="F20" s="1">
        <v>0</v>
      </c>
      <c r="G20" s="1">
        <v>-5.4137999999999999E-2</v>
      </c>
      <c r="H20" s="1">
        <v>0</v>
      </c>
      <c r="I20" s="1">
        <v>0</v>
      </c>
      <c r="J20" s="1">
        <v>0</v>
      </c>
      <c r="K20" s="1">
        <v>92.601299999999995</v>
      </c>
      <c r="L20" s="1">
        <v>0.47670000000000001</v>
      </c>
      <c r="N20" s="37" t="s">
        <v>632</v>
      </c>
    </row>
    <row r="21" spans="1:14" x14ac:dyDescent="0.25">
      <c r="A21" s="1">
        <v>3.5</v>
      </c>
      <c r="B21" s="1">
        <v>0.48663099999999998</v>
      </c>
      <c r="C21" s="1">
        <v>7.3749999999999996E-3</v>
      </c>
      <c r="D21" s="1">
        <v>4.555E-3</v>
      </c>
      <c r="E21" s="1">
        <v>1.1929E-2</v>
      </c>
      <c r="F21" s="1">
        <v>0</v>
      </c>
      <c r="G21" s="1">
        <v>-6.8432999999999994E-2</v>
      </c>
      <c r="H21" s="1">
        <v>0</v>
      </c>
      <c r="I21" s="1">
        <v>0</v>
      </c>
      <c r="J21" s="1">
        <v>0</v>
      </c>
      <c r="K21" s="1">
        <v>92.601299999999995</v>
      </c>
      <c r="L21" s="1">
        <v>0.49959999999999999</v>
      </c>
      <c r="N21" s="37" t="s">
        <v>633</v>
      </c>
    </row>
    <row r="22" spans="1:14" x14ac:dyDescent="0.25">
      <c r="A22" s="1">
        <v>4</v>
      </c>
      <c r="B22" s="1">
        <v>0.53537400000000002</v>
      </c>
      <c r="C22" s="1">
        <v>8.933E-3</v>
      </c>
      <c r="D22" s="1">
        <v>5.3819999999999996E-3</v>
      </c>
      <c r="E22" s="1">
        <v>1.4316000000000001E-2</v>
      </c>
      <c r="F22" s="1">
        <v>0</v>
      </c>
      <c r="G22" s="1">
        <v>-8.2285999999999998E-2</v>
      </c>
      <c r="H22" s="1">
        <v>0</v>
      </c>
      <c r="I22" s="1">
        <v>0</v>
      </c>
      <c r="J22" s="1">
        <v>0</v>
      </c>
      <c r="K22" s="1">
        <v>92.601299999999995</v>
      </c>
      <c r="L22" s="1">
        <v>0.51770000000000005</v>
      </c>
      <c r="N22" s="37" t="s">
        <v>634</v>
      </c>
    </row>
    <row r="23" spans="1:14" x14ac:dyDescent="0.25">
      <c r="A23" s="1">
        <v>4.5</v>
      </c>
      <c r="B23" s="1">
        <v>0.58408499999999997</v>
      </c>
      <c r="C23" s="1">
        <v>1.0651000000000001E-2</v>
      </c>
      <c r="D23" s="1">
        <v>6.326E-3</v>
      </c>
      <c r="E23" s="1">
        <v>1.6976999999999999E-2</v>
      </c>
      <c r="F23" s="1">
        <v>0</v>
      </c>
      <c r="G23" s="1">
        <v>-9.5568E-2</v>
      </c>
      <c r="H23" s="1">
        <v>0</v>
      </c>
      <c r="I23" s="1">
        <v>0</v>
      </c>
      <c r="J23" s="1">
        <v>0</v>
      </c>
      <c r="K23" s="1">
        <v>92.601299999999995</v>
      </c>
      <c r="L23" s="1">
        <v>0.53210000000000002</v>
      </c>
      <c r="N23" s="37" t="s">
        <v>635</v>
      </c>
    </row>
    <row r="24" spans="1:14" x14ac:dyDescent="0.25">
      <c r="A24" s="1">
        <v>5</v>
      </c>
      <c r="B24" s="1">
        <v>0.63276399999999999</v>
      </c>
      <c r="C24" s="1">
        <v>1.2527E-2</v>
      </c>
      <c r="D24" s="1">
        <v>7.143E-3</v>
      </c>
      <c r="E24" s="1">
        <v>1.967E-2</v>
      </c>
      <c r="F24" s="1">
        <v>0</v>
      </c>
      <c r="G24" s="1">
        <v>-0.108205</v>
      </c>
      <c r="H24" s="1">
        <v>0</v>
      </c>
      <c r="I24" s="1">
        <v>0</v>
      </c>
      <c r="J24" s="1">
        <v>0</v>
      </c>
      <c r="K24" s="1">
        <v>92.601299999999995</v>
      </c>
      <c r="L24" s="1">
        <v>0.54379999999999995</v>
      </c>
      <c r="N24" s="37" t="s">
        <v>636</v>
      </c>
    </row>
    <row r="25" spans="1:14" x14ac:dyDescent="0.25">
      <c r="A25" s="1">
        <v>5.5</v>
      </c>
      <c r="B25" s="1">
        <v>0.68140699999999998</v>
      </c>
      <c r="C25" s="1">
        <v>1.4565E-2</v>
      </c>
      <c r="D25" s="1">
        <v>7.8410000000000007E-3</v>
      </c>
      <c r="E25" s="1">
        <v>2.2407E-2</v>
      </c>
      <c r="F25" s="1">
        <v>0</v>
      </c>
      <c r="G25" s="1">
        <v>-0.12017799999999999</v>
      </c>
      <c r="H25" s="1">
        <v>0</v>
      </c>
      <c r="I25" s="1">
        <v>0</v>
      </c>
      <c r="J25" s="1">
        <v>0</v>
      </c>
      <c r="K25" s="1">
        <v>92.601299999999995</v>
      </c>
      <c r="L25" s="1">
        <v>0.55320000000000003</v>
      </c>
      <c r="N25" s="37" t="s">
        <v>637</v>
      </c>
    </row>
    <row r="26" spans="1:14" x14ac:dyDescent="0.25">
      <c r="A26" s="1">
        <v>6</v>
      </c>
      <c r="B26" s="1">
        <v>0.73001400000000005</v>
      </c>
      <c r="C26" s="1">
        <v>1.6771999999999999E-2</v>
      </c>
      <c r="D26" s="1">
        <v>8.4720000000000004E-3</v>
      </c>
      <c r="E26" s="1">
        <v>2.5243999999999999E-2</v>
      </c>
      <c r="F26" s="1">
        <v>0</v>
      </c>
      <c r="G26" s="1">
        <v>-0.13147900000000001</v>
      </c>
      <c r="H26" s="1">
        <v>0</v>
      </c>
      <c r="I26" s="1">
        <v>0</v>
      </c>
      <c r="J26" s="1">
        <v>0</v>
      </c>
      <c r="K26" s="1">
        <v>92.601299999999995</v>
      </c>
      <c r="L26" s="1">
        <v>0.56079999999999997</v>
      </c>
      <c r="N26" s="37" t="s">
        <v>638</v>
      </c>
    </row>
    <row r="27" spans="1:14" x14ac:dyDescent="0.25">
      <c r="A27" s="1">
        <v>6.5</v>
      </c>
      <c r="B27" s="1">
        <v>0.778586</v>
      </c>
      <c r="C27" s="1">
        <v>1.9175000000000001E-2</v>
      </c>
      <c r="D27" s="1">
        <v>9.025E-3</v>
      </c>
      <c r="E27" s="1">
        <v>2.8198999999999998E-2</v>
      </c>
      <c r="F27" s="1">
        <v>0</v>
      </c>
      <c r="G27" s="1">
        <v>-0.142066</v>
      </c>
      <c r="H27" s="1">
        <v>0</v>
      </c>
      <c r="I27" s="1">
        <v>0</v>
      </c>
      <c r="J27" s="1">
        <v>0</v>
      </c>
      <c r="K27" s="1">
        <v>92.601299999999995</v>
      </c>
      <c r="L27" s="1">
        <v>0.56689999999999996</v>
      </c>
      <c r="N27" s="37" t="s">
        <v>639</v>
      </c>
    </row>
    <row r="28" spans="1:14" x14ac:dyDescent="0.25">
      <c r="A28" s="1">
        <v>7</v>
      </c>
      <c r="B28" s="1">
        <v>0.82714699999999997</v>
      </c>
      <c r="C28" s="1">
        <v>2.1892000000000002E-2</v>
      </c>
      <c r="D28" s="1">
        <v>9.554E-3</v>
      </c>
      <c r="E28" s="1">
        <v>3.1446000000000002E-2</v>
      </c>
      <c r="F28" s="1">
        <v>0</v>
      </c>
      <c r="G28" s="1">
        <v>-0.151922</v>
      </c>
      <c r="H28" s="1">
        <v>0</v>
      </c>
      <c r="I28" s="1">
        <v>0</v>
      </c>
      <c r="J28" s="1">
        <v>0</v>
      </c>
      <c r="K28" s="1">
        <v>92.601299999999995</v>
      </c>
      <c r="L28" s="1">
        <v>0.57169999999999999</v>
      </c>
      <c r="N28" s="37" t="s">
        <v>640</v>
      </c>
    </row>
    <row r="29" spans="1:14" x14ac:dyDescent="0.25">
      <c r="A29" s="1">
        <v>7.5</v>
      </c>
      <c r="B29" s="1">
        <v>0.87641999999999998</v>
      </c>
      <c r="C29" s="1">
        <v>2.6377999999999999E-2</v>
      </c>
      <c r="D29" s="1">
        <v>1.0137E-2</v>
      </c>
      <c r="E29" s="1">
        <v>3.6513999999999998E-2</v>
      </c>
      <c r="F29" s="1">
        <v>0</v>
      </c>
      <c r="G29" s="1">
        <v>-0.16142000000000001</v>
      </c>
      <c r="H29" s="1">
        <v>0</v>
      </c>
      <c r="I29" s="1">
        <v>0</v>
      </c>
      <c r="J29" s="1">
        <v>0</v>
      </c>
      <c r="K29" s="1">
        <v>92.601299999999995</v>
      </c>
      <c r="L29" s="1">
        <v>0.5756</v>
      </c>
      <c r="N29" s="37" t="s">
        <v>641</v>
      </c>
    </row>
    <row r="30" spans="1:14" x14ac:dyDescent="0.25">
      <c r="A30" s="1">
        <v>8</v>
      </c>
      <c r="B30" s="1">
        <v>0.92276499999999995</v>
      </c>
      <c r="C30" s="1">
        <v>2.4611999999999998E-2</v>
      </c>
      <c r="D30" s="1">
        <v>1.0717000000000001E-2</v>
      </c>
      <c r="E30" s="1">
        <v>3.5328999999999999E-2</v>
      </c>
      <c r="F30" s="1">
        <v>0</v>
      </c>
      <c r="G30" s="1">
        <v>-0.17306099999999999</v>
      </c>
      <c r="H30" s="1">
        <v>0</v>
      </c>
      <c r="I30" s="1">
        <v>0</v>
      </c>
      <c r="J30" s="1">
        <v>0</v>
      </c>
      <c r="K30" s="1">
        <v>92.601299999999995</v>
      </c>
      <c r="L30" s="1">
        <v>0.58450000000000002</v>
      </c>
      <c r="N30" s="37" t="s">
        <v>642</v>
      </c>
    </row>
    <row r="31" spans="1:14" x14ac:dyDescent="0.25">
      <c r="A31" s="1">
        <v>8.5</v>
      </c>
      <c r="B31" s="1">
        <v>0.97250300000000001</v>
      </c>
      <c r="C31" s="1">
        <v>3.0268E-2</v>
      </c>
      <c r="D31" s="1">
        <v>1.1381E-2</v>
      </c>
      <c r="E31" s="1">
        <v>4.1648999999999999E-2</v>
      </c>
      <c r="F31" s="1">
        <v>0</v>
      </c>
      <c r="G31" s="1">
        <v>-0.182034</v>
      </c>
      <c r="H31" s="1">
        <v>0</v>
      </c>
      <c r="I31" s="1">
        <v>0</v>
      </c>
      <c r="J31" s="1">
        <v>0</v>
      </c>
      <c r="K31" s="1">
        <v>92.601299999999995</v>
      </c>
      <c r="L31" s="1">
        <v>0.58740000000000003</v>
      </c>
      <c r="N31" s="37" t="s">
        <v>643</v>
      </c>
    </row>
    <row r="32" spans="1:14" x14ac:dyDescent="0.25">
      <c r="A32" s="1">
        <v>9</v>
      </c>
      <c r="B32" s="1">
        <v>1.0192099999999999</v>
      </c>
      <c r="C32" s="1">
        <v>3.7670000000000002E-2</v>
      </c>
      <c r="D32" s="1">
        <v>1.1984E-2</v>
      </c>
      <c r="E32" s="1">
        <v>4.9653999999999997E-2</v>
      </c>
      <c r="F32" s="1">
        <v>0</v>
      </c>
      <c r="G32" s="1">
        <v>-0.18509900000000001</v>
      </c>
      <c r="H32" s="1">
        <v>0</v>
      </c>
      <c r="I32" s="1">
        <v>0</v>
      </c>
      <c r="J32" s="1">
        <v>0</v>
      </c>
      <c r="K32" s="1">
        <v>92.601299999999995</v>
      </c>
      <c r="L32" s="1">
        <v>0.58460000000000001</v>
      </c>
      <c r="N32" s="37" t="s">
        <v>644</v>
      </c>
    </row>
    <row r="33" spans="1:14" x14ac:dyDescent="0.25">
      <c r="A33" s="1">
        <v>9.5</v>
      </c>
      <c r="B33" s="1">
        <v>1.0696639999999999</v>
      </c>
      <c r="C33" s="1">
        <v>3.5791000000000003E-2</v>
      </c>
      <c r="D33" s="1">
        <v>1.261E-2</v>
      </c>
      <c r="E33" s="1">
        <v>4.8399999999999999E-2</v>
      </c>
      <c r="F33" s="1">
        <v>0</v>
      </c>
      <c r="G33" s="1">
        <v>-0.19914399999999999</v>
      </c>
      <c r="H33" s="1">
        <v>0</v>
      </c>
      <c r="I33" s="1">
        <v>0</v>
      </c>
      <c r="J33" s="1">
        <v>0</v>
      </c>
      <c r="K33" s="1">
        <v>92.601299999999995</v>
      </c>
      <c r="L33" s="1">
        <v>0.59430000000000005</v>
      </c>
      <c r="N33" s="37" t="s">
        <v>645</v>
      </c>
    </row>
    <row r="34" spans="1:14" x14ac:dyDescent="0.25">
      <c r="A34" s="1">
        <v>10</v>
      </c>
      <c r="B34" s="1">
        <v>1.117224</v>
      </c>
      <c r="C34" s="1">
        <v>4.0922E-2</v>
      </c>
      <c r="D34" s="1">
        <v>1.3245E-2</v>
      </c>
      <c r="E34" s="1">
        <v>5.4167E-2</v>
      </c>
      <c r="F34" s="1">
        <v>0</v>
      </c>
      <c r="G34" s="1">
        <v>-0.201959</v>
      </c>
      <c r="H34" s="1">
        <v>0</v>
      </c>
      <c r="I34" s="1">
        <v>0</v>
      </c>
      <c r="J34" s="1">
        <v>0</v>
      </c>
      <c r="K34" s="1">
        <v>92.601299999999995</v>
      </c>
      <c r="L34" s="1">
        <v>0.5917</v>
      </c>
      <c r="N34" s="37" t="s">
        <v>646</v>
      </c>
    </row>
    <row r="35" spans="1:14" x14ac:dyDescent="0.25">
      <c r="A35" s="1">
        <v>10.5</v>
      </c>
      <c r="B35" s="1">
        <v>1.166849</v>
      </c>
      <c r="C35" s="1">
        <v>4.3640999999999999E-2</v>
      </c>
      <c r="D35" s="1">
        <v>1.3929E-2</v>
      </c>
      <c r="E35" s="1">
        <v>5.7570000000000003E-2</v>
      </c>
      <c r="F35" s="1">
        <v>0</v>
      </c>
      <c r="G35" s="1">
        <v>-0.21184600000000001</v>
      </c>
      <c r="H35" s="1">
        <v>0</v>
      </c>
      <c r="I35" s="1">
        <v>0</v>
      </c>
      <c r="J35" s="1">
        <v>0</v>
      </c>
      <c r="K35" s="1">
        <v>92.601299999999995</v>
      </c>
      <c r="L35" s="1">
        <v>0.59709999999999996</v>
      </c>
      <c r="N35" s="37" t="s">
        <v>647</v>
      </c>
    </row>
    <row r="36" spans="1:14" x14ac:dyDescent="0.25">
      <c r="A36" s="1">
        <v>11</v>
      </c>
      <c r="B36" s="1">
        <v>1.2169140000000001</v>
      </c>
      <c r="C36" s="1">
        <v>4.7468999999999997E-2</v>
      </c>
      <c r="D36" s="1">
        <v>1.464E-2</v>
      </c>
      <c r="E36" s="1">
        <v>6.2107999999999997E-2</v>
      </c>
      <c r="F36" s="1">
        <v>0</v>
      </c>
      <c r="G36" s="1">
        <v>-0.222194</v>
      </c>
      <c r="H36" s="1">
        <v>0</v>
      </c>
      <c r="I36" s="1">
        <v>0</v>
      </c>
      <c r="J36" s="1">
        <v>0</v>
      </c>
      <c r="K36" s="1">
        <v>92.601299999999995</v>
      </c>
      <c r="L36" s="1">
        <v>0.60289999999999999</v>
      </c>
      <c r="N36" s="37" t="s">
        <v>648</v>
      </c>
    </row>
    <row r="37" spans="1:14" x14ac:dyDescent="0.25">
      <c r="A37" s="1">
        <v>11.5</v>
      </c>
      <c r="B37" s="1">
        <v>1.265865</v>
      </c>
      <c r="C37" s="1">
        <v>5.1404999999999999E-2</v>
      </c>
      <c r="D37" s="1">
        <v>1.541E-2</v>
      </c>
      <c r="E37" s="1">
        <v>6.6814999999999999E-2</v>
      </c>
      <c r="F37" s="1">
        <v>0</v>
      </c>
      <c r="G37" s="1">
        <v>-0.228768</v>
      </c>
      <c r="H37" s="1">
        <v>0</v>
      </c>
      <c r="I37" s="1">
        <v>0</v>
      </c>
      <c r="J37" s="1">
        <v>0</v>
      </c>
      <c r="K37" s="1">
        <v>92.601299999999995</v>
      </c>
      <c r="L37" s="1">
        <v>0.60519999999999996</v>
      </c>
      <c r="N37" s="37" t="s">
        <v>649</v>
      </c>
    </row>
    <row r="38" spans="1:14" x14ac:dyDescent="0.25">
      <c r="A38" s="1">
        <v>12</v>
      </c>
      <c r="B38" s="1">
        <v>1.3155920000000001</v>
      </c>
      <c r="C38" s="1">
        <v>5.5592999999999997E-2</v>
      </c>
      <c r="D38" s="1">
        <v>1.6239E-2</v>
      </c>
      <c r="E38" s="1">
        <v>7.1831999999999993E-2</v>
      </c>
      <c r="F38" s="1">
        <v>0</v>
      </c>
      <c r="G38" s="1">
        <v>-0.23648</v>
      </c>
      <c r="H38" s="1">
        <v>0</v>
      </c>
      <c r="I38" s="1">
        <v>0</v>
      </c>
      <c r="J38" s="1">
        <v>0</v>
      </c>
      <c r="K38" s="1">
        <v>92.601299999999995</v>
      </c>
      <c r="L38" s="1">
        <v>0.60880000000000001</v>
      </c>
      <c r="N38" s="37" t="s">
        <v>650</v>
      </c>
    </row>
    <row r="39" spans="1:14" x14ac:dyDescent="0.25">
      <c r="A39" s="1">
        <v>12.5</v>
      </c>
      <c r="B39" s="1">
        <v>1.3648670000000001</v>
      </c>
      <c r="C39" s="1">
        <v>5.9887000000000003E-2</v>
      </c>
      <c r="D39" s="1">
        <v>1.7131E-2</v>
      </c>
      <c r="E39" s="1">
        <v>7.7018000000000003E-2</v>
      </c>
      <c r="F39" s="1">
        <v>0</v>
      </c>
      <c r="G39" s="1">
        <v>-0.242314</v>
      </c>
      <c r="H39" s="1">
        <v>0</v>
      </c>
      <c r="I39" s="1">
        <v>0</v>
      </c>
      <c r="J39" s="1">
        <v>0</v>
      </c>
      <c r="K39" s="1">
        <v>92.601299999999995</v>
      </c>
      <c r="L39" s="1">
        <v>0.61099999999999999</v>
      </c>
      <c r="N39" s="37" t="s">
        <v>651</v>
      </c>
    </row>
    <row r="40" spans="1:14" x14ac:dyDescent="0.25">
      <c r="A40" s="1">
        <v>13</v>
      </c>
      <c r="B40" s="1">
        <v>1.4140710000000001</v>
      </c>
      <c r="C40" s="1">
        <v>6.4327999999999996E-2</v>
      </c>
      <c r="D40" s="1">
        <v>1.8110000000000001E-2</v>
      </c>
      <c r="E40" s="1">
        <v>8.2437999999999997E-2</v>
      </c>
      <c r="F40" s="1">
        <v>0</v>
      </c>
      <c r="G40" s="1">
        <v>-0.24723700000000001</v>
      </c>
      <c r="H40" s="1">
        <v>0</v>
      </c>
      <c r="I40" s="1">
        <v>0</v>
      </c>
      <c r="J40" s="1">
        <v>0</v>
      </c>
      <c r="K40" s="1">
        <v>92.601299999999995</v>
      </c>
      <c r="L40" s="1">
        <v>0.61270000000000002</v>
      </c>
      <c r="N40" s="37" t="s">
        <v>652</v>
      </c>
    </row>
    <row r="41" spans="1:14" x14ac:dyDescent="0.25">
      <c r="A41" s="1">
        <v>13.5</v>
      </c>
      <c r="B41" s="1">
        <v>1.463241</v>
      </c>
      <c r="C41" s="1">
        <v>6.8920999999999996E-2</v>
      </c>
      <c r="D41" s="1">
        <v>1.9141999999999999E-2</v>
      </c>
      <c r="E41" s="1">
        <v>8.8063000000000002E-2</v>
      </c>
      <c r="F41" s="1">
        <v>0</v>
      </c>
      <c r="G41" s="1">
        <v>-0.25133299999999997</v>
      </c>
      <c r="H41" s="1">
        <v>0</v>
      </c>
      <c r="I41" s="1">
        <v>0</v>
      </c>
      <c r="J41" s="1">
        <v>0</v>
      </c>
      <c r="K41" s="1">
        <v>92.601299999999995</v>
      </c>
      <c r="L41" s="1">
        <v>0.61409999999999998</v>
      </c>
      <c r="N41" s="37" t="s">
        <v>653</v>
      </c>
    </row>
    <row r="42" spans="1:14" x14ac:dyDescent="0.25">
      <c r="A42" s="1">
        <v>14</v>
      </c>
      <c r="B42" s="1">
        <v>1.5123960000000001</v>
      </c>
      <c r="C42" s="1">
        <v>7.3666999999999996E-2</v>
      </c>
      <c r="D42" s="1">
        <v>2.0205999999999998E-2</v>
      </c>
      <c r="E42" s="1">
        <v>9.3873999999999999E-2</v>
      </c>
      <c r="F42" s="1">
        <v>0</v>
      </c>
      <c r="G42" s="1">
        <v>-0.25462299999999999</v>
      </c>
      <c r="H42" s="1">
        <v>0</v>
      </c>
      <c r="I42" s="1">
        <v>0</v>
      </c>
      <c r="J42" s="1">
        <v>0</v>
      </c>
      <c r="K42" s="1">
        <v>92.601299999999995</v>
      </c>
      <c r="L42" s="1">
        <v>0.61509999999999998</v>
      </c>
      <c r="N42" s="37" t="s">
        <v>654</v>
      </c>
    </row>
    <row r="43" spans="1:14" x14ac:dyDescent="0.25">
      <c r="A43" s="1">
        <v>14.5</v>
      </c>
      <c r="B43" s="1">
        <v>1.5615380000000001</v>
      </c>
      <c r="C43" s="1">
        <v>7.8566999999999998E-2</v>
      </c>
      <c r="D43" s="1">
        <v>2.1314E-2</v>
      </c>
      <c r="E43" s="1">
        <v>9.9880999999999998E-2</v>
      </c>
      <c r="F43" s="1">
        <v>0</v>
      </c>
      <c r="G43" s="1">
        <v>-0.25710300000000003</v>
      </c>
      <c r="H43" s="1">
        <v>0</v>
      </c>
      <c r="I43" s="1">
        <v>0</v>
      </c>
      <c r="J43" s="1">
        <v>0</v>
      </c>
      <c r="K43" s="1">
        <v>92.601299999999995</v>
      </c>
      <c r="L43" s="1">
        <v>0.61599999999999999</v>
      </c>
      <c r="N43" s="37" t="s">
        <v>655</v>
      </c>
    </row>
    <row r="44" spans="1:14" x14ac:dyDescent="0.25">
      <c r="A44" s="1">
        <v>15</v>
      </c>
      <c r="B44" s="1">
        <v>1.6106670000000001</v>
      </c>
      <c r="C44" s="1">
        <v>8.362E-2</v>
      </c>
      <c r="D44" s="1">
        <v>2.2540000000000001E-2</v>
      </c>
      <c r="E44" s="1">
        <v>0.10616</v>
      </c>
      <c r="F44" s="1">
        <v>0</v>
      </c>
      <c r="G44" s="1">
        <v>-0.258772</v>
      </c>
      <c r="H44" s="1">
        <v>0</v>
      </c>
      <c r="I44" s="1">
        <v>0</v>
      </c>
      <c r="J44" s="1">
        <v>0</v>
      </c>
      <c r="K44" s="1">
        <v>92.601299999999995</v>
      </c>
      <c r="L44" s="1">
        <v>0.61660000000000004</v>
      </c>
      <c r="N44" s="37" t="s">
        <v>656</v>
      </c>
    </row>
    <row r="45" spans="1:14" x14ac:dyDescent="0.25">
      <c r="N45" s="37" t="s">
        <v>657</v>
      </c>
    </row>
    <row r="46" spans="1:14" x14ac:dyDescent="0.25">
      <c r="N46" s="37" t="s">
        <v>658</v>
      </c>
    </row>
    <row r="47" spans="1:14" x14ac:dyDescent="0.25">
      <c r="N47" s="37" t="s">
        <v>659</v>
      </c>
    </row>
    <row r="48" spans="1:14" x14ac:dyDescent="0.25">
      <c r="N48" s="37" t="s">
        <v>660</v>
      </c>
    </row>
    <row r="49" spans="14:14" x14ac:dyDescent="0.25">
      <c r="N49" s="37" t="s">
        <v>661</v>
      </c>
    </row>
    <row r="50" spans="14:14" x14ac:dyDescent="0.25">
      <c r="N50" s="37" t="s">
        <v>662</v>
      </c>
    </row>
    <row r="51" spans="14:14" x14ac:dyDescent="0.25">
      <c r="N51" s="37" t="s">
        <v>663</v>
      </c>
    </row>
    <row r="52" spans="14:14" x14ac:dyDescent="0.25">
      <c r="N52" s="37" t="s">
        <v>664</v>
      </c>
    </row>
    <row r="53" spans="14:14" x14ac:dyDescent="0.25">
      <c r="N53" s="37" t="s">
        <v>665</v>
      </c>
    </row>
    <row r="54" spans="14:14" x14ac:dyDescent="0.25">
      <c r="N54" s="37" t="s">
        <v>666</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M1030"/>
  <sheetViews>
    <sheetView workbookViewId="0">
      <selection activeCell="O20" sqref="O20"/>
    </sheetView>
  </sheetViews>
  <sheetFormatPr defaultColWidth="8.88671875" defaultRowHeight="13.2" x14ac:dyDescent="0.25"/>
  <cols>
    <col min="1" max="12" width="8.88671875" style="1"/>
    <col min="13" max="13" width="1.6640625" style="1" customWidth="1"/>
    <col min="14" max="14" width="13.88671875" style="1" bestFit="1" customWidth="1"/>
    <col min="15" max="15" width="12" style="1" bestFit="1" customWidth="1"/>
    <col min="16" max="16" width="15.33203125" style="1" bestFit="1" customWidth="1"/>
    <col min="17" max="17" width="12" style="1" bestFit="1" customWidth="1"/>
    <col min="18" max="18" width="11.44140625" style="1" customWidth="1"/>
    <col min="19" max="19" width="3.33203125" style="1" customWidth="1"/>
    <col min="20" max="20" width="8.88671875" style="7" customWidth="1"/>
    <col min="21" max="31" width="8.88671875" style="7"/>
    <col min="32" max="32" width="1.6640625" style="1" customWidth="1"/>
    <col min="33" max="33" width="13.88671875" style="1" customWidth="1"/>
    <col min="34" max="34" width="12" style="1" customWidth="1"/>
    <col min="35" max="35" width="15.33203125" style="1" customWidth="1"/>
    <col min="36" max="36" width="12" style="1" customWidth="1"/>
    <col min="37" max="37" width="2.88671875" style="1" customWidth="1"/>
    <col min="38" max="38" width="15.5546875" style="1" customWidth="1"/>
    <col min="39" max="39" width="10.88671875" style="1" customWidth="1"/>
    <col min="40" max="40" width="3.6640625" style="1" customWidth="1"/>
    <col min="41" max="16384" width="8.88671875" style="1"/>
  </cols>
  <sheetData>
    <row r="1" spans="1:39" x14ac:dyDescent="0.25">
      <c r="A1" s="13" t="s">
        <v>963</v>
      </c>
      <c r="T1" s="13" t="s">
        <v>966</v>
      </c>
      <c r="U1" s="1"/>
      <c r="V1" s="1"/>
      <c r="W1" s="1"/>
      <c r="X1" s="1"/>
      <c r="Y1" s="1"/>
      <c r="Z1" s="1"/>
      <c r="AA1" s="1"/>
      <c r="AB1" s="1"/>
      <c r="AC1" s="1"/>
      <c r="AD1" s="1"/>
      <c r="AE1" s="1"/>
      <c r="AL1" s="13" t="s">
        <v>976</v>
      </c>
    </row>
    <row r="2" spans="1:39" x14ac:dyDescent="0.25">
      <c r="T2" s="1"/>
      <c r="U2" s="1"/>
      <c r="V2" s="1"/>
      <c r="W2" s="1"/>
      <c r="X2" s="1"/>
      <c r="Y2" s="1"/>
      <c r="Z2" s="1"/>
      <c r="AA2" s="1"/>
      <c r="AB2" s="1"/>
      <c r="AC2" s="1"/>
      <c r="AD2" s="1"/>
      <c r="AE2" s="1"/>
    </row>
    <row r="3" spans="1:39" x14ac:dyDescent="0.25">
      <c r="T3" s="1"/>
      <c r="U3" s="1"/>
      <c r="V3" s="1"/>
      <c r="W3" s="1"/>
      <c r="X3" s="1"/>
      <c r="Y3" s="1"/>
      <c r="Z3" s="1"/>
      <c r="AA3" s="1"/>
      <c r="AB3" s="1"/>
      <c r="AC3" s="1"/>
      <c r="AD3" s="1"/>
      <c r="AE3" s="1"/>
    </row>
    <row r="4" spans="1:39" x14ac:dyDescent="0.25">
      <c r="T4" s="1"/>
      <c r="U4" s="1"/>
      <c r="V4" s="1"/>
      <c r="W4" s="1"/>
      <c r="X4" s="1"/>
      <c r="Y4" s="1"/>
      <c r="Z4" s="1"/>
      <c r="AA4" s="1"/>
      <c r="AB4" s="1"/>
      <c r="AC4" s="1"/>
      <c r="AD4" s="1"/>
      <c r="AE4" s="1"/>
    </row>
    <row r="5" spans="1:39" x14ac:dyDescent="0.25">
      <c r="T5" s="1"/>
      <c r="U5" s="1"/>
      <c r="V5" s="1"/>
      <c r="W5" s="1"/>
      <c r="X5" s="1"/>
      <c r="Y5" s="1"/>
      <c r="Z5" s="1"/>
      <c r="AA5" s="1"/>
      <c r="AB5" s="1"/>
      <c r="AC5" s="1"/>
      <c r="AD5" s="1"/>
      <c r="AE5" s="1"/>
    </row>
    <row r="6" spans="1:39" x14ac:dyDescent="0.25">
      <c r="T6" s="1"/>
      <c r="U6" s="1"/>
      <c r="V6" s="1"/>
      <c r="W6" s="1"/>
      <c r="X6" s="1"/>
      <c r="Y6" s="1"/>
      <c r="Z6" s="1"/>
      <c r="AA6" s="1"/>
      <c r="AB6" s="1"/>
      <c r="AC6" s="1"/>
      <c r="AD6" s="1"/>
      <c r="AE6" s="1"/>
    </row>
    <row r="7" spans="1:39" x14ac:dyDescent="0.25">
      <c r="T7" s="1"/>
      <c r="U7" s="1"/>
      <c r="V7" s="46"/>
      <c r="W7" s="1"/>
      <c r="X7" s="1"/>
      <c r="Y7" s="1"/>
      <c r="Z7" s="1"/>
      <c r="AA7" s="1"/>
      <c r="AB7" s="1"/>
      <c r="AC7" s="1"/>
      <c r="AD7" s="1"/>
      <c r="AE7" s="1"/>
    </row>
    <row r="8" spans="1:39" x14ac:dyDescent="0.25">
      <c r="T8" s="1"/>
      <c r="U8" s="1"/>
      <c r="V8" s="46"/>
      <c r="W8" s="1"/>
      <c r="X8" s="1"/>
      <c r="Y8" s="1"/>
      <c r="Z8" s="1"/>
      <c r="AA8" s="1"/>
      <c r="AB8" s="1"/>
      <c r="AC8" s="1"/>
      <c r="AD8" s="1"/>
      <c r="AE8" s="1"/>
    </row>
    <row r="9" spans="1:39" x14ac:dyDescent="0.25">
      <c r="T9" s="1"/>
      <c r="U9" s="1"/>
      <c r="V9" s="1"/>
      <c r="W9" s="1"/>
      <c r="X9" s="1"/>
      <c r="Y9" s="1"/>
      <c r="Z9" s="1"/>
      <c r="AA9" s="1"/>
      <c r="AB9" s="1"/>
      <c r="AC9" s="1"/>
      <c r="AD9" s="1"/>
      <c r="AE9" s="1"/>
    </row>
    <row r="10" spans="1:39" x14ac:dyDescent="0.25">
      <c r="T10" s="1"/>
      <c r="U10" s="1"/>
      <c r="V10" s="1"/>
      <c r="W10" s="1"/>
      <c r="X10" s="1"/>
      <c r="Y10" s="1"/>
      <c r="Z10" s="1"/>
      <c r="AA10" s="1"/>
      <c r="AB10" s="1"/>
      <c r="AC10" s="1"/>
      <c r="AD10" s="1"/>
      <c r="AE10" s="1"/>
    </row>
    <row r="11" spans="1:39" x14ac:dyDescent="0.25">
      <c r="T11" s="1"/>
      <c r="U11" s="1"/>
      <c r="V11" s="1"/>
      <c r="W11" s="1"/>
      <c r="X11" s="1"/>
      <c r="Y11" s="1"/>
      <c r="Z11" s="1"/>
      <c r="AA11" s="1"/>
      <c r="AB11" s="1"/>
      <c r="AC11" s="1"/>
      <c r="AD11" s="1"/>
      <c r="AE11" s="1"/>
    </row>
    <row r="12" spans="1:39" x14ac:dyDescent="0.25">
      <c r="T12" s="1"/>
      <c r="U12" s="1"/>
      <c r="V12" s="1"/>
      <c r="W12" s="1"/>
      <c r="X12" s="1"/>
      <c r="Y12" s="1"/>
      <c r="Z12" s="1"/>
      <c r="AA12" s="1"/>
      <c r="AB12" s="1"/>
      <c r="AC12" s="1"/>
      <c r="AD12" s="1"/>
      <c r="AE12" s="1"/>
    </row>
    <row r="13" spans="1:39" x14ac:dyDescent="0.25">
      <c r="T13" s="1"/>
      <c r="U13" s="1"/>
      <c r="V13" s="1"/>
      <c r="W13" s="1"/>
      <c r="X13" s="1"/>
      <c r="Y13" s="1"/>
      <c r="Z13" s="1"/>
      <c r="AA13" s="1"/>
      <c r="AB13" s="1"/>
      <c r="AC13" s="1"/>
      <c r="AD13" s="1"/>
      <c r="AE13" s="1"/>
    </row>
    <row r="14" spans="1:39" x14ac:dyDescent="0.25">
      <c r="T14" s="1"/>
      <c r="U14" s="1"/>
      <c r="V14" s="1"/>
      <c r="W14" s="1"/>
      <c r="X14" s="1"/>
      <c r="Y14" s="1"/>
      <c r="Z14" s="1"/>
      <c r="AA14" s="1"/>
      <c r="AB14" s="1"/>
      <c r="AC14" s="1"/>
      <c r="AD14" s="1"/>
      <c r="AE14" s="1"/>
    </row>
    <row r="15" spans="1:39" x14ac:dyDescent="0.25">
      <c r="T15" s="1"/>
      <c r="U15" s="1"/>
      <c r="V15" s="1"/>
      <c r="W15" s="1"/>
      <c r="X15" s="1"/>
      <c r="Y15" s="1"/>
      <c r="Z15" s="1"/>
      <c r="AA15" s="1"/>
      <c r="AB15" s="1"/>
      <c r="AC15" s="1"/>
      <c r="AD15" s="1"/>
      <c r="AE15" s="1"/>
    </row>
    <row r="16" spans="1:39" x14ac:dyDescent="0.25">
      <c r="N16" s="1" t="s">
        <v>970</v>
      </c>
      <c r="T16" s="1"/>
      <c r="U16" s="1"/>
      <c r="V16" s="1"/>
      <c r="W16" s="1"/>
      <c r="X16" s="1"/>
      <c r="Y16" s="1"/>
      <c r="Z16" s="1"/>
      <c r="AA16" s="1"/>
      <c r="AB16" s="1"/>
      <c r="AC16" s="1"/>
      <c r="AD16" s="1"/>
      <c r="AE16" s="1"/>
      <c r="AM16" s="14"/>
    </row>
    <row r="17" spans="1:39" x14ac:dyDescent="0.25">
      <c r="N17" s="1" t="s">
        <v>1</v>
      </c>
      <c r="O17" s="8">
        <v>10.26</v>
      </c>
      <c r="T17" s="1"/>
      <c r="U17" s="1"/>
      <c r="V17" s="1"/>
      <c r="W17" s="1"/>
      <c r="X17" s="1"/>
      <c r="Y17" s="1"/>
      <c r="Z17" s="1"/>
      <c r="AA17" s="1"/>
      <c r="AB17" s="1"/>
      <c r="AC17" s="1"/>
      <c r="AD17" s="1"/>
      <c r="AE17" s="1"/>
      <c r="AH17" s="7"/>
      <c r="AL17" s="99" t="s">
        <v>981</v>
      </c>
      <c r="AM17" s="99"/>
    </row>
    <row r="18" spans="1:39" x14ac:dyDescent="0.25">
      <c r="N18" s="1" t="s">
        <v>958</v>
      </c>
      <c r="O18" s="8">
        <v>19.277999999999999</v>
      </c>
      <c r="P18" s="1" t="s">
        <v>62</v>
      </c>
      <c r="T18" s="1"/>
      <c r="U18" s="1"/>
      <c r="V18" s="1"/>
      <c r="W18" s="1"/>
      <c r="X18" s="1"/>
      <c r="Y18" s="1"/>
      <c r="Z18" s="1"/>
      <c r="AA18" s="1"/>
      <c r="AB18" s="1"/>
      <c r="AC18" s="1"/>
      <c r="AD18" s="1"/>
      <c r="AE18" s="1"/>
      <c r="AG18" s="1" t="s">
        <v>975</v>
      </c>
    </row>
    <row r="19" spans="1:39" x14ac:dyDescent="0.25">
      <c r="N19" s="1" t="s">
        <v>959</v>
      </c>
      <c r="O19" s="8">
        <v>0.51</v>
      </c>
      <c r="P19" s="1" t="s">
        <v>62</v>
      </c>
      <c r="T19" s="1"/>
      <c r="U19" s="1"/>
      <c r="V19" s="1"/>
      <c r="W19" s="1"/>
      <c r="X19" s="1"/>
      <c r="Y19" s="1"/>
      <c r="Z19" s="1"/>
      <c r="AA19" s="1"/>
      <c r="AB19" s="1"/>
      <c r="AC19" s="1"/>
      <c r="AD19" s="1"/>
      <c r="AE19" s="1"/>
      <c r="AG19" s="1" t="s">
        <v>958</v>
      </c>
      <c r="AH19" s="8">
        <v>6.5</v>
      </c>
      <c r="AI19" s="1" t="s">
        <v>62</v>
      </c>
      <c r="AL19" s="1" t="s">
        <v>977</v>
      </c>
      <c r="AM19" s="1">
        <f>ROW($Q$25)</f>
        <v>25</v>
      </c>
    </row>
    <row r="20" spans="1:39" x14ac:dyDescent="0.25">
      <c r="N20" s="1" t="s">
        <v>118</v>
      </c>
      <c r="O20" s="8">
        <v>0.27179999999999999</v>
      </c>
      <c r="P20" s="1" t="s">
        <v>961</v>
      </c>
      <c r="T20" s="1"/>
      <c r="U20" s="1"/>
      <c r="V20" s="1"/>
      <c r="W20" s="1"/>
      <c r="X20" s="1"/>
      <c r="Y20" s="1"/>
      <c r="Z20" s="1"/>
      <c r="AA20" s="1"/>
      <c r="AB20" s="1"/>
      <c r="AC20" s="1"/>
      <c r="AD20" s="1"/>
      <c r="AE20" s="1"/>
      <c r="AG20" s="1" t="s">
        <v>959</v>
      </c>
      <c r="AH20" s="8">
        <v>1</v>
      </c>
      <c r="AI20" s="1" t="s">
        <v>62</v>
      </c>
      <c r="AL20" s="1" t="s">
        <v>978</v>
      </c>
      <c r="AM20" s="1">
        <f>MATCH(0,Q26:Q1030,0)+ROW($Q$25)</f>
        <v>108</v>
      </c>
    </row>
    <row r="21" spans="1:39" x14ac:dyDescent="0.25">
      <c r="T21" s="1"/>
      <c r="U21" s="1"/>
      <c r="V21" s="1"/>
      <c r="W21" s="1"/>
      <c r="X21" s="1"/>
      <c r="Y21" s="1"/>
      <c r="Z21" s="1"/>
      <c r="AA21" s="1"/>
      <c r="AB21" s="1"/>
      <c r="AC21" s="1"/>
      <c r="AD21" s="1"/>
      <c r="AE21" s="1"/>
      <c r="AL21" s="1" t="s">
        <v>979</v>
      </c>
      <c r="AM21" s="1">
        <f>ROW($AJ$25)</f>
        <v>25</v>
      </c>
    </row>
    <row r="22" spans="1:39" x14ac:dyDescent="0.25">
      <c r="A22" s="99" t="s">
        <v>968</v>
      </c>
      <c r="B22" s="99"/>
      <c r="C22" s="99"/>
      <c r="D22" s="99"/>
      <c r="E22" s="99"/>
      <c r="F22" s="99"/>
      <c r="G22" s="99"/>
      <c r="H22" s="99"/>
      <c r="I22" s="99"/>
      <c r="J22" s="99"/>
      <c r="K22" s="99"/>
      <c r="L22" s="99"/>
      <c r="N22" s="99" t="s">
        <v>967</v>
      </c>
      <c r="O22" s="99"/>
      <c r="P22" s="99"/>
      <c r="Q22" s="99"/>
      <c r="R22" s="99"/>
      <c r="T22" s="99" t="s">
        <v>969</v>
      </c>
      <c r="U22" s="99"/>
      <c r="V22" s="99"/>
      <c r="W22" s="99"/>
      <c r="X22" s="99"/>
      <c r="Y22" s="99"/>
      <c r="Z22" s="99"/>
      <c r="AA22" s="99"/>
      <c r="AB22" s="99"/>
      <c r="AC22" s="99"/>
      <c r="AD22" s="99"/>
      <c r="AE22" s="99"/>
      <c r="AG22" s="99" t="s">
        <v>973</v>
      </c>
      <c r="AH22" s="99"/>
      <c r="AI22" s="99"/>
      <c r="AJ22" s="99"/>
      <c r="AL22" s="1" t="s">
        <v>980</v>
      </c>
      <c r="AM22" s="1">
        <f>MATCH(0,AJ26:AJ1030,0)+ROW($AJ$25)</f>
        <v>66</v>
      </c>
    </row>
    <row r="23" spans="1:39" x14ac:dyDescent="0.25">
      <c r="A23" s="98" t="s">
        <v>964</v>
      </c>
      <c r="B23" s="98"/>
      <c r="C23" s="98"/>
      <c r="D23" s="98"/>
      <c r="E23" s="98"/>
      <c r="F23" s="98"/>
      <c r="G23" s="98"/>
      <c r="H23" s="98"/>
      <c r="I23" s="98"/>
      <c r="J23" s="98"/>
      <c r="K23" s="98"/>
      <c r="L23" s="98"/>
      <c r="M23" s="70"/>
      <c r="N23" s="98" t="s">
        <v>965</v>
      </c>
      <c r="O23" s="98"/>
      <c r="P23" s="98"/>
      <c r="Q23" s="98"/>
      <c r="R23" s="98"/>
      <c r="T23" s="98" t="s">
        <v>964</v>
      </c>
      <c r="U23" s="98"/>
      <c r="V23" s="98"/>
      <c r="W23" s="98"/>
      <c r="X23" s="98"/>
      <c r="Y23" s="98"/>
      <c r="Z23" s="98"/>
      <c r="AA23" s="98"/>
      <c r="AB23" s="98"/>
      <c r="AC23" s="98"/>
      <c r="AD23" s="98"/>
      <c r="AE23" s="98"/>
      <c r="AG23" s="98" t="s">
        <v>962</v>
      </c>
      <c r="AH23" s="98"/>
      <c r="AI23" s="98"/>
      <c r="AJ23" s="98"/>
    </row>
    <row r="24" spans="1:39" x14ac:dyDescent="0.25">
      <c r="M24" s="70"/>
      <c r="N24" s="1" t="s">
        <v>957</v>
      </c>
      <c r="O24" s="1" t="s">
        <v>960</v>
      </c>
      <c r="P24" s="1" t="s">
        <v>955</v>
      </c>
      <c r="Q24" s="1" t="s">
        <v>971</v>
      </c>
      <c r="R24" s="1" t="s">
        <v>956</v>
      </c>
      <c r="T24" s="1"/>
      <c r="U24" s="1"/>
      <c r="V24" s="1"/>
      <c r="W24" s="1"/>
      <c r="X24" s="1"/>
      <c r="Y24" s="1"/>
      <c r="Z24" s="1"/>
      <c r="AA24" s="1"/>
      <c r="AB24" s="1"/>
      <c r="AC24" s="1"/>
      <c r="AD24" s="1"/>
      <c r="AE24" s="1"/>
      <c r="AG24" s="1" t="s">
        <v>957</v>
      </c>
      <c r="AH24" s="1" t="s">
        <v>960</v>
      </c>
      <c r="AI24" s="1" t="s">
        <v>955</v>
      </c>
      <c r="AJ24" s="1" t="s">
        <v>972</v>
      </c>
      <c r="AL24" s="1" t="s">
        <v>955</v>
      </c>
      <c r="AM24" s="1" t="s">
        <v>974</v>
      </c>
    </row>
    <row r="25" spans="1:39" x14ac:dyDescent="0.25">
      <c r="A25" s="1" t="s">
        <v>946</v>
      </c>
      <c r="B25" s="1" t="s">
        <v>947</v>
      </c>
      <c r="C25" s="1" t="s">
        <v>948</v>
      </c>
      <c r="D25" s="1" t="s">
        <v>949</v>
      </c>
      <c r="E25" s="1" t="s">
        <v>150</v>
      </c>
      <c r="F25" s="1" t="s">
        <v>149</v>
      </c>
      <c r="G25" s="1" t="s">
        <v>950</v>
      </c>
      <c r="H25" s="1" t="s">
        <v>951</v>
      </c>
      <c r="I25" s="1" t="s">
        <v>952</v>
      </c>
      <c r="J25" s="1" t="s">
        <v>953</v>
      </c>
      <c r="K25" s="1" t="s">
        <v>158</v>
      </c>
      <c r="L25" s="1" t="s">
        <v>954</v>
      </c>
      <c r="N25" s="1">
        <f>-$O$18</f>
        <v>-19.277999999999999</v>
      </c>
      <c r="O25" s="1">
        <f>$O$19</f>
        <v>0.51</v>
      </c>
      <c r="P25" s="1">
        <f t="shared" ref="P25:P56" si="0">N25/$O$18</f>
        <v>-1</v>
      </c>
      <c r="Q25" s="1">
        <v>0</v>
      </c>
      <c r="R25" s="1">
        <f t="shared" ref="R25:R56" si="1">2*(2*$O$18)*(2*$O$20/PI()/$O$17)*SQRT(1-P25^2)</f>
        <v>0</v>
      </c>
      <c r="T25" s="1" t="s">
        <v>946</v>
      </c>
      <c r="U25" s="1" t="s">
        <v>947</v>
      </c>
      <c r="V25" s="1" t="s">
        <v>948</v>
      </c>
      <c r="W25" s="1" t="s">
        <v>949</v>
      </c>
      <c r="X25" s="1" t="s">
        <v>150</v>
      </c>
      <c r="Y25" s="1" t="s">
        <v>149</v>
      </c>
      <c r="Z25" s="1" t="s">
        <v>950</v>
      </c>
      <c r="AA25" s="1" t="s">
        <v>951</v>
      </c>
      <c r="AB25" s="1" t="s">
        <v>952</v>
      </c>
      <c r="AC25" s="1" t="s">
        <v>953</v>
      </c>
      <c r="AD25" s="1" t="s">
        <v>158</v>
      </c>
      <c r="AE25" s="1" t="s">
        <v>954</v>
      </c>
      <c r="AG25" s="1">
        <f>-$AH$19</f>
        <v>-6.5</v>
      </c>
      <c r="AH25" s="1">
        <f>$AH$20</f>
        <v>1</v>
      </c>
      <c r="AI25" s="1">
        <f>AG25/$O$18</f>
        <v>-0.3371719057993568</v>
      </c>
      <c r="AJ25" s="1">
        <v>0</v>
      </c>
      <c r="AL25" s="1">
        <v>-1</v>
      </c>
      <c r="AM25" s="1">
        <v>0</v>
      </c>
    </row>
    <row r="26" spans="1:39" x14ac:dyDescent="0.25">
      <c r="A26" s="8">
        <v>-5.8619000000000003</v>
      </c>
      <c r="B26" s="8">
        <v>0.21479999999999999</v>
      </c>
      <c r="C26" s="8">
        <v>-1.4890000000000001</v>
      </c>
      <c r="D26" s="8">
        <v>0.14011399999999999</v>
      </c>
      <c r="E26" s="8">
        <v>1.0024E-2</v>
      </c>
      <c r="F26" s="8">
        <v>3.4949999999999998E-3</v>
      </c>
      <c r="G26" s="8">
        <v>-0.37152499999999999</v>
      </c>
      <c r="H26" s="8">
        <v>-2.2075999999999998E-2</v>
      </c>
      <c r="I26" s="8">
        <v>0.79810000000000003</v>
      </c>
      <c r="J26" s="8">
        <v>1.2200000000000001E-2</v>
      </c>
      <c r="K26" s="8">
        <v>0.40400000000000003</v>
      </c>
      <c r="L26" s="8">
        <v>0</v>
      </c>
      <c r="N26" s="1">
        <f>A26/0.3048</f>
        <v>-19.231955380577428</v>
      </c>
      <c r="O26" s="1">
        <f>B26/0.3048</f>
        <v>0.70472440944881887</v>
      </c>
      <c r="P26" s="1">
        <f t="shared" si="0"/>
        <v>-0.99761154583345935</v>
      </c>
      <c r="Q26" s="1">
        <f>D26*O26</f>
        <v>9.8741755905511805E-2</v>
      </c>
      <c r="R26" s="1">
        <f t="shared" si="1"/>
        <v>8.9829329382425771E-2</v>
      </c>
      <c r="T26" s="8">
        <v>-1.966</v>
      </c>
      <c r="U26" s="8">
        <v>0.34670000000000001</v>
      </c>
      <c r="V26" s="8">
        <v>4.0000000000000001E-3</v>
      </c>
      <c r="W26" s="8">
        <v>-5.2317000000000002E-2</v>
      </c>
      <c r="X26" s="8">
        <v>4.6639999999999997E-3</v>
      </c>
      <c r="Y26" s="8">
        <v>1.9999999999999999E-6</v>
      </c>
      <c r="Z26" s="8">
        <v>0.64690899999999996</v>
      </c>
      <c r="AA26" s="8">
        <v>-4.444E-3</v>
      </c>
      <c r="AB26" s="8">
        <v>0.70920000000000005</v>
      </c>
      <c r="AC26" s="8">
        <v>0.58919999999999995</v>
      </c>
      <c r="AD26" s="8">
        <v>0.17119999999999999</v>
      </c>
      <c r="AE26" s="8">
        <v>0</v>
      </c>
      <c r="AG26" s="1">
        <f>T26/0.3048</f>
        <v>-6.4501312335958003</v>
      </c>
      <c r="AH26" s="1">
        <f>U26/0.3048</f>
        <v>1.1374671916010499</v>
      </c>
      <c r="AI26" s="1">
        <f>AG26/$O$18</f>
        <v>-0.33458508318268498</v>
      </c>
      <c r="AJ26" s="1">
        <f>W26*AH26</f>
        <v>-5.950887106299213E-2</v>
      </c>
      <c r="AL26" s="1">
        <v>-0.99761154583345935</v>
      </c>
      <c r="AM26" s="1">
        <v>9.8741755905511805E-2</v>
      </c>
    </row>
    <row r="27" spans="1:39" x14ac:dyDescent="0.25">
      <c r="A27" s="8">
        <v>-5.8380000000000001</v>
      </c>
      <c r="B27" s="8">
        <v>0.33329999999999999</v>
      </c>
      <c r="C27" s="8">
        <v>-1.135</v>
      </c>
      <c r="D27" s="8">
        <v>0.13636599999999999</v>
      </c>
      <c r="E27" s="8">
        <v>8.2129999999999998E-3</v>
      </c>
      <c r="F27" s="8">
        <v>3.1229999999999999E-3</v>
      </c>
      <c r="G27" s="8">
        <v>-0.21338399999999999</v>
      </c>
      <c r="H27" s="8">
        <v>-3.1827000000000001E-2</v>
      </c>
      <c r="I27" s="8">
        <v>0.78659999999999997</v>
      </c>
      <c r="J27" s="8">
        <v>1.01E-2</v>
      </c>
      <c r="K27" s="8">
        <v>0.47649999999999998</v>
      </c>
      <c r="L27" s="8">
        <v>6.3399999999999998E-2</v>
      </c>
      <c r="N27" s="1">
        <f t="shared" ref="N27:N90" si="2">A27/0.3048</f>
        <v>-19.153543307086615</v>
      </c>
      <c r="O27" s="1">
        <f t="shared" ref="O27:O90" si="3">B27/0.3048</f>
        <v>1.0935039370078738</v>
      </c>
      <c r="P27" s="1">
        <f t="shared" si="0"/>
        <v>-0.9935441076401399</v>
      </c>
      <c r="Q27" s="1">
        <f t="shared" ref="Q27:Q90" si="4">D27*O27</f>
        <v>0.14911675787401571</v>
      </c>
      <c r="R27" s="1">
        <f t="shared" si="1"/>
        <v>0.14753506307747163</v>
      </c>
      <c r="T27" s="8">
        <v>-1.9355</v>
      </c>
      <c r="U27" s="8">
        <v>0.43049999999999999</v>
      </c>
      <c r="V27" s="8">
        <v>-7.0000000000000007E-2</v>
      </c>
      <c r="W27" s="8">
        <v>-6.2746999999999997E-2</v>
      </c>
      <c r="X27" s="8">
        <v>4.6810000000000003E-3</v>
      </c>
      <c r="Y27" s="8">
        <v>-3.6999999999999998E-5</v>
      </c>
      <c r="Z27" s="8">
        <v>0.61506000000000005</v>
      </c>
      <c r="AA27" s="8">
        <v>-1.8630000000000001E-3</v>
      </c>
      <c r="AB27" s="8">
        <v>0.67810000000000004</v>
      </c>
      <c r="AC27" s="8">
        <v>0.53620000000000001</v>
      </c>
      <c r="AD27" s="8">
        <v>0.22550000000000001</v>
      </c>
      <c r="AE27" s="8">
        <v>-7.0699999999999999E-2</v>
      </c>
      <c r="AG27" s="1">
        <f t="shared" ref="AG27" si="5">T27/0.3048</f>
        <v>-6.3500656167978997</v>
      </c>
      <c r="AH27" s="1">
        <f t="shared" ref="AH27" si="6">U27/0.3048</f>
        <v>1.4124015748031495</v>
      </c>
      <c r="AI27" s="1">
        <f t="shared" ref="AI27:AI66" si="7">AG27/$O$18</f>
        <v>-0.32939441937949476</v>
      </c>
      <c r="AJ27" s="1">
        <f t="shared" ref="AJ27" si="8">W27*AH27</f>
        <v>-8.8623961614173213E-2</v>
      </c>
      <c r="AL27" s="1">
        <v>-0.9935441076401399</v>
      </c>
      <c r="AM27" s="1">
        <v>0.14911675787401571</v>
      </c>
    </row>
    <row r="28" spans="1:39" x14ac:dyDescent="0.25">
      <c r="A28" s="8">
        <v>-5.8041</v>
      </c>
      <c r="B28" s="8">
        <v>0.45100000000000001</v>
      </c>
      <c r="C28" s="8">
        <v>-1.4610000000000001</v>
      </c>
      <c r="D28" s="8">
        <v>0.15426100000000001</v>
      </c>
      <c r="E28" s="8">
        <v>7.0150000000000004E-3</v>
      </c>
      <c r="F28" s="8">
        <v>2.5820000000000001E-3</v>
      </c>
      <c r="G28" s="8">
        <v>-0.155697</v>
      </c>
      <c r="H28" s="8">
        <v>-4.1854000000000002E-2</v>
      </c>
      <c r="I28" s="8">
        <v>0.7792</v>
      </c>
      <c r="J28" s="8">
        <v>8.4199999999999997E-2</v>
      </c>
      <c r="K28" s="8">
        <v>0.52310000000000001</v>
      </c>
      <c r="L28" s="8">
        <v>0.26590000000000003</v>
      </c>
      <c r="N28" s="1">
        <f t="shared" si="2"/>
        <v>-19.042322834645667</v>
      </c>
      <c r="O28" s="1">
        <f t="shared" si="3"/>
        <v>1.4796587926509186</v>
      </c>
      <c r="P28" s="1">
        <f t="shared" si="0"/>
        <v>-0.9877748124621677</v>
      </c>
      <c r="Q28" s="1">
        <f t="shared" si="4"/>
        <v>0.22825364501312337</v>
      </c>
      <c r="R28" s="1">
        <f t="shared" si="1"/>
        <v>0.20272884145825315</v>
      </c>
      <c r="T28" s="8">
        <v>-1.905</v>
      </c>
      <c r="U28" s="8">
        <v>0.4839</v>
      </c>
      <c r="V28" s="8">
        <v>-0.126</v>
      </c>
      <c r="W28" s="8">
        <v>-6.9329000000000002E-2</v>
      </c>
      <c r="X28" s="8">
        <v>4.705E-3</v>
      </c>
      <c r="Y28" s="8">
        <v>-7.6000000000000004E-5</v>
      </c>
      <c r="Z28" s="8">
        <v>0.60095799999999999</v>
      </c>
      <c r="AA28" s="8">
        <v>-1.261E-3</v>
      </c>
      <c r="AB28" s="8">
        <v>0.66100000000000003</v>
      </c>
      <c r="AC28" s="8">
        <v>0.50600000000000001</v>
      </c>
      <c r="AD28" s="8">
        <v>0.23649999999999999</v>
      </c>
      <c r="AE28" s="8">
        <v>-0.24679999999999999</v>
      </c>
      <c r="AG28" s="1">
        <f t="shared" ref="AG28:AG65" si="9">T28/0.3048</f>
        <v>-6.25</v>
      </c>
      <c r="AH28" s="1">
        <f t="shared" ref="AH28:AH65" si="10">U28/0.3048</f>
        <v>1.5875984251968502</v>
      </c>
      <c r="AI28" s="1">
        <f t="shared" si="7"/>
        <v>-0.3242037555763046</v>
      </c>
      <c r="AJ28" s="1">
        <f t="shared" ref="AJ28:AJ65" si="11">W28*AH28</f>
        <v>-0.11006661122047243</v>
      </c>
      <c r="AL28" s="1">
        <v>-0.9877748124621677</v>
      </c>
      <c r="AM28" s="1">
        <v>0.22825364501312337</v>
      </c>
    </row>
    <row r="29" spans="1:39" x14ac:dyDescent="0.25">
      <c r="A29" s="8">
        <v>-5.7682000000000002</v>
      </c>
      <c r="B29" s="8">
        <v>0.56779999999999997</v>
      </c>
      <c r="C29" s="8">
        <v>-1.5</v>
      </c>
      <c r="D29" s="8">
        <v>0.14754700000000001</v>
      </c>
      <c r="E29" s="8">
        <v>6.6319999999999999E-3</v>
      </c>
      <c r="F29" s="8">
        <v>2.2929999999999999E-3</v>
      </c>
      <c r="G29" s="8">
        <v>-0.108386</v>
      </c>
      <c r="H29" s="8">
        <v>-4.6399000000000003E-2</v>
      </c>
      <c r="I29" s="8">
        <v>0.77459999999999996</v>
      </c>
      <c r="J29" s="8">
        <v>1.9199999999999998E-2</v>
      </c>
      <c r="K29" s="8">
        <v>0.56699999999999995</v>
      </c>
      <c r="L29" s="8">
        <v>0.9496</v>
      </c>
      <c r="N29" s="1">
        <f t="shared" si="2"/>
        <v>-18.924540682414698</v>
      </c>
      <c r="O29" s="1">
        <f t="shared" si="3"/>
        <v>1.8628608923884513</v>
      </c>
      <c r="P29" s="1">
        <f t="shared" si="0"/>
        <v>-0.98166514588726517</v>
      </c>
      <c r="Q29" s="1">
        <f t="shared" si="4"/>
        <v>0.27485953608923885</v>
      </c>
      <c r="R29" s="1">
        <f t="shared" si="1"/>
        <v>0.24788945158939812</v>
      </c>
      <c r="T29" s="8">
        <v>-1.8745000000000001</v>
      </c>
      <c r="U29" s="8">
        <v>0.50670000000000004</v>
      </c>
      <c r="V29" s="8">
        <v>-0.17199999999999999</v>
      </c>
      <c r="W29" s="8">
        <v>-7.8014E-2</v>
      </c>
      <c r="X29" s="8">
        <v>4.7219999999999996E-3</v>
      </c>
      <c r="Y29" s="8">
        <v>-1.17E-4</v>
      </c>
      <c r="Z29" s="8">
        <v>0.64228099999999999</v>
      </c>
      <c r="AA29" s="8">
        <v>-1.2880000000000001E-3</v>
      </c>
      <c r="AB29" s="8">
        <v>0.66190000000000004</v>
      </c>
      <c r="AC29" s="8">
        <v>0.48809999999999998</v>
      </c>
      <c r="AD29" s="8">
        <v>0.2379</v>
      </c>
      <c r="AE29" s="8">
        <v>-0.55359999999999998</v>
      </c>
      <c r="AG29" s="1">
        <f t="shared" si="9"/>
        <v>-6.1499343832020994</v>
      </c>
      <c r="AH29" s="1">
        <f t="shared" si="10"/>
        <v>1.6624015748031498</v>
      </c>
      <c r="AI29" s="1">
        <f t="shared" si="7"/>
        <v>-0.31901309177311443</v>
      </c>
      <c r="AJ29" s="1">
        <f t="shared" si="11"/>
        <v>-0.12969059645669292</v>
      </c>
      <c r="AL29" s="1">
        <v>-0.98166514588726517</v>
      </c>
      <c r="AM29" s="1">
        <v>0.27485953608923885</v>
      </c>
    </row>
    <row r="30" spans="1:39" x14ac:dyDescent="0.25">
      <c r="A30" s="8">
        <v>-5.7267000000000001</v>
      </c>
      <c r="B30" s="8">
        <v>0.64839999999999998</v>
      </c>
      <c r="C30" s="8">
        <v>-1.3919999999999999</v>
      </c>
      <c r="D30" s="8">
        <v>0.14963599999999999</v>
      </c>
      <c r="E30" s="8">
        <v>6.5389999999999997E-3</v>
      </c>
      <c r="F30" s="8">
        <v>2.0509999999999999E-3</v>
      </c>
      <c r="G30" s="8">
        <v>-9.1116000000000003E-2</v>
      </c>
      <c r="H30" s="8">
        <v>-5.1881999999999998E-2</v>
      </c>
      <c r="I30" s="8">
        <v>0.77239999999999998</v>
      </c>
      <c r="J30" s="8">
        <v>9.9000000000000008E-3</v>
      </c>
      <c r="K30" s="8">
        <v>0.59699999999999998</v>
      </c>
      <c r="L30" s="8">
        <v>2.1627999999999998</v>
      </c>
      <c r="N30" s="1">
        <f t="shared" si="2"/>
        <v>-18.788385826771652</v>
      </c>
      <c r="O30" s="1">
        <f t="shared" si="3"/>
        <v>2.1272965879265091</v>
      </c>
      <c r="P30" s="1">
        <f t="shared" si="0"/>
        <v>-0.97460243940095725</v>
      </c>
      <c r="Q30" s="1">
        <f t="shared" si="4"/>
        <v>0.3183201522309711</v>
      </c>
      <c r="R30" s="1">
        <f t="shared" si="1"/>
        <v>0.29123262122039917</v>
      </c>
      <c r="T30" s="8">
        <v>-1.8011999999999999</v>
      </c>
      <c r="U30" s="8">
        <v>0.52769999999999995</v>
      </c>
      <c r="V30" s="8">
        <v>-0.23599999999999999</v>
      </c>
      <c r="W30" s="8">
        <v>-8.9361999999999997E-2</v>
      </c>
      <c r="X30" s="8">
        <v>4.7559999999999998E-3</v>
      </c>
      <c r="Y30" s="8">
        <v>-1.84E-4</v>
      </c>
      <c r="Z30" s="8">
        <v>0.70487200000000005</v>
      </c>
      <c r="AA30" s="8">
        <v>-1.835E-3</v>
      </c>
      <c r="AB30" s="8">
        <v>0.6643</v>
      </c>
      <c r="AC30" s="8">
        <v>0.46750000000000003</v>
      </c>
      <c r="AD30" s="8">
        <v>0.23380000000000001</v>
      </c>
      <c r="AE30" s="8">
        <v>-1.6627000000000001</v>
      </c>
      <c r="AG30" s="1">
        <f t="shared" si="9"/>
        <v>-5.9094488188976371</v>
      </c>
      <c r="AH30" s="1">
        <f t="shared" si="10"/>
        <v>1.731299212598425</v>
      </c>
      <c r="AI30" s="1">
        <f t="shared" si="7"/>
        <v>-0.30653848007561146</v>
      </c>
      <c r="AJ30" s="1">
        <f t="shared" si="11"/>
        <v>-0.15471236023622045</v>
      </c>
      <c r="AL30" s="1">
        <v>-0.97460243940095725</v>
      </c>
      <c r="AM30" s="1">
        <v>0.3183201522309711</v>
      </c>
    </row>
    <row r="31" spans="1:39" x14ac:dyDescent="0.25">
      <c r="A31" s="8">
        <v>-5.6870000000000003</v>
      </c>
      <c r="B31" s="8">
        <v>0.69289999999999996</v>
      </c>
      <c r="C31" s="8">
        <v>-1.1739999999999999</v>
      </c>
      <c r="D31" s="8">
        <v>0.15545900000000001</v>
      </c>
      <c r="E31" s="8">
        <v>6.2519999999999997E-3</v>
      </c>
      <c r="F31" s="8">
        <v>1.7899999999999999E-3</v>
      </c>
      <c r="G31" s="8">
        <v>-8.4041000000000005E-2</v>
      </c>
      <c r="H31" s="8">
        <v>-5.6045999999999999E-2</v>
      </c>
      <c r="I31" s="8">
        <v>0.77029999999999998</v>
      </c>
      <c r="J31" s="8">
        <v>8.0000000000000002E-3</v>
      </c>
      <c r="K31" s="8">
        <v>0.61109999999999998</v>
      </c>
      <c r="L31" s="8">
        <v>4.1219000000000001</v>
      </c>
      <c r="N31" s="1">
        <f t="shared" si="2"/>
        <v>-18.658136482939632</v>
      </c>
      <c r="O31" s="1">
        <f t="shared" si="3"/>
        <v>2.2732939632545928</v>
      </c>
      <c r="P31" s="1">
        <f t="shared" si="0"/>
        <v>-0.96784606717188681</v>
      </c>
      <c r="Q31" s="1">
        <f t="shared" si="4"/>
        <v>0.35340400623359575</v>
      </c>
      <c r="R31" s="1">
        <f t="shared" si="1"/>
        <v>0.32712730329387407</v>
      </c>
      <c r="T31" s="8">
        <v>-1.6850000000000001</v>
      </c>
      <c r="U31" s="8">
        <v>0.54669999999999996</v>
      </c>
      <c r="V31" s="8">
        <v>-0.313</v>
      </c>
      <c r="W31" s="8">
        <v>-0.103117</v>
      </c>
      <c r="X31" s="8">
        <v>4.803E-3</v>
      </c>
      <c r="Y31" s="8">
        <v>-2.8200000000000002E-4</v>
      </c>
      <c r="Z31" s="8">
        <v>0.78323500000000001</v>
      </c>
      <c r="AA31" s="8">
        <v>-2.0339999999999998E-3</v>
      </c>
      <c r="AB31" s="8">
        <v>0.66800000000000004</v>
      </c>
      <c r="AC31" s="8">
        <v>0.44479999999999997</v>
      </c>
      <c r="AD31" s="8">
        <v>0.2344</v>
      </c>
      <c r="AE31" s="8">
        <v>-6.0922000000000001</v>
      </c>
      <c r="AG31" s="1">
        <f t="shared" si="9"/>
        <v>-5.5282152230971127</v>
      </c>
      <c r="AH31" s="1">
        <f t="shared" si="10"/>
        <v>1.7936351706036744</v>
      </c>
      <c r="AI31" s="1">
        <f t="shared" si="7"/>
        <v>-0.28676290191394921</v>
      </c>
      <c r="AJ31" s="1">
        <f t="shared" si="11"/>
        <v>-0.18495427788713908</v>
      </c>
      <c r="AL31" s="1">
        <v>-0.96784606717188681</v>
      </c>
      <c r="AM31" s="1">
        <v>0.35340400623359575</v>
      </c>
    </row>
    <row r="32" spans="1:39" x14ac:dyDescent="0.25">
      <c r="A32" s="8">
        <v>-5.6429999999999998</v>
      </c>
      <c r="B32" s="8">
        <v>0.73080000000000001</v>
      </c>
      <c r="C32" s="8">
        <v>-1.0669999999999999</v>
      </c>
      <c r="D32" s="8">
        <v>0.16402</v>
      </c>
      <c r="E32" s="8">
        <v>6.1529999999999996E-3</v>
      </c>
      <c r="F32" s="8">
        <v>1.6379999999999999E-3</v>
      </c>
      <c r="G32" s="8">
        <v>-8.0407999999999993E-2</v>
      </c>
      <c r="H32" s="8">
        <v>-6.0349E-2</v>
      </c>
      <c r="I32" s="8">
        <v>0.76719999999999999</v>
      </c>
      <c r="J32" s="8">
        <v>1.9199999999999998E-2</v>
      </c>
      <c r="K32" s="8">
        <v>0.62039999999999995</v>
      </c>
      <c r="L32" s="8">
        <v>6.7751000000000001</v>
      </c>
      <c r="N32" s="1">
        <f t="shared" si="2"/>
        <v>-18.513779527559052</v>
      </c>
      <c r="O32" s="1">
        <f t="shared" si="3"/>
        <v>2.3976377952755903</v>
      </c>
      <c r="P32" s="1">
        <f t="shared" si="0"/>
        <v>-0.9603578964394156</v>
      </c>
      <c r="Q32" s="1">
        <f t="shared" si="4"/>
        <v>0.39326055118110231</v>
      </c>
      <c r="R32" s="1">
        <f t="shared" si="1"/>
        <v>0.36253522551500217</v>
      </c>
      <c r="T32" s="8">
        <v>-1.5688</v>
      </c>
      <c r="U32" s="8">
        <v>0.56579999999999997</v>
      </c>
      <c r="V32" s="8">
        <v>-0.377</v>
      </c>
      <c r="W32" s="8">
        <v>-0.112729</v>
      </c>
      <c r="X32" s="8">
        <v>4.8450000000000003E-3</v>
      </c>
      <c r="Y32" s="8">
        <v>-3.7100000000000002E-4</v>
      </c>
      <c r="Z32" s="8">
        <v>0.82589100000000004</v>
      </c>
      <c r="AA32" s="8">
        <v>-1.8699999999999999E-3</v>
      </c>
      <c r="AB32" s="8">
        <v>0.66700000000000004</v>
      </c>
      <c r="AC32" s="8">
        <v>0.42749999999999999</v>
      </c>
      <c r="AD32" s="8">
        <v>0.2374</v>
      </c>
      <c r="AE32" s="8">
        <v>-13.7164</v>
      </c>
      <c r="AG32" s="1">
        <f t="shared" si="9"/>
        <v>-5.1469816272965874</v>
      </c>
      <c r="AH32" s="1">
        <f t="shared" si="10"/>
        <v>1.856299212598425</v>
      </c>
      <c r="AI32" s="1">
        <f t="shared" si="7"/>
        <v>-0.26698732375228695</v>
      </c>
      <c r="AJ32" s="1">
        <f t="shared" si="11"/>
        <v>-0.20925875393700785</v>
      </c>
      <c r="AL32" s="1">
        <v>-0.9603578964394156</v>
      </c>
      <c r="AM32" s="1">
        <v>0.39326055118110231</v>
      </c>
    </row>
    <row r="33" spans="1:39" x14ac:dyDescent="0.25">
      <c r="A33" s="8">
        <v>-5.6036000000000001</v>
      </c>
      <c r="B33" s="8">
        <v>0.76190000000000002</v>
      </c>
      <c r="C33" s="8">
        <v>-1.0049999999999999</v>
      </c>
      <c r="D33" s="8">
        <v>0.170677</v>
      </c>
      <c r="E33" s="8">
        <v>6.0629999999999998E-3</v>
      </c>
      <c r="F33" s="8">
        <v>1.583E-3</v>
      </c>
      <c r="G33" s="8">
        <v>-7.7614000000000002E-2</v>
      </c>
      <c r="H33" s="8">
        <v>-6.3100000000000003E-2</v>
      </c>
      <c r="I33" s="8">
        <v>0.76259999999999994</v>
      </c>
      <c r="J33" s="8">
        <v>4.5699999999999998E-2</v>
      </c>
      <c r="K33" s="8">
        <v>0.62229999999999996</v>
      </c>
      <c r="L33" s="8">
        <v>10.3424</v>
      </c>
      <c r="N33" s="1">
        <f t="shared" si="2"/>
        <v>-18.384514435695536</v>
      </c>
      <c r="O33" s="1">
        <f t="shared" si="3"/>
        <v>2.4996719160104988</v>
      </c>
      <c r="P33" s="1">
        <f t="shared" si="0"/>
        <v>-0.95365257991988472</v>
      </c>
      <c r="Q33" s="1">
        <f t="shared" si="4"/>
        <v>0.42663650360892391</v>
      </c>
      <c r="R33" s="1">
        <f t="shared" si="1"/>
        <v>0.39132773712227381</v>
      </c>
      <c r="T33" s="8">
        <v>-1.4525999999999999</v>
      </c>
      <c r="U33" s="8">
        <v>0.58479999999999999</v>
      </c>
      <c r="V33" s="8">
        <v>-0.42699999999999999</v>
      </c>
      <c r="W33" s="8">
        <v>-0.119662</v>
      </c>
      <c r="X33" s="8">
        <v>4.8849999999999996E-3</v>
      </c>
      <c r="Y33" s="8">
        <v>-4.46E-4</v>
      </c>
      <c r="Z33" s="8">
        <v>0.84656699999999996</v>
      </c>
      <c r="AA33" s="8">
        <v>-1.673E-3</v>
      </c>
      <c r="AB33" s="8">
        <v>0.66339999999999999</v>
      </c>
      <c r="AC33" s="8">
        <v>0.41389999999999999</v>
      </c>
      <c r="AD33" s="8">
        <v>0.2399</v>
      </c>
      <c r="AE33" s="8">
        <v>-24.954899999999999</v>
      </c>
      <c r="AG33" s="1">
        <f t="shared" si="9"/>
        <v>-4.7657480314960621</v>
      </c>
      <c r="AH33" s="1">
        <f t="shared" si="10"/>
        <v>1.9186351706036744</v>
      </c>
      <c r="AI33" s="1">
        <f t="shared" si="7"/>
        <v>-0.24721174559062467</v>
      </c>
      <c r="AJ33" s="1">
        <f t="shared" si="11"/>
        <v>-0.2295877217847769</v>
      </c>
      <c r="AL33" s="1">
        <v>-0.95365257991988472</v>
      </c>
      <c r="AM33" s="1">
        <v>0.42663650360892391</v>
      </c>
    </row>
    <row r="34" spans="1:39" x14ac:dyDescent="0.25">
      <c r="A34" s="8">
        <v>-5.5084999999999997</v>
      </c>
      <c r="B34" s="8">
        <v>0.78920000000000001</v>
      </c>
      <c r="C34" s="8">
        <v>-0.97599999999999998</v>
      </c>
      <c r="D34" s="8">
        <v>0.18401600000000001</v>
      </c>
      <c r="E34" s="8">
        <v>5.9119999999999997E-3</v>
      </c>
      <c r="F34" s="8">
        <v>1.603E-3</v>
      </c>
      <c r="G34" s="8">
        <v>-7.8926999999999997E-2</v>
      </c>
      <c r="H34" s="8">
        <v>-6.6831000000000002E-2</v>
      </c>
      <c r="I34" s="8">
        <v>0.75970000000000004</v>
      </c>
      <c r="J34" s="8">
        <v>7.6100000000000001E-2</v>
      </c>
      <c r="K34" s="8">
        <v>0.61309999999999998</v>
      </c>
      <c r="L34" s="8">
        <v>20.6023</v>
      </c>
      <c r="N34" s="1">
        <f t="shared" si="2"/>
        <v>-18.072506561679788</v>
      </c>
      <c r="O34" s="1">
        <f t="shared" si="3"/>
        <v>2.5892388451443566</v>
      </c>
      <c r="P34" s="1">
        <f t="shared" si="0"/>
        <v>-0.93746791999583923</v>
      </c>
      <c r="Q34" s="1">
        <f t="shared" si="4"/>
        <v>0.47646137532808397</v>
      </c>
      <c r="R34" s="1">
        <f t="shared" si="1"/>
        <v>0.45266079250888802</v>
      </c>
      <c r="T34" s="8">
        <v>-1.3364</v>
      </c>
      <c r="U34" s="8">
        <v>0.60389999999999999</v>
      </c>
      <c r="V34" s="8">
        <v>-0.46600000000000003</v>
      </c>
      <c r="W34" s="8">
        <v>-0.124807</v>
      </c>
      <c r="X34" s="8">
        <v>4.921E-3</v>
      </c>
      <c r="Y34" s="8">
        <v>-5.0799999999999999E-4</v>
      </c>
      <c r="Z34" s="8">
        <v>0.853487</v>
      </c>
      <c r="AA34" s="8">
        <v>-1.5139999999999999E-3</v>
      </c>
      <c r="AB34" s="8">
        <v>0.65869999999999995</v>
      </c>
      <c r="AC34" s="8">
        <v>0.40329999999999999</v>
      </c>
      <c r="AD34" s="8">
        <v>0.24160000000000001</v>
      </c>
      <c r="AE34" s="8">
        <v>-40.159100000000002</v>
      </c>
      <c r="AG34" s="1">
        <f t="shared" si="9"/>
        <v>-4.3845144356955377</v>
      </c>
      <c r="AH34" s="1">
        <f t="shared" si="10"/>
        <v>1.981299212598425</v>
      </c>
      <c r="AI34" s="1">
        <f t="shared" si="7"/>
        <v>-0.22743616742896244</v>
      </c>
      <c r="AJ34" s="1">
        <f t="shared" si="11"/>
        <v>-0.24728001082677165</v>
      </c>
      <c r="AL34" s="1">
        <v>-0.93746791999583923</v>
      </c>
      <c r="AM34" s="1">
        <v>0.47646137532808397</v>
      </c>
    </row>
    <row r="35" spans="1:39" x14ac:dyDescent="0.25">
      <c r="A35" s="8">
        <v>-5.3658000000000001</v>
      </c>
      <c r="B35" s="8">
        <v>0.8125</v>
      </c>
      <c r="C35" s="8">
        <v>-0.91500000000000004</v>
      </c>
      <c r="D35" s="8">
        <v>0.202456</v>
      </c>
      <c r="E35" s="8">
        <v>5.7359999999999998E-3</v>
      </c>
      <c r="F35" s="8">
        <v>1.6360000000000001E-3</v>
      </c>
      <c r="G35" s="8">
        <v>-8.1280000000000005E-2</v>
      </c>
      <c r="H35" s="8">
        <v>-6.8845000000000003E-2</v>
      </c>
      <c r="I35" s="8">
        <v>0.75849999999999995</v>
      </c>
      <c r="J35" s="8">
        <v>0.10249999999999999</v>
      </c>
      <c r="K35" s="8">
        <v>0.58989999999999998</v>
      </c>
      <c r="L35" s="8">
        <v>48.730400000000003</v>
      </c>
      <c r="N35" s="1">
        <f t="shared" si="2"/>
        <v>-17.604330708661418</v>
      </c>
      <c r="O35" s="1">
        <f t="shared" si="3"/>
        <v>2.6656824146981628</v>
      </c>
      <c r="P35" s="1">
        <f t="shared" si="0"/>
        <v>-0.91318242082484802</v>
      </c>
      <c r="Q35" s="1">
        <f t="shared" si="4"/>
        <v>0.53968339895013129</v>
      </c>
      <c r="R35" s="1">
        <f t="shared" si="1"/>
        <v>0.53001261756823925</v>
      </c>
      <c r="T35" s="8">
        <v>-1.2202</v>
      </c>
      <c r="U35" s="8">
        <v>0.62290000000000001</v>
      </c>
      <c r="V35" s="8">
        <v>-0.496</v>
      </c>
      <c r="W35" s="8">
        <v>-0.128692</v>
      </c>
      <c r="X35" s="8">
        <v>4.9540000000000001E-3</v>
      </c>
      <c r="Y35" s="8">
        <v>-5.5800000000000001E-4</v>
      </c>
      <c r="Z35" s="8">
        <v>0.85146500000000003</v>
      </c>
      <c r="AA35" s="8">
        <v>-1.403E-3</v>
      </c>
      <c r="AB35" s="8">
        <v>0.65269999999999995</v>
      </c>
      <c r="AC35" s="8">
        <v>0.39429999999999998</v>
      </c>
      <c r="AD35" s="8">
        <v>0.2427</v>
      </c>
      <c r="AE35" s="8">
        <v>-59.634300000000003</v>
      </c>
      <c r="AG35" s="1">
        <f t="shared" si="9"/>
        <v>-4.0032808398950124</v>
      </c>
      <c r="AH35" s="1">
        <f t="shared" si="10"/>
        <v>2.0436351706036744</v>
      </c>
      <c r="AI35" s="1">
        <f t="shared" si="7"/>
        <v>-0.20766058926730016</v>
      </c>
      <c r="AJ35" s="1">
        <f t="shared" si="11"/>
        <v>-0.26299949737532807</v>
      </c>
      <c r="AL35" s="1">
        <v>-0.91318242082484802</v>
      </c>
      <c r="AM35" s="1">
        <v>0.53968339895013129</v>
      </c>
    </row>
    <row r="36" spans="1:39" x14ac:dyDescent="0.25">
      <c r="A36" s="8">
        <v>-5.2232000000000003</v>
      </c>
      <c r="B36" s="8">
        <v>0.83589999999999998</v>
      </c>
      <c r="C36" s="8">
        <v>-0.85199999999999998</v>
      </c>
      <c r="D36" s="8">
        <v>0.21728</v>
      </c>
      <c r="E36" s="8">
        <v>5.5950000000000001E-3</v>
      </c>
      <c r="F36" s="8">
        <v>1.6299999999999999E-3</v>
      </c>
      <c r="G36" s="8">
        <v>-8.2422999999999996E-2</v>
      </c>
      <c r="H36" s="8">
        <v>-6.9967000000000001E-2</v>
      </c>
      <c r="I36" s="8">
        <v>0.75739999999999996</v>
      </c>
      <c r="J36" s="8">
        <v>0.122</v>
      </c>
      <c r="K36" s="8">
        <v>0.57179999999999997</v>
      </c>
      <c r="L36" s="8">
        <v>90.893799999999999</v>
      </c>
      <c r="N36" s="1">
        <f t="shared" si="2"/>
        <v>-17.136482939632547</v>
      </c>
      <c r="O36" s="1">
        <f t="shared" si="3"/>
        <v>2.7424540682414698</v>
      </c>
      <c r="P36" s="1">
        <f t="shared" si="0"/>
        <v>-0.88891394022370307</v>
      </c>
      <c r="Q36" s="1">
        <f t="shared" si="4"/>
        <v>0.59588041994750651</v>
      </c>
      <c r="R36" s="1">
        <f t="shared" si="1"/>
        <v>0.59571707580577338</v>
      </c>
      <c r="T36" s="8">
        <v>-1.1039000000000001</v>
      </c>
      <c r="U36" s="8">
        <v>0.64200000000000002</v>
      </c>
      <c r="V36" s="8">
        <v>-0.51800000000000002</v>
      </c>
      <c r="W36" s="8">
        <v>-0.13163800000000001</v>
      </c>
      <c r="X36" s="8">
        <v>4.9839999999999997E-3</v>
      </c>
      <c r="Y36" s="8">
        <v>-5.9500000000000004E-4</v>
      </c>
      <c r="Z36" s="8">
        <v>0.84340499999999996</v>
      </c>
      <c r="AA36" s="8">
        <v>-1.3339999999999999E-3</v>
      </c>
      <c r="AB36" s="8">
        <v>0.64590000000000003</v>
      </c>
      <c r="AC36" s="8">
        <v>0.38669999999999999</v>
      </c>
      <c r="AD36" s="8">
        <v>0.24329999999999999</v>
      </c>
      <c r="AE36" s="8">
        <v>-83.6524</v>
      </c>
      <c r="AG36" s="1">
        <f t="shared" si="9"/>
        <v>-3.6217191601049872</v>
      </c>
      <c r="AH36" s="1">
        <f t="shared" si="10"/>
        <v>2.106299212598425</v>
      </c>
      <c r="AI36" s="1">
        <f t="shared" si="7"/>
        <v>-0.18786799253579145</v>
      </c>
      <c r="AJ36" s="1">
        <f t="shared" si="11"/>
        <v>-0.27726901574803148</v>
      </c>
      <c r="AL36" s="1">
        <v>-0.88891394022370307</v>
      </c>
      <c r="AM36" s="1">
        <v>0.59588041994750651</v>
      </c>
    </row>
    <row r="37" spans="1:39" x14ac:dyDescent="0.25">
      <c r="A37" s="8">
        <v>-5.0804999999999998</v>
      </c>
      <c r="B37" s="8">
        <v>0.85919999999999996</v>
      </c>
      <c r="C37" s="8">
        <v>-0.81100000000000005</v>
      </c>
      <c r="D37" s="8">
        <v>0.22941900000000001</v>
      </c>
      <c r="E37" s="8">
        <v>5.4060000000000002E-3</v>
      </c>
      <c r="F37" s="8">
        <v>1.635E-3</v>
      </c>
      <c r="G37" s="8">
        <v>-8.2852999999999996E-2</v>
      </c>
      <c r="H37" s="8">
        <v>-7.0598999999999995E-2</v>
      </c>
      <c r="I37" s="8">
        <v>0.75639999999999996</v>
      </c>
      <c r="J37" s="8">
        <v>0.16089999999999999</v>
      </c>
      <c r="K37" s="8">
        <v>0.55759999999999998</v>
      </c>
      <c r="L37" s="8">
        <v>148.55240000000001</v>
      </c>
      <c r="N37" s="1">
        <f t="shared" si="2"/>
        <v>-16.66830708661417</v>
      </c>
      <c r="O37" s="1">
        <f t="shared" si="3"/>
        <v>2.8188976377952755</v>
      </c>
      <c r="P37" s="1">
        <f t="shared" si="0"/>
        <v>-0.86462844105271142</v>
      </c>
      <c r="Q37" s="1">
        <f t="shared" si="4"/>
        <v>0.6467086771653543</v>
      </c>
      <c r="R37" s="1">
        <f t="shared" si="1"/>
        <v>0.65337731084148831</v>
      </c>
      <c r="T37" s="8">
        <v>-0.98770000000000002</v>
      </c>
      <c r="U37" s="8">
        <v>0.66100000000000003</v>
      </c>
      <c r="V37" s="8">
        <v>-0.53300000000000003</v>
      </c>
      <c r="W37" s="8">
        <v>-0.13384199999999999</v>
      </c>
      <c r="X37" s="8">
        <v>5.012E-3</v>
      </c>
      <c r="Y37" s="8">
        <v>-6.2299999999999996E-4</v>
      </c>
      <c r="Z37" s="8">
        <v>0.83109900000000003</v>
      </c>
      <c r="AA37" s="8">
        <v>-1.297E-3</v>
      </c>
      <c r="AB37" s="8">
        <v>0.63839999999999997</v>
      </c>
      <c r="AC37" s="8">
        <v>0.38</v>
      </c>
      <c r="AD37" s="8">
        <v>0.2437</v>
      </c>
      <c r="AE37" s="8">
        <v>-112.4593</v>
      </c>
      <c r="AG37" s="1">
        <f t="shared" si="9"/>
        <v>-3.2404855643044619</v>
      </c>
      <c r="AH37" s="1">
        <f t="shared" si="10"/>
        <v>2.1686351706036744</v>
      </c>
      <c r="AI37" s="1">
        <f t="shared" si="7"/>
        <v>-0.16809241437412917</v>
      </c>
      <c r="AJ37" s="1">
        <f t="shared" si="11"/>
        <v>-0.29025446850393699</v>
      </c>
      <c r="AL37" s="1">
        <v>-0.86462844105271142</v>
      </c>
      <c r="AM37" s="1">
        <v>0.6467086771653543</v>
      </c>
    </row>
    <row r="38" spans="1:39" x14ac:dyDescent="0.25">
      <c r="A38" s="8">
        <v>-4.9379</v>
      </c>
      <c r="B38" s="8">
        <v>0.88249999999999995</v>
      </c>
      <c r="C38" s="8">
        <v>-0.78900000000000003</v>
      </c>
      <c r="D38" s="8">
        <v>0.239617</v>
      </c>
      <c r="E38" s="8">
        <v>5.2459999999999998E-3</v>
      </c>
      <c r="F38" s="8">
        <v>1.66E-3</v>
      </c>
      <c r="G38" s="8">
        <v>-8.2871E-2</v>
      </c>
      <c r="H38" s="8">
        <v>-7.0961999999999997E-2</v>
      </c>
      <c r="I38" s="8">
        <v>0.75539999999999996</v>
      </c>
      <c r="J38" s="8">
        <v>0.19450000000000001</v>
      </c>
      <c r="K38" s="8">
        <v>0.54600000000000004</v>
      </c>
      <c r="L38" s="8">
        <v>223.0283</v>
      </c>
      <c r="N38" s="1">
        <f t="shared" si="2"/>
        <v>-16.200459317585302</v>
      </c>
      <c r="O38" s="1">
        <f t="shared" si="3"/>
        <v>2.8953412073490812</v>
      </c>
      <c r="P38" s="1">
        <f t="shared" si="0"/>
        <v>-0.84035996045156669</v>
      </c>
      <c r="Q38" s="1">
        <f t="shared" si="4"/>
        <v>0.69377297408136473</v>
      </c>
      <c r="R38" s="1">
        <f t="shared" si="1"/>
        <v>0.70489833251696221</v>
      </c>
      <c r="T38" s="8">
        <v>-0.87150000000000005</v>
      </c>
      <c r="U38" s="8">
        <v>0.68010000000000004</v>
      </c>
      <c r="V38" s="8">
        <v>-0.54200000000000004</v>
      </c>
      <c r="W38" s="8">
        <v>-0.13542699999999999</v>
      </c>
      <c r="X38" s="8">
        <v>5.0379999999999999E-3</v>
      </c>
      <c r="Y38" s="8">
        <v>-6.4099999999999997E-4</v>
      </c>
      <c r="Z38" s="8">
        <v>0.81566799999999995</v>
      </c>
      <c r="AA38" s="8">
        <v>-1.286E-3</v>
      </c>
      <c r="AB38" s="8">
        <v>0.63070000000000004</v>
      </c>
      <c r="AC38" s="8">
        <v>0.37430000000000002</v>
      </c>
      <c r="AD38" s="8">
        <v>0.24379999999999999</v>
      </c>
      <c r="AE38" s="8">
        <v>-146.2799</v>
      </c>
      <c r="AG38" s="1">
        <f t="shared" si="9"/>
        <v>-2.859251968503937</v>
      </c>
      <c r="AH38" s="1">
        <f t="shared" si="10"/>
        <v>2.231299212598425</v>
      </c>
      <c r="AI38" s="1">
        <f t="shared" si="7"/>
        <v>-0.14831683621246691</v>
      </c>
      <c r="AJ38" s="1">
        <f t="shared" si="11"/>
        <v>-0.30217815846456686</v>
      </c>
      <c r="AL38" s="1">
        <v>-0.84035996045156669</v>
      </c>
      <c r="AM38" s="1">
        <v>0.69377297408136473</v>
      </c>
    </row>
    <row r="39" spans="1:39" x14ac:dyDescent="0.25">
      <c r="A39" s="8">
        <v>-4.7952000000000004</v>
      </c>
      <c r="B39" s="8">
        <v>0.90580000000000005</v>
      </c>
      <c r="C39" s="8">
        <v>-0.78200000000000003</v>
      </c>
      <c r="D39" s="8">
        <v>0.24834800000000001</v>
      </c>
      <c r="E39" s="8">
        <v>5.1060000000000003E-3</v>
      </c>
      <c r="F39" s="8">
        <v>1.7030000000000001E-3</v>
      </c>
      <c r="G39" s="8">
        <v>-8.2639000000000004E-2</v>
      </c>
      <c r="H39" s="8">
        <v>-7.1171999999999999E-2</v>
      </c>
      <c r="I39" s="8">
        <v>0.75449999999999995</v>
      </c>
      <c r="J39" s="8">
        <v>0.22209999999999999</v>
      </c>
      <c r="K39" s="8">
        <v>0.53639999999999999</v>
      </c>
      <c r="L39" s="8">
        <v>315.54570000000001</v>
      </c>
      <c r="N39" s="1">
        <f t="shared" si="2"/>
        <v>-15.73228346456693</v>
      </c>
      <c r="O39" s="1">
        <f t="shared" si="3"/>
        <v>2.9717847769028873</v>
      </c>
      <c r="P39" s="1">
        <f t="shared" si="0"/>
        <v>-0.81607446128057526</v>
      </c>
      <c r="Q39" s="1">
        <f t="shared" si="4"/>
        <v>0.73803680577427833</v>
      </c>
      <c r="R39" s="1">
        <f t="shared" si="1"/>
        <v>0.75160909341902982</v>
      </c>
      <c r="T39" s="8">
        <v>-0.75529999999999997</v>
      </c>
      <c r="U39" s="8">
        <v>0.69910000000000005</v>
      </c>
      <c r="V39" s="8">
        <v>-0.54600000000000004</v>
      </c>
      <c r="W39" s="8">
        <v>-0.136461</v>
      </c>
      <c r="X39" s="8">
        <v>5.0610000000000004E-3</v>
      </c>
      <c r="Y39" s="8">
        <v>-6.5099999999999999E-4</v>
      </c>
      <c r="Z39" s="8">
        <v>0.79780399999999996</v>
      </c>
      <c r="AA39" s="8">
        <v>-1.292E-3</v>
      </c>
      <c r="AB39" s="8">
        <v>0.623</v>
      </c>
      <c r="AC39" s="8">
        <v>0.36980000000000002</v>
      </c>
      <c r="AD39" s="8">
        <v>0.2437</v>
      </c>
      <c r="AE39" s="8">
        <v>-185.31960000000001</v>
      </c>
      <c r="AG39" s="1">
        <f t="shared" si="9"/>
        <v>-2.4780183727034117</v>
      </c>
      <c r="AH39" s="1">
        <f t="shared" si="10"/>
        <v>2.2936351706036744</v>
      </c>
      <c r="AI39" s="1">
        <f t="shared" si="7"/>
        <v>-0.12854125805080463</v>
      </c>
      <c r="AJ39" s="1">
        <f t="shared" si="11"/>
        <v>-0.312991749015748</v>
      </c>
      <c r="AL39" s="1">
        <v>-0.81607446128057526</v>
      </c>
      <c r="AM39" s="1">
        <v>0.73803680577427833</v>
      </c>
    </row>
    <row r="40" spans="1:39" x14ac:dyDescent="0.25">
      <c r="A40" s="8">
        <v>-4.6525999999999996</v>
      </c>
      <c r="B40" s="8">
        <v>0.92920000000000003</v>
      </c>
      <c r="C40" s="8">
        <v>-0.78500000000000003</v>
      </c>
      <c r="D40" s="8">
        <v>0.25592500000000001</v>
      </c>
      <c r="E40" s="8">
        <v>4.986E-3</v>
      </c>
      <c r="F40" s="8">
        <v>1.761E-3</v>
      </c>
      <c r="G40" s="8">
        <v>-8.2248000000000002E-2</v>
      </c>
      <c r="H40" s="8">
        <v>-7.1289000000000005E-2</v>
      </c>
      <c r="I40" s="8">
        <v>0.75370000000000004</v>
      </c>
      <c r="J40" s="8">
        <v>0.24360000000000001</v>
      </c>
      <c r="K40" s="8">
        <v>0.52839999999999998</v>
      </c>
      <c r="L40" s="8">
        <v>427.2559</v>
      </c>
      <c r="N40" s="1">
        <f t="shared" si="2"/>
        <v>-15.264435695538056</v>
      </c>
      <c r="O40" s="1">
        <f t="shared" si="3"/>
        <v>3.0485564304461943</v>
      </c>
      <c r="P40" s="1">
        <f t="shared" si="0"/>
        <v>-0.79180598067943031</v>
      </c>
      <c r="Q40" s="1">
        <f t="shared" si="4"/>
        <v>0.78020180446194232</v>
      </c>
      <c r="R40" s="1">
        <f t="shared" si="1"/>
        <v>0.79429860091190529</v>
      </c>
      <c r="T40" s="8">
        <v>-0.6391</v>
      </c>
      <c r="U40" s="8">
        <v>0.71819999999999995</v>
      </c>
      <c r="V40" s="8">
        <v>-0.54700000000000004</v>
      </c>
      <c r="W40" s="8">
        <v>-0.13697999999999999</v>
      </c>
      <c r="X40" s="8">
        <v>5.0829999999999998E-3</v>
      </c>
      <c r="Y40" s="8">
        <v>-6.5399999999999996E-4</v>
      </c>
      <c r="Z40" s="8">
        <v>0.77792099999999997</v>
      </c>
      <c r="AA40" s="8">
        <v>-1.305E-3</v>
      </c>
      <c r="AB40" s="8">
        <v>0.61509999999999998</v>
      </c>
      <c r="AC40" s="8">
        <v>0.3659</v>
      </c>
      <c r="AD40" s="8">
        <v>0.24349999999999999</v>
      </c>
      <c r="AE40" s="8">
        <v>-229.76560000000001</v>
      </c>
      <c r="AG40" s="1">
        <f t="shared" si="9"/>
        <v>-2.0967847769028869</v>
      </c>
      <c r="AH40" s="1">
        <f t="shared" si="10"/>
        <v>2.356299212598425</v>
      </c>
      <c r="AI40" s="1">
        <f t="shared" si="7"/>
        <v>-0.10876567988914239</v>
      </c>
      <c r="AJ40" s="1">
        <f t="shared" si="11"/>
        <v>-0.32276586614173225</v>
      </c>
      <c r="AL40" s="1">
        <v>-0.79180598067943031</v>
      </c>
      <c r="AM40" s="1">
        <v>0.78020180446194232</v>
      </c>
    </row>
    <row r="41" spans="1:39" x14ac:dyDescent="0.25">
      <c r="A41" s="8">
        <v>-4.51</v>
      </c>
      <c r="B41" s="8">
        <v>0.95250000000000001</v>
      </c>
      <c r="C41" s="8">
        <v>-0.79700000000000004</v>
      </c>
      <c r="D41" s="8">
        <v>0.26255800000000001</v>
      </c>
      <c r="E41" s="8">
        <v>4.8840000000000003E-3</v>
      </c>
      <c r="F41" s="8">
        <v>1.8320000000000001E-3</v>
      </c>
      <c r="G41" s="8">
        <v>-8.1754999999999994E-2</v>
      </c>
      <c r="H41" s="8">
        <v>-7.1349999999999997E-2</v>
      </c>
      <c r="I41" s="8">
        <v>0.75290000000000001</v>
      </c>
      <c r="J41" s="8">
        <v>0.25990000000000002</v>
      </c>
      <c r="K41" s="8">
        <v>0.52159999999999995</v>
      </c>
      <c r="L41" s="8">
        <v>559.25369999999998</v>
      </c>
      <c r="N41" s="1">
        <f t="shared" si="2"/>
        <v>-14.796587926509185</v>
      </c>
      <c r="O41" s="1">
        <f t="shared" si="3"/>
        <v>3.125</v>
      </c>
      <c r="P41" s="1">
        <f t="shared" si="0"/>
        <v>-0.76753750007828536</v>
      </c>
      <c r="Q41" s="1">
        <f t="shared" si="4"/>
        <v>0.82049375000000002</v>
      </c>
      <c r="R41" s="1">
        <f t="shared" si="1"/>
        <v>0.83361390861844331</v>
      </c>
      <c r="T41" s="8">
        <v>-0.52290000000000003</v>
      </c>
      <c r="U41" s="8">
        <v>0.73719999999999997</v>
      </c>
      <c r="V41" s="8">
        <v>-0.54400000000000004</v>
      </c>
      <c r="W41" s="8">
        <v>-0.13699</v>
      </c>
      <c r="X41" s="8">
        <v>5.1019999999999998E-3</v>
      </c>
      <c r="Y41" s="8">
        <v>-6.4999999999999997E-4</v>
      </c>
      <c r="Z41" s="8">
        <v>0.756247</v>
      </c>
      <c r="AA41" s="8">
        <v>-1.3159999999999999E-3</v>
      </c>
      <c r="AB41" s="8">
        <v>0.60680000000000001</v>
      </c>
      <c r="AC41" s="8">
        <v>0.36259999999999998</v>
      </c>
      <c r="AD41" s="8">
        <v>0.24340000000000001</v>
      </c>
      <c r="AE41" s="8">
        <v>-279.78640000000001</v>
      </c>
      <c r="AG41" s="1">
        <f t="shared" si="9"/>
        <v>-1.7155511811023623</v>
      </c>
      <c r="AH41" s="1">
        <f t="shared" si="10"/>
        <v>2.4186351706036744</v>
      </c>
      <c r="AI41" s="1">
        <f t="shared" si="7"/>
        <v>-8.8990101727480148E-2</v>
      </c>
      <c r="AJ41" s="1">
        <f t="shared" si="11"/>
        <v>-0.33132883202099733</v>
      </c>
      <c r="AL41" s="1">
        <v>-0.76753750007828536</v>
      </c>
      <c r="AM41" s="1">
        <v>0.82049375000000002</v>
      </c>
    </row>
    <row r="42" spans="1:39" x14ac:dyDescent="0.25">
      <c r="A42" s="8">
        <v>-4.3673000000000002</v>
      </c>
      <c r="B42" s="8">
        <v>0.9758</v>
      </c>
      <c r="C42" s="8">
        <v>-0.81499999999999995</v>
      </c>
      <c r="D42" s="8">
        <v>0.26839499999999999</v>
      </c>
      <c r="E42" s="8">
        <v>4.7959999999999999E-3</v>
      </c>
      <c r="F42" s="8">
        <v>1.9139999999999999E-3</v>
      </c>
      <c r="G42" s="8">
        <v>-8.1195000000000003E-2</v>
      </c>
      <c r="H42" s="8">
        <v>-7.1374999999999994E-2</v>
      </c>
      <c r="I42" s="8">
        <v>0.75209999999999999</v>
      </c>
      <c r="J42" s="8">
        <v>0.27350000000000002</v>
      </c>
      <c r="K42" s="8">
        <v>0.51580000000000004</v>
      </c>
      <c r="L42" s="8">
        <v>712.58730000000003</v>
      </c>
      <c r="N42" s="1">
        <f t="shared" si="2"/>
        <v>-14.328412073490814</v>
      </c>
      <c r="O42" s="1">
        <f t="shared" si="3"/>
        <v>3.2014435695538057</v>
      </c>
      <c r="P42" s="1">
        <f t="shared" si="0"/>
        <v>-0.74325200090729404</v>
      </c>
      <c r="Q42" s="1">
        <f t="shared" si="4"/>
        <v>0.85925144685039367</v>
      </c>
      <c r="R42" s="1">
        <f t="shared" si="1"/>
        <v>0.87003715959884786</v>
      </c>
      <c r="T42" s="8">
        <v>-0.40670000000000001</v>
      </c>
      <c r="U42" s="8">
        <v>0.75629999999999997</v>
      </c>
      <c r="V42" s="8">
        <v>-0.53800000000000003</v>
      </c>
      <c r="W42" s="8">
        <v>-0.13648099999999999</v>
      </c>
      <c r="X42" s="8">
        <v>5.1200000000000004E-3</v>
      </c>
      <c r="Y42" s="8">
        <v>-6.4000000000000005E-4</v>
      </c>
      <c r="Z42" s="8">
        <v>0.73289000000000004</v>
      </c>
      <c r="AA42" s="8">
        <v>-1.305E-3</v>
      </c>
      <c r="AB42" s="8">
        <v>0.59809999999999997</v>
      </c>
      <c r="AC42" s="8">
        <v>0.35970000000000002</v>
      </c>
      <c r="AD42" s="8">
        <v>0.24329999999999999</v>
      </c>
      <c r="AE42" s="8">
        <v>-335.53030000000001</v>
      </c>
      <c r="AG42" s="1">
        <f t="shared" si="9"/>
        <v>-1.3343175853018372</v>
      </c>
      <c r="AH42" s="1">
        <f t="shared" si="10"/>
        <v>2.481299212598425</v>
      </c>
      <c r="AI42" s="1">
        <f t="shared" si="7"/>
        <v>-6.9214523565817893E-2</v>
      </c>
      <c r="AJ42" s="1">
        <f t="shared" si="11"/>
        <v>-0.33865019783464562</v>
      </c>
      <c r="AL42" s="1">
        <v>-0.74325200090729404</v>
      </c>
      <c r="AM42" s="1">
        <v>0.85925144685039367</v>
      </c>
    </row>
    <row r="43" spans="1:39" x14ac:dyDescent="0.25">
      <c r="A43" s="8">
        <v>-4.2247000000000003</v>
      </c>
      <c r="B43" s="8">
        <v>0.99909999999999999</v>
      </c>
      <c r="C43" s="8">
        <v>-0.83799999999999997</v>
      </c>
      <c r="D43" s="8">
        <v>0.27354000000000001</v>
      </c>
      <c r="E43" s="8">
        <v>4.7190000000000001E-3</v>
      </c>
      <c r="F43" s="8">
        <v>2.0049999999999998E-3</v>
      </c>
      <c r="G43" s="8">
        <v>-8.0596000000000001E-2</v>
      </c>
      <c r="H43" s="8">
        <v>-7.1379999999999999E-2</v>
      </c>
      <c r="I43" s="8">
        <v>0.75129999999999997</v>
      </c>
      <c r="J43" s="8">
        <v>0.28539999999999999</v>
      </c>
      <c r="K43" s="8">
        <v>0.51080000000000003</v>
      </c>
      <c r="L43" s="8">
        <v>888.26509999999996</v>
      </c>
      <c r="N43" s="1">
        <f t="shared" si="2"/>
        <v>-13.860564304461942</v>
      </c>
      <c r="O43" s="1">
        <f t="shared" si="3"/>
        <v>3.2778871391076114</v>
      </c>
      <c r="P43" s="1">
        <f t="shared" si="0"/>
        <v>-0.71898352030614909</v>
      </c>
      <c r="Q43" s="1">
        <f t="shared" si="4"/>
        <v>0.89663324803149602</v>
      </c>
      <c r="R43" s="1">
        <f t="shared" si="1"/>
        <v>0.9038699184905058</v>
      </c>
      <c r="T43" s="8">
        <v>-0.29049999999999998</v>
      </c>
      <c r="U43" s="8">
        <v>0.77529999999999999</v>
      </c>
      <c r="V43" s="8">
        <v>-0.52900000000000003</v>
      </c>
      <c r="W43" s="8">
        <v>-0.13542599999999999</v>
      </c>
      <c r="X43" s="8">
        <v>5.1370000000000001E-3</v>
      </c>
      <c r="Y43" s="8">
        <v>-6.2500000000000001E-4</v>
      </c>
      <c r="Z43" s="8">
        <v>0.70788799999999996</v>
      </c>
      <c r="AA43" s="8">
        <v>-1.2470000000000001E-3</v>
      </c>
      <c r="AB43" s="8">
        <v>0.58930000000000005</v>
      </c>
      <c r="AC43" s="8">
        <v>0.35749999999999998</v>
      </c>
      <c r="AD43" s="8">
        <v>0.24360000000000001</v>
      </c>
      <c r="AE43" s="8">
        <v>-397.12329999999997</v>
      </c>
      <c r="AG43" s="1">
        <f t="shared" si="9"/>
        <v>-0.95308398950131223</v>
      </c>
      <c r="AH43" s="1">
        <f t="shared" si="10"/>
        <v>2.5436351706036744</v>
      </c>
      <c r="AI43" s="1">
        <f t="shared" si="7"/>
        <v>-4.9438945404155631E-2</v>
      </c>
      <c r="AJ43" s="1">
        <f t="shared" si="11"/>
        <v>-0.3444743366141732</v>
      </c>
      <c r="AL43" s="1">
        <v>-0.71898352030614909</v>
      </c>
      <c r="AM43" s="1">
        <v>0.89663324803149602</v>
      </c>
    </row>
    <row r="44" spans="1:39" x14ac:dyDescent="0.25">
      <c r="A44" s="8">
        <v>-4.0820999999999996</v>
      </c>
      <c r="B44" s="8">
        <v>1.0225</v>
      </c>
      <c r="C44" s="8">
        <v>-0.86399999999999999</v>
      </c>
      <c r="D44" s="8">
        <v>0.27807100000000001</v>
      </c>
      <c r="E44" s="8">
        <v>4.6540000000000002E-3</v>
      </c>
      <c r="F44" s="8">
        <v>2.1020000000000001E-3</v>
      </c>
      <c r="G44" s="8">
        <v>-7.9979999999999996E-2</v>
      </c>
      <c r="H44" s="8">
        <v>-7.1378999999999998E-2</v>
      </c>
      <c r="I44" s="8">
        <v>0.75060000000000004</v>
      </c>
      <c r="J44" s="8">
        <v>0.29449999999999998</v>
      </c>
      <c r="K44" s="8">
        <v>0.50660000000000005</v>
      </c>
      <c r="L44" s="8">
        <v>1087.2596000000001</v>
      </c>
      <c r="N44" s="1">
        <f t="shared" si="2"/>
        <v>-13.392716535433069</v>
      </c>
      <c r="O44" s="1">
        <f t="shared" si="3"/>
        <v>3.3546587926509184</v>
      </c>
      <c r="P44" s="1">
        <f t="shared" si="0"/>
        <v>-0.69471503970500414</v>
      </c>
      <c r="Q44" s="1">
        <f t="shared" si="4"/>
        <v>0.93283332513123352</v>
      </c>
      <c r="R44" s="1">
        <f t="shared" si="1"/>
        <v>0.9354169354637053</v>
      </c>
      <c r="T44" s="8">
        <v>-0.17430000000000001</v>
      </c>
      <c r="U44" s="8">
        <v>0.7944</v>
      </c>
      <c r="V44" s="8">
        <v>-0.51800000000000002</v>
      </c>
      <c r="W44" s="8">
        <v>-0.133794</v>
      </c>
      <c r="X44" s="8">
        <v>5.1539999999999997E-3</v>
      </c>
      <c r="Y44" s="8">
        <v>-6.0499999999999996E-4</v>
      </c>
      <c r="Z44" s="8">
        <v>0.68125500000000005</v>
      </c>
      <c r="AA44" s="8">
        <v>-1.096E-3</v>
      </c>
      <c r="AB44" s="8">
        <v>0.58040000000000003</v>
      </c>
      <c r="AC44" s="8">
        <v>0.35620000000000002</v>
      </c>
      <c r="AD44" s="8">
        <v>0.2445</v>
      </c>
      <c r="AE44" s="8">
        <v>-464.66640000000001</v>
      </c>
      <c r="AG44" s="1">
        <f t="shared" si="9"/>
        <v>-0.57185039370078738</v>
      </c>
      <c r="AH44" s="1">
        <f t="shared" si="10"/>
        <v>2.606299212598425</v>
      </c>
      <c r="AI44" s="1">
        <f t="shared" si="7"/>
        <v>-2.9663367242493383E-2</v>
      </c>
      <c r="AJ44" s="1">
        <f t="shared" si="11"/>
        <v>-0.34870719685039364</v>
      </c>
      <c r="AL44" s="1">
        <v>-0.69471503970500414</v>
      </c>
      <c r="AM44" s="1">
        <v>0.93283332513123352</v>
      </c>
    </row>
    <row r="45" spans="1:39" x14ac:dyDescent="0.25">
      <c r="A45" s="8">
        <v>-3.9394</v>
      </c>
      <c r="B45" s="8">
        <v>1.0458000000000001</v>
      </c>
      <c r="C45" s="8">
        <v>-0.89400000000000002</v>
      </c>
      <c r="D45" s="8">
        <v>0.28204299999999999</v>
      </c>
      <c r="E45" s="8">
        <v>4.5659999999999997E-3</v>
      </c>
      <c r="F45" s="8">
        <v>2.2039999999999998E-3</v>
      </c>
      <c r="G45" s="8">
        <v>-7.9362000000000002E-2</v>
      </c>
      <c r="H45" s="8">
        <v>-7.1387999999999993E-2</v>
      </c>
      <c r="I45" s="8">
        <v>0.74980000000000002</v>
      </c>
      <c r="J45" s="8">
        <v>0.31140000000000001</v>
      </c>
      <c r="K45" s="8">
        <v>0.503</v>
      </c>
      <c r="L45" s="8">
        <v>1310.5102999999999</v>
      </c>
      <c r="N45" s="1">
        <f t="shared" si="2"/>
        <v>-12.924540682414698</v>
      </c>
      <c r="O45" s="1">
        <f t="shared" si="3"/>
        <v>3.4311023622047245</v>
      </c>
      <c r="P45" s="1">
        <f t="shared" si="0"/>
        <v>-0.67042954053401282</v>
      </c>
      <c r="Q45" s="1">
        <f t="shared" si="4"/>
        <v>0.96771840354330707</v>
      </c>
      <c r="R45" s="1">
        <f t="shared" si="1"/>
        <v>0.96492242895931968</v>
      </c>
      <c r="T45" s="8">
        <v>-5.8099999999999999E-2</v>
      </c>
      <c r="U45" s="8">
        <v>0.81340000000000001</v>
      </c>
      <c r="V45" s="8">
        <v>-0.503</v>
      </c>
      <c r="W45" s="8">
        <v>-0.13154199999999999</v>
      </c>
      <c r="X45" s="8">
        <v>5.1710000000000002E-3</v>
      </c>
      <c r="Y45" s="8">
        <v>-5.7700000000000004E-4</v>
      </c>
      <c r="Z45" s="8">
        <v>0.653003</v>
      </c>
      <c r="AA45" s="8">
        <v>-7.8100000000000001E-4</v>
      </c>
      <c r="AB45" s="8">
        <v>0.57120000000000004</v>
      </c>
      <c r="AC45" s="8">
        <v>0.35539999999999999</v>
      </c>
      <c r="AD45" s="8">
        <v>0.2467</v>
      </c>
      <c r="AE45" s="8">
        <v>-538.23230000000001</v>
      </c>
      <c r="AG45" s="1">
        <f t="shared" si="9"/>
        <v>-0.19061679790026245</v>
      </c>
      <c r="AH45" s="1">
        <f t="shared" si="10"/>
        <v>2.6686351706036744</v>
      </c>
      <c r="AI45" s="1">
        <f t="shared" si="7"/>
        <v>-9.8877890808311275E-3</v>
      </c>
      <c r="AJ45" s="1">
        <f t="shared" si="11"/>
        <v>-0.35103760761154851</v>
      </c>
      <c r="AL45" s="1">
        <v>-0.67042954053401282</v>
      </c>
      <c r="AM45" s="1">
        <v>0.96771840354330707</v>
      </c>
    </row>
    <row r="46" spans="1:39" x14ac:dyDescent="0.25">
      <c r="A46" s="8">
        <v>-3.7968000000000002</v>
      </c>
      <c r="B46" s="8">
        <v>1.0690999999999999</v>
      </c>
      <c r="C46" s="8">
        <v>-0.92500000000000004</v>
      </c>
      <c r="D46" s="8">
        <v>0.28549799999999997</v>
      </c>
      <c r="E46" s="8">
        <v>4.4759999999999999E-3</v>
      </c>
      <c r="F46" s="8">
        <v>2.3080000000000002E-3</v>
      </c>
      <c r="G46" s="8">
        <v>-7.8772999999999996E-2</v>
      </c>
      <c r="H46" s="8">
        <v>-7.1429000000000006E-2</v>
      </c>
      <c r="I46" s="8">
        <v>0.74909999999999999</v>
      </c>
      <c r="J46" s="8">
        <v>0.32929999999999998</v>
      </c>
      <c r="K46" s="8">
        <v>0.50009999999999999</v>
      </c>
      <c r="L46" s="8">
        <v>1558.925</v>
      </c>
      <c r="N46" s="1">
        <f t="shared" si="2"/>
        <v>-12.456692913385826</v>
      </c>
      <c r="O46" s="1">
        <f t="shared" si="3"/>
        <v>3.5075459317585298</v>
      </c>
      <c r="P46" s="1">
        <f t="shared" si="0"/>
        <v>-0.64616105993286788</v>
      </c>
      <c r="Q46" s="1">
        <f t="shared" si="4"/>
        <v>1.0013973484251966</v>
      </c>
      <c r="R46" s="1">
        <f t="shared" si="1"/>
        <v>0.99252888962826868</v>
      </c>
      <c r="T46" s="8">
        <v>5.8099999999999999E-2</v>
      </c>
      <c r="U46" s="8">
        <v>0.81340000000000001</v>
      </c>
      <c r="V46" s="8">
        <v>-0.503</v>
      </c>
      <c r="W46" s="8">
        <v>-0.13154199999999999</v>
      </c>
      <c r="X46" s="8">
        <v>5.1710000000000002E-3</v>
      </c>
      <c r="Y46" s="8">
        <v>-5.7700000000000004E-4</v>
      </c>
      <c r="Z46" s="8">
        <v>0.653003</v>
      </c>
      <c r="AA46" s="8">
        <v>-7.8100000000000001E-4</v>
      </c>
      <c r="AB46" s="8">
        <v>0.57130000000000003</v>
      </c>
      <c r="AC46" s="8">
        <v>0.35539999999999999</v>
      </c>
      <c r="AD46" s="8">
        <v>0.2467</v>
      </c>
      <c r="AE46" s="8">
        <v>-538.23230000000001</v>
      </c>
      <c r="AG46" s="1">
        <f t="shared" si="9"/>
        <v>0.19061679790026245</v>
      </c>
      <c r="AH46" s="1">
        <f t="shared" si="10"/>
        <v>2.6686351706036744</v>
      </c>
      <c r="AI46" s="1">
        <f t="shared" si="7"/>
        <v>9.8877890808311275E-3</v>
      </c>
      <c r="AJ46" s="1">
        <f t="shared" si="11"/>
        <v>-0.35103760761154851</v>
      </c>
      <c r="AL46" s="1">
        <v>-0.64616105993286788</v>
      </c>
      <c r="AM46" s="1">
        <v>1.0013973484251966</v>
      </c>
    </row>
    <row r="47" spans="1:39" x14ac:dyDescent="0.25">
      <c r="A47" s="8">
        <v>-3.6543000000000001</v>
      </c>
      <c r="B47" s="8">
        <v>1.0925</v>
      </c>
      <c r="C47" s="8">
        <v>-0.95599999999999996</v>
      </c>
      <c r="D47" s="8">
        <v>0.28847</v>
      </c>
      <c r="E47" s="8">
        <v>4.3920000000000001E-3</v>
      </c>
      <c r="F47" s="8">
        <v>2.4099999999999998E-3</v>
      </c>
      <c r="G47" s="8">
        <v>-7.8258999999999995E-2</v>
      </c>
      <c r="H47" s="8">
        <v>-7.1541999999999994E-2</v>
      </c>
      <c r="I47" s="8">
        <v>0.74839999999999995</v>
      </c>
      <c r="J47" s="8">
        <v>0.34589999999999999</v>
      </c>
      <c r="K47" s="8">
        <v>0.49790000000000001</v>
      </c>
      <c r="L47" s="8">
        <v>1833.38</v>
      </c>
      <c r="N47" s="1">
        <f t="shared" si="2"/>
        <v>-11.989173228346456</v>
      </c>
      <c r="O47" s="1">
        <f t="shared" si="3"/>
        <v>3.5843175853018372</v>
      </c>
      <c r="P47" s="1">
        <f t="shared" si="0"/>
        <v>-0.62190959790156952</v>
      </c>
      <c r="Q47" s="1">
        <f t="shared" si="4"/>
        <v>1.033968093832021</v>
      </c>
      <c r="R47" s="1">
        <f t="shared" si="1"/>
        <v>1.018392823393595</v>
      </c>
      <c r="T47" s="8">
        <v>0.17430000000000001</v>
      </c>
      <c r="U47" s="8">
        <v>0.7944</v>
      </c>
      <c r="V47" s="8">
        <v>-0.51800000000000002</v>
      </c>
      <c r="W47" s="8">
        <v>-0.133794</v>
      </c>
      <c r="X47" s="8">
        <v>5.1539999999999997E-3</v>
      </c>
      <c r="Y47" s="8">
        <v>-6.0499999999999996E-4</v>
      </c>
      <c r="Z47" s="8">
        <v>0.68125500000000005</v>
      </c>
      <c r="AA47" s="8">
        <v>-1.096E-3</v>
      </c>
      <c r="AB47" s="8">
        <v>0.58040000000000003</v>
      </c>
      <c r="AC47" s="8">
        <v>0.35620000000000002</v>
      </c>
      <c r="AD47" s="8">
        <v>0.2445</v>
      </c>
      <c r="AE47" s="8">
        <v>-464.66640000000001</v>
      </c>
      <c r="AG47" s="1">
        <f t="shared" si="9"/>
        <v>0.57185039370078738</v>
      </c>
      <c r="AH47" s="1">
        <f t="shared" si="10"/>
        <v>2.606299212598425</v>
      </c>
      <c r="AI47" s="1">
        <f t="shared" si="7"/>
        <v>2.9663367242493383E-2</v>
      </c>
      <c r="AJ47" s="1">
        <f t="shared" si="11"/>
        <v>-0.34870719685039364</v>
      </c>
      <c r="AL47" s="1">
        <v>-0.62190959790156952</v>
      </c>
      <c r="AM47" s="1">
        <v>1.033968093832021</v>
      </c>
    </row>
    <row r="48" spans="1:39" x14ac:dyDescent="0.25">
      <c r="A48" s="8">
        <v>-3.5118999999999998</v>
      </c>
      <c r="B48" s="8">
        <v>1.1157999999999999</v>
      </c>
      <c r="C48" s="8">
        <v>-0.98399999999999999</v>
      </c>
      <c r="D48" s="8">
        <v>0.29099399999999997</v>
      </c>
      <c r="E48" s="8">
        <v>4.3169999999999997E-3</v>
      </c>
      <c r="F48" s="8">
        <v>2.5010000000000002E-3</v>
      </c>
      <c r="G48" s="8">
        <v>-7.7907000000000004E-2</v>
      </c>
      <c r="H48" s="8">
        <v>-7.1809999999999999E-2</v>
      </c>
      <c r="I48" s="8">
        <v>0.74780000000000002</v>
      </c>
      <c r="J48" s="8">
        <v>0.35980000000000001</v>
      </c>
      <c r="K48" s="8">
        <v>0.49659999999999999</v>
      </c>
      <c r="L48" s="8">
        <v>2134.7206999999999</v>
      </c>
      <c r="N48" s="1">
        <f t="shared" si="2"/>
        <v>-11.521981627296586</v>
      </c>
      <c r="O48" s="1">
        <f t="shared" si="3"/>
        <v>3.6607611548556425</v>
      </c>
      <c r="P48" s="1">
        <f t="shared" si="0"/>
        <v>-0.59767515444011765</v>
      </c>
      <c r="Q48" s="1">
        <f t="shared" si="4"/>
        <v>1.0652595314960627</v>
      </c>
      <c r="R48" s="1">
        <f t="shared" si="1"/>
        <v>1.0426459226514202</v>
      </c>
      <c r="T48" s="8">
        <v>0.29049999999999998</v>
      </c>
      <c r="U48" s="8">
        <v>0.77529999999999999</v>
      </c>
      <c r="V48" s="8">
        <v>-0.52900000000000003</v>
      </c>
      <c r="W48" s="8">
        <v>-0.13542599999999999</v>
      </c>
      <c r="X48" s="8">
        <v>5.1370000000000001E-3</v>
      </c>
      <c r="Y48" s="8">
        <v>-6.2500000000000001E-4</v>
      </c>
      <c r="Z48" s="8">
        <v>0.70788799999999996</v>
      </c>
      <c r="AA48" s="8">
        <v>-1.2470000000000001E-3</v>
      </c>
      <c r="AB48" s="8">
        <v>0.58930000000000005</v>
      </c>
      <c r="AC48" s="8">
        <v>0.35749999999999998</v>
      </c>
      <c r="AD48" s="8">
        <v>0.24360000000000001</v>
      </c>
      <c r="AE48" s="8">
        <v>-397.12329999999997</v>
      </c>
      <c r="AG48" s="1">
        <f t="shared" si="9"/>
        <v>0.95308398950131223</v>
      </c>
      <c r="AH48" s="1">
        <f t="shared" si="10"/>
        <v>2.5436351706036744</v>
      </c>
      <c r="AI48" s="1">
        <f t="shared" si="7"/>
        <v>4.9438945404155631E-2</v>
      </c>
      <c r="AJ48" s="1">
        <f t="shared" si="11"/>
        <v>-0.3444743366141732</v>
      </c>
      <c r="AL48" s="1">
        <v>-0.59767515444011765</v>
      </c>
      <c r="AM48" s="1">
        <v>1.0652595314960627</v>
      </c>
    </row>
    <row r="49" spans="1:39" x14ac:dyDescent="0.25">
      <c r="A49" s="8">
        <v>-3.3702999999999999</v>
      </c>
      <c r="B49" s="8">
        <v>1.1391</v>
      </c>
      <c r="C49" s="8">
        <v>-1.002</v>
      </c>
      <c r="D49" s="8">
        <v>0.29316300000000001</v>
      </c>
      <c r="E49" s="8">
        <v>4.248E-3</v>
      </c>
      <c r="F49" s="8">
        <v>2.562E-3</v>
      </c>
      <c r="G49" s="8">
        <v>-7.7928999999999998E-2</v>
      </c>
      <c r="H49" s="8">
        <v>-7.2442999999999994E-2</v>
      </c>
      <c r="I49" s="8">
        <v>0.74709999999999999</v>
      </c>
      <c r="J49" s="8">
        <v>0.37180000000000002</v>
      </c>
      <c r="K49" s="8">
        <v>0.497</v>
      </c>
      <c r="L49" s="8">
        <v>2463.761</v>
      </c>
      <c r="N49" s="1">
        <f t="shared" si="2"/>
        <v>-11.057414698162729</v>
      </c>
      <c r="O49" s="1">
        <f t="shared" si="3"/>
        <v>3.7372047244094486</v>
      </c>
      <c r="P49" s="1">
        <f t="shared" si="0"/>
        <v>-0.57357685953743798</v>
      </c>
      <c r="Q49" s="1">
        <f t="shared" si="4"/>
        <v>1.0956101486220473</v>
      </c>
      <c r="R49" s="1">
        <f t="shared" si="1"/>
        <v>1.0652917021066508</v>
      </c>
      <c r="T49" s="8">
        <v>0.40670000000000001</v>
      </c>
      <c r="U49" s="8">
        <v>0.75629999999999997</v>
      </c>
      <c r="V49" s="8">
        <v>-0.53800000000000003</v>
      </c>
      <c r="W49" s="8">
        <v>-0.13648099999999999</v>
      </c>
      <c r="X49" s="8">
        <v>5.1200000000000004E-3</v>
      </c>
      <c r="Y49" s="8">
        <v>-6.4000000000000005E-4</v>
      </c>
      <c r="Z49" s="8">
        <v>0.73289000000000004</v>
      </c>
      <c r="AA49" s="8">
        <v>-1.305E-3</v>
      </c>
      <c r="AB49" s="8">
        <v>0.59809999999999997</v>
      </c>
      <c r="AC49" s="8">
        <v>0.35970000000000002</v>
      </c>
      <c r="AD49" s="8">
        <v>0.24329999999999999</v>
      </c>
      <c r="AE49" s="8">
        <v>-335.53030000000001</v>
      </c>
      <c r="AG49" s="1">
        <f t="shared" si="9"/>
        <v>1.3343175853018372</v>
      </c>
      <c r="AH49" s="1">
        <f t="shared" si="10"/>
        <v>2.481299212598425</v>
      </c>
      <c r="AI49" s="1">
        <f t="shared" si="7"/>
        <v>6.9214523565817893E-2</v>
      </c>
      <c r="AJ49" s="1">
        <f t="shared" si="11"/>
        <v>-0.33865019783464562</v>
      </c>
      <c r="AL49" s="1">
        <v>-0.57357685953743798</v>
      </c>
      <c r="AM49" s="1">
        <v>1.0956101486220473</v>
      </c>
    </row>
    <row r="50" spans="1:39" x14ac:dyDescent="0.25">
      <c r="A50" s="8">
        <v>-3.3073000000000001</v>
      </c>
      <c r="B50" s="8">
        <v>1.1196999999999999</v>
      </c>
      <c r="C50" s="8">
        <v>-2.1240000000000001</v>
      </c>
      <c r="D50" s="8">
        <v>0.25571199999999999</v>
      </c>
      <c r="E50" s="8">
        <v>4.7410000000000004E-3</v>
      </c>
      <c r="F50" s="8">
        <v>3.385E-3</v>
      </c>
      <c r="G50" s="8">
        <v>-7.0616999999999999E-2</v>
      </c>
      <c r="H50" s="8">
        <v>-6.0463000000000003E-2</v>
      </c>
      <c r="I50" s="8">
        <v>0.74760000000000004</v>
      </c>
      <c r="J50" s="8">
        <v>0.27229999999999999</v>
      </c>
      <c r="K50" s="8">
        <v>0.48349999999999999</v>
      </c>
      <c r="L50" s="8">
        <v>2646.7375000000002</v>
      </c>
      <c r="N50" s="1">
        <f t="shared" si="2"/>
        <v>-10.850721784776903</v>
      </c>
      <c r="O50" s="1">
        <f t="shared" si="3"/>
        <v>3.6735564304461938</v>
      </c>
      <c r="P50" s="1">
        <f t="shared" si="0"/>
        <v>-0.56285516053412721</v>
      </c>
      <c r="Q50" s="1">
        <f t="shared" si="4"/>
        <v>0.9393724619422571</v>
      </c>
      <c r="R50" s="1">
        <f t="shared" si="1"/>
        <v>1.0749202026884916</v>
      </c>
      <c r="T50" s="8">
        <v>0.52290000000000003</v>
      </c>
      <c r="U50" s="8">
        <v>0.73719999999999997</v>
      </c>
      <c r="V50" s="8">
        <v>-0.54400000000000004</v>
      </c>
      <c r="W50" s="8">
        <v>-0.13699</v>
      </c>
      <c r="X50" s="8">
        <v>5.1019999999999998E-3</v>
      </c>
      <c r="Y50" s="8">
        <v>-6.4999999999999997E-4</v>
      </c>
      <c r="Z50" s="8">
        <v>0.756247</v>
      </c>
      <c r="AA50" s="8">
        <v>-1.3159999999999999E-3</v>
      </c>
      <c r="AB50" s="8">
        <v>0.60680000000000001</v>
      </c>
      <c r="AC50" s="8">
        <v>0.36259999999999998</v>
      </c>
      <c r="AD50" s="8">
        <v>0.24340000000000001</v>
      </c>
      <c r="AE50" s="8">
        <v>-279.78640000000001</v>
      </c>
      <c r="AG50" s="1">
        <f t="shared" si="9"/>
        <v>1.7155511811023623</v>
      </c>
      <c r="AH50" s="1">
        <f t="shared" si="10"/>
        <v>2.4186351706036744</v>
      </c>
      <c r="AI50" s="1">
        <f t="shared" si="7"/>
        <v>8.8990101727480148E-2</v>
      </c>
      <c r="AJ50" s="1">
        <f t="shared" si="11"/>
        <v>-0.33132883202099733</v>
      </c>
      <c r="AL50" s="1">
        <v>-0.56285516053412721</v>
      </c>
      <c r="AM50" s="1">
        <v>0.9393724619422571</v>
      </c>
    </row>
    <row r="51" spans="1:39" x14ac:dyDescent="0.25">
      <c r="A51" s="8">
        <v>-3.1890000000000001</v>
      </c>
      <c r="B51" s="8">
        <v>1.1031</v>
      </c>
      <c r="C51" s="8">
        <v>-1.026</v>
      </c>
      <c r="D51" s="8">
        <v>0.31275900000000001</v>
      </c>
      <c r="E51" s="8">
        <v>3.7100000000000002E-3</v>
      </c>
      <c r="F51" s="8">
        <v>2.8E-3</v>
      </c>
      <c r="G51" s="8">
        <v>-8.9391999999999999E-2</v>
      </c>
      <c r="H51" s="8">
        <v>-7.0473999999999995E-2</v>
      </c>
      <c r="I51" s="8">
        <v>0.745</v>
      </c>
      <c r="J51" s="8">
        <v>0.56910000000000005</v>
      </c>
      <c r="K51" s="8">
        <v>0.4753</v>
      </c>
      <c r="L51" s="8">
        <v>2915.4672999999998</v>
      </c>
      <c r="N51" s="1">
        <f t="shared" si="2"/>
        <v>-10.46259842519685</v>
      </c>
      <c r="O51" s="1">
        <f t="shared" si="3"/>
        <v>3.6190944881889759</v>
      </c>
      <c r="P51" s="1">
        <f t="shared" si="0"/>
        <v>-0.54272219240568786</v>
      </c>
      <c r="Q51" s="1">
        <f t="shared" si="4"/>
        <v>1.1319043730314959</v>
      </c>
      <c r="R51" s="1">
        <f t="shared" si="1"/>
        <v>1.0922903775878243</v>
      </c>
      <c r="T51" s="8">
        <v>0.6391</v>
      </c>
      <c r="U51" s="8">
        <v>0.71819999999999995</v>
      </c>
      <c r="V51" s="8">
        <v>-0.54700000000000004</v>
      </c>
      <c r="W51" s="8">
        <v>-0.13697999999999999</v>
      </c>
      <c r="X51" s="8">
        <v>5.0829999999999998E-3</v>
      </c>
      <c r="Y51" s="8">
        <v>-6.5399999999999996E-4</v>
      </c>
      <c r="Z51" s="8">
        <v>0.77792099999999997</v>
      </c>
      <c r="AA51" s="8">
        <v>-1.305E-3</v>
      </c>
      <c r="AB51" s="8">
        <v>0.61509999999999998</v>
      </c>
      <c r="AC51" s="8">
        <v>0.3659</v>
      </c>
      <c r="AD51" s="8">
        <v>0.24349999999999999</v>
      </c>
      <c r="AE51" s="8">
        <v>-229.76560000000001</v>
      </c>
      <c r="AG51" s="1">
        <f t="shared" si="9"/>
        <v>2.0967847769028869</v>
      </c>
      <c r="AH51" s="1">
        <f t="shared" si="10"/>
        <v>2.356299212598425</v>
      </c>
      <c r="AI51" s="1">
        <f t="shared" si="7"/>
        <v>0.10876567988914239</v>
      </c>
      <c r="AJ51" s="1">
        <f t="shared" si="11"/>
        <v>-0.32276586614173225</v>
      </c>
      <c r="AL51" s="1">
        <v>-0.54272219240568786</v>
      </c>
      <c r="AM51" s="1">
        <v>1.1319043730314959</v>
      </c>
    </row>
    <row r="52" spans="1:39" x14ac:dyDescent="0.25">
      <c r="A52" s="8">
        <v>-2.9834000000000001</v>
      </c>
      <c r="B52" s="8">
        <v>1.1323000000000001</v>
      </c>
      <c r="C52" s="8">
        <v>-1.07</v>
      </c>
      <c r="D52" s="8">
        <v>0.31484000000000001</v>
      </c>
      <c r="E52" s="8">
        <v>3.6459999999999999E-3</v>
      </c>
      <c r="F52" s="8">
        <v>2.9320000000000001E-3</v>
      </c>
      <c r="G52" s="8">
        <v>-8.9422000000000001E-2</v>
      </c>
      <c r="H52" s="8">
        <v>-7.0846000000000006E-2</v>
      </c>
      <c r="I52" s="8">
        <v>0.74429999999999996</v>
      </c>
      <c r="J52" s="8">
        <v>0.57509999999999994</v>
      </c>
      <c r="K52" s="8">
        <v>0.47499999999999998</v>
      </c>
      <c r="L52" s="8">
        <v>3494.1423</v>
      </c>
      <c r="N52" s="1">
        <f t="shared" si="2"/>
        <v>-9.7880577427821525</v>
      </c>
      <c r="O52" s="1">
        <f t="shared" si="3"/>
        <v>3.7148950131233596</v>
      </c>
      <c r="P52" s="1">
        <f t="shared" si="0"/>
        <v>-0.50773201280123215</v>
      </c>
      <c r="Q52" s="1">
        <f t="shared" si="4"/>
        <v>1.1695975459317585</v>
      </c>
      <c r="R52" s="1">
        <f t="shared" si="1"/>
        <v>1.1203844095519349</v>
      </c>
      <c r="T52" s="8">
        <v>0.75529999999999997</v>
      </c>
      <c r="U52" s="8">
        <v>0.69910000000000005</v>
      </c>
      <c r="V52" s="8">
        <v>-0.54600000000000004</v>
      </c>
      <c r="W52" s="8">
        <v>-0.136461</v>
      </c>
      <c r="X52" s="8">
        <v>5.0610000000000004E-3</v>
      </c>
      <c r="Y52" s="8">
        <v>-6.5099999999999999E-4</v>
      </c>
      <c r="Z52" s="8">
        <v>0.79780399999999996</v>
      </c>
      <c r="AA52" s="8">
        <v>-1.292E-3</v>
      </c>
      <c r="AB52" s="8">
        <v>0.623</v>
      </c>
      <c r="AC52" s="8">
        <v>0.36980000000000002</v>
      </c>
      <c r="AD52" s="8">
        <v>0.2437</v>
      </c>
      <c r="AE52" s="8">
        <v>-185.31960000000001</v>
      </c>
      <c r="AG52" s="1">
        <f t="shared" si="9"/>
        <v>2.4780183727034117</v>
      </c>
      <c r="AH52" s="1">
        <f t="shared" si="10"/>
        <v>2.2936351706036744</v>
      </c>
      <c r="AI52" s="1">
        <f t="shared" si="7"/>
        <v>0.12854125805080463</v>
      </c>
      <c r="AJ52" s="1">
        <f t="shared" si="11"/>
        <v>-0.312991749015748</v>
      </c>
      <c r="AL52" s="1">
        <v>-0.50773201280123215</v>
      </c>
      <c r="AM52" s="1">
        <v>1.1695975459317585</v>
      </c>
    </row>
    <row r="53" spans="1:39" x14ac:dyDescent="0.25">
      <c r="A53" s="8">
        <v>-2.7776999999999998</v>
      </c>
      <c r="B53" s="8">
        <v>1.1615</v>
      </c>
      <c r="C53" s="8">
        <v>-1.1439999999999999</v>
      </c>
      <c r="D53" s="8">
        <v>0.31684400000000001</v>
      </c>
      <c r="E53" s="8">
        <v>3.5860000000000002E-3</v>
      </c>
      <c r="F53" s="8">
        <v>3.1459999999999999E-3</v>
      </c>
      <c r="G53" s="8">
        <v>-8.9177999999999993E-2</v>
      </c>
      <c r="H53" s="8">
        <v>-7.0931999999999995E-2</v>
      </c>
      <c r="I53" s="8">
        <v>0.74350000000000005</v>
      </c>
      <c r="J53" s="8">
        <v>0.58079999999999998</v>
      </c>
      <c r="K53" s="8">
        <v>0.4738</v>
      </c>
      <c r="L53" s="8">
        <v>4136.0785999999998</v>
      </c>
      <c r="N53" s="1">
        <f t="shared" si="2"/>
        <v>-9.1131889763779519</v>
      </c>
      <c r="O53" s="1">
        <f t="shared" si="3"/>
        <v>3.8106955380577423</v>
      </c>
      <c r="P53" s="1">
        <f t="shared" si="0"/>
        <v>-0.47272481462692978</v>
      </c>
      <c r="Q53" s="1">
        <f t="shared" si="4"/>
        <v>1.2073960170603673</v>
      </c>
      <c r="R53" s="1">
        <f t="shared" si="1"/>
        <v>1.1459974483189941</v>
      </c>
      <c r="T53" s="8">
        <v>0.87150000000000005</v>
      </c>
      <c r="U53" s="8">
        <v>0.68010000000000004</v>
      </c>
      <c r="V53" s="8">
        <v>-0.54200000000000004</v>
      </c>
      <c r="W53" s="8">
        <v>-0.13542699999999999</v>
      </c>
      <c r="X53" s="8">
        <v>5.0379999999999999E-3</v>
      </c>
      <c r="Y53" s="8">
        <v>-6.4099999999999997E-4</v>
      </c>
      <c r="Z53" s="8">
        <v>0.81566799999999995</v>
      </c>
      <c r="AA53" s="8">
        <v>-1.286E-3</v>
      </c>
      <c r="AB53" s="8">
        <v>0.63070000000000004</v>
      </c>
      <c r="AC53" s="8">
        <v>0.37430000000000002</v>
      </c>
      <c r="AD53" s="8">
        <v>0.24379999999999999</v>
      </c>
      <c r="AE53" s="8">
        <v>-146.2799</v>
      </c>
      <c r="AG53" s="1">
        <f t="shared" si="9"/>
        <v>2.859251968503937</v>
      </c>
      <c r="AH53" s="1">
        <f t="shared" si="10"/>
        <v>2.231299212598425</v>
      </c>
      <c r="AI53" s="1">
        <f t="shared" si="7"/>
        <v>0.14831683621246691</v>
      </c>
      <c r="AJ53" s="1">
        <f t="shared" si="11"/>
        <v>-0.30217815846456686</v>
      </c>
      <c r="AL53" s="1">
        <v>-0.47272481462692978</v>
      </c>
      <c r="AM53" s="1">
        <v>1.2073960170603673</v>
      </c>
    </row>
    <row r="54" spans="1:39" x14ac:dyDescent="0.25">
      <c r="A54" s="8">
        <v>-2.5720999999999998</v>
      </c>
      <c r="B54" s="8">
        <v>1.1906000000000001</v>
      </c>
      <c r="C54" s="8">
        <v>-1.234</v>
      </c>
      <c r="D54" s="8">
        <v>0.31859399999999999</v>
      </c>
      <c r="E54" s="8">
        <v>3.5339999999999998E-3</v>
      </c>
      <c r="F54" s="8">
        <v>3.3999999999999998E-3</v>
      </c>
      <c r="G54" s="8">
        <v>-8.8831999999999994E-2</v>
      </c>
      <c r="H54" s="8">
        <v>-7.0912000000000003E-2</v>
      </c>
      <c r="I54" s="8">
        <v>0.74280000000000002</v>
      </c>
      <c r="J54" s="8">
        <v>0.58660000000000001</v>
      </c>
      <c r="K54" s="8">
        <v>0.47249999999999998</v>
      </c>
      <c r="L54" s="8">
        <v>4843.3154000000004</v>
      </c>
      <c r="N54" s="1">
        <f t="shared" si="2"/>
        <v>-8.4386482939632543</v>
      </c>
      <c r="O54" s="1">
        <f t="shared" si="3"/>
        <v>3.9061679790026247</v>
      </c>
      <c r="P54" s="1">
        <f t="shared" si="0"/>
        <v>-0.43773463502247406</v>
      </c>
      <c r="Q54" s="1">
        <f t="shared" si="4"/>
        <v>1.2444816811023622</v>
      </c>
      <c r="R54" s="1">
        <f t="shared" si="1"/>
        <v>1.1692684070627644</v>
      </c>
      <c r="T54" s="8">
        <v>0.98770000000000002</v>
      </c>
      <c r="U54" s="8">
        <v>0.66100000000000003</v>
      </c>
      <c r="V54" s="8">
        <v>-0.53300000000000003</v>
      </c>
      <c r="W54" s="8">
        <v>-0.13384199999999999</v>
      </c>
      <c r="X54" s="8">
        <v>5.012E-3</v>
      </c>
      <c r="Y54" s="8">
        <v>-6.2299999999999996E-4</v>
      </c>
      <c r="Z54" s="8">
        <v>0.83109900000000003</v>
      </c>
      <c r="AA54" s="8">
        <v>-1.297E-3</v>
      </c>
      <c r="AB54" s="8">
        <v>0.63839999999999997</v>
      </c>
      <c r="AC54" s="8">
        <v>0.38</v>
      </c>
      <c r="AD54" s="8">
        <v>0.2437</v>
      </c>
      <c r="AE54" s="8">
        <v>-112.4593</v>
      </c>
      <c r="AG54" s="1">
        <f t="shared" si="9"/>
        <v>3.2404855643044619</v>
      </c>
      <c r="AH54" s="1">
        <f t="shared" si="10"/>
        <v>2.1686351706036744</v>
      </c>
      <c r="AI54" s="1">
        <f t="shared" si="7"/>
        <v>0.16809241437412917</v>
      </c>
      <c r="AJ54" s="1">
        <f t="shared" si="11"/>
        <v>-0.29025446850393699</v>
      </c>
      <c r="AL54" s="1">
        <v>-0.43773463502247406</v>
      </c>
      <c r="AM54" s="1">
        <v>1.2444816811023622</v>
      </c>
    </row>
    <row r="55" spans="1:39" x14ac:dyDescent="0.25">
      <c r="A55" s="8">
        <v>-2.3664000000000001</v>
      </c>
      <c r="B55" s="8">
        <v>1.2198</v>
      </c>
      <c r="C55" s="8">
        <v>-1.325</v>
      </c>
      <c r="D55" s="8">
        <v>0.32002900000000001</v>
      </c>
      <c r="E55" s="8">
        <v>3.4880000000000002E-3</v>
      </c>
      <c r="F55" s="8">
        <v>3.64E-3</v>
      </c>
      <c r="G55" s="8">
        <v>-8.8442999999999994E-2</v>
      </c>
      <c r="H55" s="8">
        <v>-7.0847999999999994E-2</v>
      </c>
      <c r="I55" s="8">
        <v>0.74209999999999998</v>
      </c>
      <c r="J55" s="8">
        <v>0.5907</v>
      </c>
      <c r="K55" s="8">
        <v>0.47120000000000001</v>
      </c>
      <c r="L55" s="8">
        <v>5617.8608000000004</v>
      </c>
      <c r="N55" s="1">
        <f t="shared" si="2"/>
        <v>-7.7637795275590546</v>
      </c>
      <c r="O55" s="1">
        <f t="shared" si="3"/>
        <v>4.0019685039370074</v>
      </c>
      <c r="P55" s="1">
        <f t="shared" si="0"/>
        <v>-0.40272743684817175</v>
      </c>
      <c r="Q55" s="1">
        <f t="shared" si="4"/>
        <v>1.2807459783464565</v>
      </c>
      <c r="R55" s="1">
        <f t="shared" si="1"/>
        <v>1.1903566712212759</v>
      </c>
      <c r="T55" s="8">
        <v>1.1039000000000001</v>
      </c>
      <c r="U55" s="8">
        <v>0.64200000000000002</v>
      </c>
      <c r="V55" s="8">
        <v>-0.51800000000000002</v>
      </c>
      <c r="W55" s="8">
        <v>-0.13163800000000001</v>
      </c>
      <c r="X55" s="8">
        <v>4.9839999999999997E-3</v>
      </c>
      <c r="Y55" s="8">
        <v>-5.9500000000000004E-4</v>
      </c>
      <c r="Z55" s="8">
        <v>0.84340400000000004</v>
      </c>
      <c r="AA55" s="8">
        <v>-1.3339999999999999E-3</v>
      </c>
      <c r="AB55" s="8">
        <v>0.64590000000000003</v>
      </c>
      <c r="AC55" s="8">
        <v>0.38669999999999999</v>
      </c>
      <c r="AD55" s="8">
        <v>0.24329999999999999</v>
      </c>
      <c r="AE55" s="8">
        <v>-83.6524</v>
      </c>
      <c r="AG55" s="1">
        <f t="shared" si="9"/>
        <v>3.6217191601049872</v>
      </c>
      <c r="AH55" s="1">
        <f t="shared" si="10"/>
        <v>2.106299212598425</v>
      </c>
      <c r="AI55" s="1">
        <f t="shared" si="7"/>
        <v>0.18786799253579145</v>
      </c>
      <c r="AJ55" s="1">
        <f t="shared" si="11"/>
        <v>-0.27726901574803148</v>
      </c>
      <c r="AL55" s="1">
        <v>-0.40272743684817175</v>
      </c>
      <c r="AM55" s="1">
        <v>1.2807459783464565</v>
      </c>
    </row>
    <row r="56" spans="1:39" x14ac:dyDescent="0.25">
      <c r="A56" s="8">
        <v>-2.1608000000000001</v>
      </c>
      <c r="B56" s="8">
        <v>1.2488999999999999</v>
      </c>
      <c r="C56" s="8">
        <v>-1.339</v>
      </c>
      <c r="D56" s="8">
        <v>0.32111699999999999</v>
      </c>
      <c r="E56" s="8">
        <v>3.4489999999999998E-3</v>
      </c>
      <c r="F56" s="8">
        <v>3.6480000000000002E-3</v>
      </c>
      <c r="G56" s="8">
        <v>-8.8031999999999999E-2</v>
      </c>
      <c r="H56" s="8">
        <v>-7.0762000000000005E-2</v>
      </c>
      <c r="I56" s="8">
        <v>0.74150000000000005</v>
      </c>
      <c r="J56" s="8">
        <v>0.59279999999999999</v>
      </c>
      <c r="K56" s="8">
        <v>0.47010000000000002</v>
      </c>
      <c r="L56" s="8">
        <v>6461.6733000000004</v>
      </c>
      <c r="N56" s="1">
        <f t="shared" si="2"/>
        <v>-7.0892388451443571</v>
      </c>
      <c r="O56" s="1">
        <f t="shared" si="3"/>
        <v>4.0974409448818889</v>
      </c>
      <c r="P56" s="1">
        <f t="shared" si="0"/>
        <v>-0.36773725724371603</v>
      </c>
      <c r="Q56" s="1">
        <f t="shared" si="4"/>
        <v>1.3157579438976374</v>
      </c>
      <c r="R56" s="1">
        <f t="shared" si="1"/>
        <v>1.2093564242719383</v>
      </c>
      <c r="T56" s="8">
        <v>1.2202</v>
      </c>
      <c r="U56" s="8">
        <v>0.62290000000000001</v>
      </c>
      <c r="V56" s="8">
        <v>-0.496</v>
      </c>
      <c r="W56" s="8">
        <v>-0.128692</v>
      </c>
      <c r="X56" s="8">
        <v>4.9540000000000001E-3</v>
      </c>
      <c r="Y56" s="8">
        <v>-5.5800000000000001E-4</v>
      </c>
      <c r="Z56" s="8">
        <v>0.85146500000000003</v>
      </c>
      <c r="AA56" s="8">
        <v>-1.403E-3</v>
      </c>
      <c r="AB56" s="8">
        <v>0.65269999999999995</v>
      </c>
      <c r="AC56" s="8">
        <v>0.39429999999999998</v>
      </c>
      <c r="AD56" s="8">
        <v>0.2427</v>
      </c>
      <c r="AE56" s="8">
        <v>-59.634300000000003</v>
      </c>
      <c r="AG56" s="1">
        <f t="shared" si="9"/>
        <v>4.0032808398950124</v>
      </c>
      <c r="AH56" s="1">
        <f t="shared" si="10"/>
        <v>2.0436351706036744</v>
      </c>
      <c r="AI56" s="1">
        <f t="shared" si="7"/>
        <v>0.20766058926730016</v>
      </c>
      <c r="AJ56" s="1">
        <f t="shared" si="11"/>
        <v>-0.26299949737532807</v>
      </c>
      <c r="AL56" s="1">
        <v>-0.36773725724371603</v>
      </c>
      <c r="AM56" s="1">
        <v>1.3157579438976374</v>
      </c>
    </row>
    <row r="57" spans="1:39" x14ac:dyDescent="0.25">
      <c r="A57" s="8">
        <v>-1.9552</v>
      </c>
      <c r="B57" s="8">
        <v>1.2781</v>
      </c>
      <c r="C57" s="8">
        <v>-1.161</v>
      </c>
      <c r="D57" s="8">
        <v>0.32191399999999998</v>
      </c>
      <c r="E57" s="8">
        <v>3.418E-3</v>
      </c>
      <c r="F57" s="8">
        <v>3.1150000000000001E-3</v>
      </c>
      <c r="G57" s="8">
        <v>-8.7608000000000005E-2</v>
      </c>
      <c r="H57" s="8">
        <v>-7.0661000000000002E-2</v>
      </c>
      <c r="I57" s="8">
        <v>0.7409</v>
      </c>
      <c r="J57" s="8">
        <v>0.59209999999999996</v>
      </c>
      <c r="K57" s="8">
        <v>0.46920000000000001</v>
      </c>
      <c r="L57" s="8">
        <v>7376.6484</v>
      </c>
      <c r="N57" s="1">
        <f t="shared" si="2"/>
        <v>-6.4146981627296586</v>
      </c>
      <c r="O57" s="1">
        <f t="shared" si="3"/>
        <v>4.1932414698162725</v>
      </c>
      <c r="P57" s="1">
        <f t="shared" ref="P57:P88" si="12">N57/$O$18</f>
        <v>-0.33274707763926026</v>
      </c>
      <c r="Q57" s="1">
        <f t="shared" si="4"/>
        <v>1.3498631345144354</v>
      </c>
      <c r="R57" s="1">
        <f t="shared" ref="R57:R88" si="13">2*(2*$O$18)*(2*$O$20/PI()/$O$17)*SQRT(1-P57^2)</f>
        <v>1.2263750137086524</v>
      </c>
      <c r="T57" s="8">
        <v>1.3364</v>
      </c>
      <c r="U57" s="8">
        <v>0.60389999999999999</v>
      </c>
      <c r="V57" s="8">
        <v>-0.46600000000000003</v>
      </c>
      <c r="W57" s="8">
        <v>-0.124807</v>
      </c>
      <c r="X57" s="8">
        <v>4.921E-3</v>
      </c>
      <c r="Y57" s="8">
        <v>-5.0799999999999999E-4</v>
      </c>
      <c r="Z57" s="8">
        <v>0.853487</v>
      </c>
      <c r="AA57" s="8">
        <v>-1.5139999999999999E-3</v>
      </c>
      <c r="AB57" s="8">
        <v>0.65869999999999995</v>
      </c>
      <c r="AC57" s="8">
        <v>0.40329999999999999</v>
      </c>
      <c r="AD57" s="8">
        <v>0.24160000000000001</v>
      </c>
      <c r="AE57" s="8">
        <v>-40.159199999999998</v>
      </c>
      <c r="AG57" s="1">
        <f t="shared" si="9"/>
        <v>4.3845144356955377</v>
      </c>
      <c r="AH57" s="1">
        <f t="shared" si="10"/>
        <v>1.981299212598425</v>
      </c>
      <c r="AI57" s="1">
        <f t="shared" si="7"/>
        <v>0.22743616742896244</v>
      </c>
      <c r="AJ57" s="1">
        <f t="shared" si="11"/>
        <v>-0.24728001082677165</v>
      </c>
      <c r="AL57" s="1">
        <v>-0.3371719057993568</v>
      </c>
      <c r="AM57" s="1">
        <v>1.3455502213041399</v>
      </c>
    </row>
    <row r="58" spans="1:39" x14ac:dyDescent="0.25">
      <c r="A58" s="8">
        <v>-1.7495000000000001</v>
      </c>
      <c r="B58" s="8">
        <v>1.3071999999999999</v>
      </c>
      <c r="C58" s="8">
        <v>-0.92900000000000005</v>
      </c>
      <c r="D58" s="8">
        <v>0.32252399999999998</v>
      </c>
      <c r="E58" s="8">
        <v>3.392E-3</v>
      </c>
      <c r="F58" s="8">
        <v>2.467E-3</v>
      </c>
      <c r="G58" s="8">
        <v>-8.7171999999999999E-2</v>
      </c>
      <c r="H58" s="8">
        <v>-7.0549000000000001E-2</v>
      </c>
      <c r="I58" s="8">
        <v>0.74029999999999996</v>
      </c>
      <c r="J58" s="8">
        <v>0.59050000000000002</v>
      </c>
      <c r="K58" s="8">
        <v>0.46839999999999998</v>
      </c>
      <c r="L58" s="8">
        <v>8364.6270000000004</v>
      </c>
      <c r="N58" s="1">
        <f t="shared" si="2"/>
        <v>-5.739829396325459</v>
      </c>
      <c r="O58" s="1">
        <f t="shared" si="3"/>
        <v>4.288713910761154</v>
      </c>
      <c r="P58" s="1">
        <f t="shared" si="12"/>
        <v>-0.29773987946495795</v>
      </c>
      <c r="Q58" s="1">
        <f t="shared" si="4"/>
        <v>1.3832131653543303</v>
      </c>
      <c r="R58" s="1">
        <f t="shared" si="13"/>
        <v>1.2415008194460364</v>
      </c>
      <c r="T58" s="8">
        <v>1.4525999999999999</v>
      </c>
      <c r="U58" s="8">
        <v>0.58479999999999999</v>
      </c>
      <c r="V58" s="8">
        <v>-0.42699999999999999</v>
      </c>
      <c r="W58" s="8">
        <v>-0.119662</v>
      </c>
      <c r="X58" s="8">
        <v>4.8849999999999996E-3</v>
      </c>
      <c r="Y58" s="8">
        <v>-4.46E-4</v>
      </c>
      <c r="Z58" s="8">
        <v>0.84656699999999996</v>
      </c>
      <c r="AA58" s="8">
        <v>-1.673E-3</v>
      </c>
      <c r="AB58" s="8">
        <v>0.66339999999999999</v>
      </c>
      <c r="AC58" s="8">
        <v>0.41389999999999999</v>
      </c>
      <c r="AD58" s="8">
        <v>0.2399</v>
      </c>
      <c r="AE58" s="8">
        <v>-24.954899999999999</v>
      </c>
      <c r="AG58" s="1">
        <f t="shared" si="9"/>
        <v>4.7657480314960621</v>
      </c>
      <c r="AH58" s="1">
        <f t="shared" si="10"/>
        <v>1.9186351706036744</v>
      </c>
      <c r="AI58" s="1">
        <f t="shared" si="7"/>
        <v>0.24721174559062467</v>
      </c>
      <c r="AJ58" s="1">
        <f t="shared" si="11"/>
        <v>-0.2295877217847769</v>
      </c>
      <c r="AL58" s="1">
        <v>-0.33458508318268498</v>
      </c>
      <c r="AM58" s="1">
        <v>1.2885627456563975</v>
      </c>
    </row>
    <row r="59" spans="1:39" x14ac:dyDescent="0.25">
      <c r="A59" s="8">
        <v>-1.5439000000000001</v>
      </c>
      <c r="B59" s="8">
        <v>1.3364</v>
      </c>
      <c r="C59" s="8">
        <v>-0.81</v>
      </c>
      <c r="D59" s="8">
        <v>0.32287500000000002</v>
      </c>
      <c r="E59" s="8">
        <v>3.372E-3</v>
      </c>
      <c r="F59" s="8">
        <v>2.1559999999999999E-3</v>
      </c>
      <c r="G59" s="8">
        <v>-8.6724999999999997E-2</v>
      </c>
      <c r="H59" s="8">
        <v>-7.0426000000000002E-2</v>
      </c>
      <c r="I59" s="8">
        <v>0.73980000000000001</v>
      </c>
      <c r="J59" s="8">
        <v>0.58779999999999999</v>
      </c>
      <c r="K59" s="8">
        <v>0.46789999999999998</v>
      </c>
      <c r="L59" s="8">
        <v>9427.4169999999995</v>
      </c>
      <c r="N59" s="1">
        <f t="shared" si="2"/>
        <v>-5.0652887139107614</v>
      </c>
      <c r="O59" s="1">
        <f t="shared" si="3"/>
        <v>4.3845144356955377</v>
      </c>
      <c r="P59" s="1">
        <f t="shared" si="12"/>
        <v>-0.26274969986050223</v>
      </c>
      <c r="Q59" s="1">
        <f t="shared" si="4"/>
        <v>1.4156500984251967</v>
      </c>
      <c r="R59" s="1">
        <f t="shared" si="13"/>
        <v>1.2547878298786739</v>
      </c>
      <c r="T59" s="8">
        <v>1.5688</v>
      </c>
      <c r="U59" s="8">
        <v>0.56579999999999997</v>
      </c>
      <c r="V59" s="8">
        <v>-0.377</v>
      </c>
      <c r="W59" s="8">
        <v>-0.112729</v>
      </c>
      <c r="X59" s="8">
        <v>4.8450000000000003E-3</v>
      </c>
      <c r="Y59" s="8">
        <v>-3.7100000000000002E-4</v>
      </c>
      <c r="Z59" s="8">
        <v>0.82589100000000004</v>
      </c>
      <c r="AA59" s="8">
        <v>-1.8699999999999999E-3</v>
      </c>
      <c r="AB59" s="8">
        <v>0.66700000000000004</v>
      </c>
      <c r="AC59" s="8">
        <v>0.42749999999999999</v>
      </c>
      <c r="AD59" s="8">
        <v>0.2374</v>
      </c>
      <c r="AE59" s="8">
        <v>-13.7164</v>
      </c>
      <c r="AG59" s="1">
        <f t="shared" si="9"/>
        <v>5.1469816272965874</v>
      </c>
      <c r="AH59" s="1">
        <f t="shared" si="10"/>
        <v>1.856299212598425</v>
      </c>
      <c r="AI59" s="1">
        <f t="shared" si="7"/>
        <v>0.26698732375228695</v>
      </c>
      <c r="AJ59" s="1">
        <f t="shared" si="11"/>
        <v>-0.20925875393700785</v>
      </c>
      <c r="AL59" s="1">
        <v>-0.32939441937949476</v>
      </c>
      <c r="AM59" s="1">
        <v>1.2644331233501693</v>
      </c>
    </row>
    <row r="60" spans="1:39" x14ac:dyDescent="0.25">
      <c r="A60" s="8">
        <v>-1.3383</v>
      </c>
      <c r="B60" s="8">
        <v>1.3655999999999999</v>
      </c>
      <c r="C60" s="8">
        <v>-0.77300000000000002</v>
      </c>
      <c r="D60" s="8">
        <v>0.32289699999999999</v>
      </c>
      <c r="E60" s="8">
        <v>3.3709999999999999E-3</v>
      </c>
      <c r="F60" s="8">
        <v>2.0739999999999999E-3</v>
      </c>
      <c r="G60" s="8">
        <v>-8.6265999999999995E-2</v>
      </c>
      <c r="H60" s="8">
        <v>-7.0288000000000003E-2</v>
      </c>
      <c r="I60" s="8">
        <v>0.73919999999999997</v>
      </c>
      <c r="J60" s="8">
        <v>0.58179999999999998</v>
      </c>
      <c r="K60" s="8">
        <v>0.46750000000000003</v>
      </c>
      <c r="L60" s="8">
        <v>10566.767599999999</v>
      </c>
      <c r="N60" s="1">
        <f t="shared" si="2"/>
        <v>-4.390748031496063</v>
      </c>
      <c r="O60" s="1">
        <f t="shared" si="3"/>
        <v>4.4803149606299204</v>
      </c>
      <c r="P60" s="1">
        <f t="shared" si="12"/>
        <v>-0.22775952025604643</v>
      </c>
      <c r="Q60" s="1">
        <f t="shared" si="4"/>
        <v>1.4466802598425195</v>
      </c>
      <c r="R60" s="1">
        <f t="shared" si="13"/>
        <v>1.2663014919253477</v>
      </c>
      <c r="T60" s="8">
        <v>1.6850000000000001</v>
      </c>
      <c r="U60" s="8">
        <v>0.54669999999999996</v>
      </c>
      <c r="V60" s="8">
        <v>-0.313</v>
      </c>
      <c r="W60" s="8">
        <v>-0.103117</v>
      </c>
      <c r="X60" s="8">
        <v>4.803E-3</v>
      </c>
      <c r="Y60" s="8">
        <v>-2.8200000000000002E-4</v>
      </c>
      <c r="Z60" s="8">
        <v>0.78323500000000001</v>
      </c>
      <c r="AA60" s="8">
        <v>-2.0339999999999998E-3</v>
      </c>
      <c r="AB60" s="8">
        <v>0.66800000000000004</v>
      </c>
      <c r="AC60" s="8">
        <v>0.44479999999999997</v>
      </c>
      <c r="AD60" s="8">
        <v>0.2344</v>
      </c>
      <c r="AE60" s="8">
        <v>-6.0922000000000001</v>
      </c>
      <c r="AG60" s="1">
        <f t="shared" si="9"/>
        <v>5.5282152230971127</v>
      </c>
      <c r="AH60" s="1">
        <f t="shared" si="10"/>
        <v>1.7936351706036744</v>
      </c>
      <c r="AI60" s="1">
        <f t="shared" si="7"/>
        <v>0.28676290191394921</v>
      </c>
      <c r="AJ60" s="1">
        <f t="shared" si="11"/>
        <v>-0.18495427788713908</v>
      </c>
      <c r="AL60" s="1">
        <v>-0.3242037555763046</v>
      </c>
      <c r="AM60" s="1">
        <v>1.2479354224099704</v>
      </c>
    </row>
    <row r="61" spans="1:39" x14ac:dyDescent="0.25">
      <c r="A61" s="8">
        <v>-1.1327</v>
      </c>
      <c r="B61" s="8">
        <v>1.3947000000000001</v>
      </c>
      <c r="C61" s="8">
        <v>-0.77600000000000002</v>
      </c>
      <c r="D61" s="8">
        <v>0.32256400000000002</v>
      </c>
      <c r="E61" s="8">
        <v>3.3830000000000002E-3</v>
      </c>
      <c r="F61" s="8">
        <v>2.101E-3</v>
      </c>
      <c r="G61" s="8">
        <v>-8.5789000000000004E-2</v>
      </c>
      <c r="H61" s="8">
        <v>-7.0132E-2</v>
      </c>
      <c r="I61" s="8">
        <v>0.73870000000000002</v>
      </c>
      <c r="J61" s="8">
        <v>0.57350000000000001</v>
      </c>
      <c r="K61" s="8">
        <v>0.4672</v>
      </c>
      <c r="L61" s="8">
        <v>11784.354499999999</v>
      </c>
      <c r="N61" s="1">
        <f t="shared" si="2"/>
        <v>-3.716207349081365</v>
      </c>
      <c r="O61" s="1">
        <f t="shared" si="3"/>
        <v>4.5757874015748028</v>
      </c>
      <c r="P61" s="1">
        <f t="shared" si="12"/>
        <v>-0.19276934065159068</v>
      </c>
      <c r="Q61" s="1">
        <f t="shared" si="4"/>
        <v>1.4759842874015747</v>
      </c>
      <c r="R61" s="1">
        <f t="shared" si="13"/>
        <v>1.276089807187319</v>
      </c>
      <c r="T61" s="8">
        <v>1.8011999999999999</v>
      </c>
      <c r="U61" s="8">
        <v>0.52769999999999995</v>
      </c>
      <c r="V61" s="8">
        <v>-0.23599999999999999</v>
      </c>
      <c r="W61" s="8">
        <v>-8.9361999999999997E-2</v>
      </c>
      <c r="X61" s="8">
        <v>4.7559999999999998E-3</v>
      </c>
      <c r="Y61" s="8">
        <v>-1.84E-4</v>
      </c>
      <c r="Z61" s="8">
        <v>0.70487200000000005</v>
      </c>
      <c r="AA61" s="8">
        <v>-1.835E-3</v>
      </c>
      <c r="AB61" s="8">
        <v>0.6643</v>
      </c>
      <c r="AC61" s="8">
        <v>0.46750000000000003</v>
      </c>
      <c r="AD61" s="8">
        <v>0.23380000000000001</v>
      </c>
      <c r="AE61" s="8">
        <v>-1.6627000000000001</v>
      </c>
      <c r="AG61" s="1">
        <f t="shared" si="9"/>
        <v>5.9094488188976371</v>
      </c>
      <c r="AH61" s="1">
        <f t="shared" si="10"/>
        <v>1.731299212598425</v>
      </c>
      <c r="AI61" s="1">
        <f t="shared" si="7"/>
        <v>0.30653848007561146</v>
      </c>
      <c r="AJ61" s="1">
        <f t="shared" si="11"/>
        <v>-0.15471236023622045</v>
      </c>
      <c r="AL61" s="1">
        <v>-0.31901309177311443</v>
      </c>
      <c r="AM61" s="1">
        <v>1.23325638583985</v>
      </c>
    </row>
    <row r="62" spans="1:39" x14ac:dyDescent="0.25">
      <c r="A62" s="8">
        <v>-0.92710000000000004</v>
      </c>
      <c r="B62" s="8">
        <v>1.4238999999999999</v>
      </c>
      <c r="C62" s="8">
        <v>-0.80300000000000005</v>
      </c>
      <c r="D62" s="8">
        <v>0.321855</v>
      </c>
      <c r="E62" s="8">
        <v>3.3969999999999998E-3</v>
      </c>
      <c r="F62" s="8">
        <v>2.1879999999999998E-3</v>
      </c>
      <c r="G62" s="8">
        <v>-8.5282999999999998E-2</v>
      </c>
      <c r="H62" s="8">
        <v>-6.9947999999999996E-2</v>
      </c>
      <c r="I62" s="8">
        <v>0.73819999999999997</v>
      </c>
      <c r="J62" s="8">
        <v>0.56440000000000001</v>
      </c>
      <c r="K62" s="8">
        <v>0.4672</v>
      </c>
      <c r="L62" s="8">
        <v>13081.765600000001</v>
      </c>
      <c r="N62" s="1">
        <f t="shared" si="2"/>
        <v>-3.0416666666666665</v>
      </c>
      <c r="O62" s="1">
        <f t="shared" si="3"/>
        <v>4.6715879265091855</v>
      </c>
      <c r="P62" s="1">
        <f t="shared" si="12"/>
        <v>-0.15777916104713491</v>
      </c>
      <c r="Q62" s="1">
        <f t="shared" si="4"/>
        <v>1.5035739320866139</v>
      </c>
      <c r="R62" s="1">
        <f t="shared" si="13"/>
        <v>1.2841922288647656</v>
      </c>
      <c r="T62" s="8">
        <v>1.8745000000000001</v>
      </c>
      <c r="U62" s="8">
        <v>0.50670000000000004</v>
      </c>
      <c r="V62" s="8">
        <v>-0.17199999999999999</v>
      </c>
      <c r="W62" s="8">
        <v>-7.8014E-2</v>
      </c>
      <c r="X62" s="8">
        <v>4.7219999999999996E-3</v>
      </c>
      <c r="Y62" s="8">
        <v>-1.17E-4</v>
      </c>
      <c r="Z62" s="8">
        <v>0.64228099999999999</v>
      </c>
      <c r="AA62" s="8">
        <v>-1.2880000000000001E-3</v>
      </c>
      <c r="AB62" s="8">
        <v>0.66190000000000004</v>
      </c>
      <c r="AC62" s="8">
        <v>0.48809999999999998</v>
      </c>
      <c r="AD62" s="8">
        <v>0.2379</v>
      </c>
      <c r="AE62" s="8">
        <v>-0.55359999999999998</v>
      </c>
      <c r="AG62" s="1">
        <f t="shared" si="9"/>
        <v>6.1499343832020994</v>
      </c>
      <c r="AH62" s="1">
        <f t="shared" si="10"/>
        <v>1.6624015748031498</v>
      </c>
      <c r="AI62" s="1">
        <f t="shared" si="7"/>
        <v>0.31901309177311443</v>
      </c>
      <c r="AJ62" s="1">
        <f t="shared" si="11"/>
        <v>-0.12969059645669292</v>
      </c>
      <c r="AL62" s="1">
        <v>-0.30653848007561146</v>
      </c>
      <c r="AM62" s="1">
        <v>1.2201187118054091</v>
      </c>
    </row>
    <row r="63" spans="1:39" x14ac:dyDescent="0.25">
      <c r="A63" s="8">
        <v>-0.72150000000000003</v>
      </c>
      <c r="B63" s="8">
        <v>1.4530000000000001</v>
      </c>
      <c r="C63" s="8">
        <v>-0.84799999999999998</v>
      </c>
      <c r="D63" s="8">
        <v>0.32073699999999999</v>
      </c>
      <c r="E63" s="8">
        <v>3.4150000000000001E-3</v>
      </c>
      <c r="F63" s="8">
        <v>2.3240000000000001E-3</v>
      </c>
      <c r="G63" s="8">
        <v>-8.4731000000000001E-2</v>
      </c>
      <c r="H63" s="8">
        <v>-6.9723999999999994E-2</v>
      </c>
      <c r="I63" s="8">
        <v>0.73780000000000001</v>
      </c>
      <c r="J63" s="8">
        <v>0.5544</v>
      </c>
      <c r="K63" s="8">
        <v>0.46729999999999999</v>
      </c>
      <c r="L63" s="8">
        <v>14460.4902</v>
      </c>
      <c r="N63" s="1">
        <f t="shared" si="2"/>
        <v>-2.3671259842519685</v>
      </c>
      <c r="O63" s="1">
        <f t="shared" si="3"/>
        <v>4.7670603674540679</v>
      </c>
      <c r="P63" s="1">
        <f t="shared" si="12"/>
        <v>-0.12278898144267915</v>
      </c>
      <c r="Q63" s="1">
        <f t="shared" si="4"/>
        <v>1.5289726410761153</v>
      </c>
      <c r="R63" s="1">
        <f t="shared" si="13"/>
        <v>1.2906405086081167</v>
      </c>
      <c r="T63" s="8">
        <v>1.905</v>
      </c>
      <c r="U63" s="8">
        <v>0.4839</v>
      </c>
      <c r="V63" s="8">
        <v>-0.126</v>
      </c>
      <c r="W63" s="8">
        <v>-6.9329000000000002E-2</v>
      </c>
      <c r="X63" s="8">
        <v>4.705E-3</v>
      </c>
      <c r="Y63" s="8">
        <v>-7.6000000000000004E-5</v>
      </c>
      <c r="Z63" s="8">
        <v>0.60095799999999999</v>
      </c>
      <c r="AA63" s="8">
        <v>-1.261E-3</v>
      </c>
      <c r="AB63" s="8">
        <v>0.66100000000000003</v>
      </c>
      <c r="AC63" s="8">
        <v>0.50600000000000001</v>
      </c>
      <c r="AD63" s="8">
        <v>0.23649999999999999</v>
      </c>
      <c r="AE63" s="8">
        <v>-0.24679999999999999</v>
      </c>
      <c r="AG63" s="1">
        <f t="shared" si="9"/>
        <v>6.25</v>
      </c>
      <c r="AH63" s="1">
        <f t="shared" si="10"/>
        <v>1.5875984251968502</v>
      </c>
      <c r="AI63" s="1">
        <f t="shared" si="7"/>
        <v>0.3242037555763046</v>
      </c>
      <c r="AJ63" s="1">
        <f t="shared" si="11"/>
        <v>-0.11006661122047243</v>
      </c>
      <c r="AL63" s="1">
        <v>-0.28676290191394921</v>
      </c>
      <c r="AM63" s="1">
        <v>1.208434870847886</v>
      </c>
    </row>
    <row r="64" spans="1:39" x14ac:dyDescent="0.25">
      <c r="A64" s="8">
        <v>-0.51600000000000001</v>
      </c>
      <c r="B64" s="8">
        <v>1.4822</v>
      </c>
      <c r="C64" s="8">
        <v>-0.91700000000000004</v>
      </c>
      <c r="D64" s="8">
        <v>0.31915100000000002</v>
      </c>
      <c r="E64" s="8">
        <v>3.4390000000000002E-3</v>
      </c>
      <c r="F64" s="8">
        <v>2.5200000000000001E-3</v>
      </c>
      <c r="G64" s="8">
        <v>-8.4107000000000001E-2</v>
      </c>
      <c r="H64" s="8">
        <v>-6.9431000000000007E-2</v>
      </c>
      <c r="I64" s="8">
        <v>0.73729999999999996</v>
      </c>
      <c r="J64" s="8">
        <v>0.54349999999999998</v>
      </c>
      <c r="K64" s="8">
        <v>0.46750000000000003</v>
      </c>
      <c r="L64" s="8">
        <v>15921.9033</v>
      </c>
      <c r="N64" s="1">
        <f t="shared" si="2"/>
        <v>-1.6929133858267715</v>
      </c>
      <c r="O64" s="1">
        <f t="shared" si="3"/>
        <v>4.8628608923884507</v>
      </c>
      <c r="P64" s="1">
        <f t="shared" si="12"/>
        <v>-8.78158204080699E-2</v>
      </c>
      <c r="Q64" s="1">
        <f t="shared" si="4"/>
        <v>1.5519869166666664</v>
      </c>
      <c r="R64" s="1">
        <f t="shared" si="13"/>
        <v>1.2954573967121827</v>
      </c>
      <c r="T64" s="8">
        <v>1.9355</v>
      </c>
      <c r="U64" s="8">
        <v>0.43049999999999999</v>
      </c>
      <c r="V64" s="8">
        <v>-7.0000000000000007E-2</v>
      </c>
      <c r="W64" s="8">
        <v>-6.2746999999999997E-2</v>
      </c>
      <c r="X64" s="8">
        <v>4.6810000000000003E-3</v>
      </c>
      <c r="Y64" s="8">
        <v>-3.6999999999999998E-5</v>
      </c>
      <c r="Z64" s="8">
        <v>0.61506000000000005</v>
      </c>
      <c r="AA64" s="8">
        <v>-1.8630000000000001E-3</v>
      </c>
      <c r="AB64" s="8">
        <v>0.67810000000000004</v>
      </c>
      <c r="AC64" s="8">
        <v>0.53620000000000001</v>
      </c>
      <c r="AD64" s="8">
        <v>0.22550000000000001</v>
      </c>
      <c r="AE64" s="8">
        <v>-7.0699999999999999E-2</v>
      </c>
      <c r="AG64" s="1">
        <f t="shared" si="9"/>
        <v>6.3500656167978997</v>
      </c>
      <c r="AH64" s="1">
        <f t="shared" si="10"/>
        <v>1.4124015748031495</v>
      </c>
      <c r="AI64" s="1">
        <f t="shared" si="7"/>
        <v>0.32939441937949476</v>
      </c>
      <c r="AJ64" s="1">
        <f t="shared" si="11"/>
        <v>-8.8623961614173213E-2</v>
      </c>
      <c r="AL64" s="1">
        <v>-0.26698732375228695</v>
      </c>
      <c r="AM64" s="1">
        <v>1.2024629416016881</v>
      </c>
    </row>
    <row r="65" spans="1:39" x14ac:dyDescent="0.25">
      <c r="A65" s="8">
        <v>-0.31059999999999999</v>
      </c>
      <c r="B65" s="8">
        <v>1.5114000000000001</v>
      </c>
      <c r="C65" s="8">
        <v>-1.0249999999999999</v>
      </c>
      <c r="D65" s="8">
        <v>0.31697999999999998</v>
      </c>
      <c r="E65" s="8">
        <v>3.473E-3</v>
      </c>
      <c r="F65" s="8">
        <v>2.8159999999999999E-3</v>
      </c>
      <c r="G65" s="8">
        <v>-8.3346000000000003E-2</v>
      </c>
      <c r="H65" s="8">
        <v>-6.9011000000000003E-2</v>
      </c>
      <c r="I65" s="8">
        <v>0.73699999999999999</v>
      </c>
      <c r="J65" s="8">
        <v>0.52949999999999997</v>
      </c>
      <c r="K65" s="8">
        <v>0.4677</v>
      </c>
      <c r="L65" s="8">
        <v>17467.2461</v>
      </c>
      <c r="N65" s="1">
        <f t="shared" si="2"/>
        <v>-1.019028871391076</v>
      </c>
      <c r="O65" s="1">
        <f t="shared" si="3"/>
        <v>4.9586614173228343</v>
      </c>
      <c r="P65" s="1">
        <f t="shared" si="12"/>
        <v>-5.2859677943307197E-2</v>
      </c>
      <c r="Q65" s="1">
        <f t="shared" si="4"/>
        <v>1.571796496062992</v>
      </c>
      <c r="R65" s="1">
        <f t="shared" si="13"/>
        <v>1.298663371746295</v>
      </c>
      <c r="T65" s="8">
        <v>1.966</v>
      </c>
      <c r="U65" s="8">
        <v>0.34670000000000001</v>
      </c>
      <c r="V65" s="8">
        <v>4.0000000000000001E-3</v>
      </c>
      <c r="W65" s="8">
        <v>-5.2317000000000002E-2</v>
      </c>
      <c r="X65" s="8">
        <v>4.6639999999999997E-3</v>
      </c>
      <c r="Y65" s="8">
        <v>1.9999999999999999E-6</v>
      </c>
      <c r="Z65" s="8">
        <v>0.64690899999999996</v>
      </c>
      <c r="AA65" s="8">
        <v>-4.444E-3</v>
      </c>
      <c r="AB65" s="8">
        <v>0.70920000000000005</v>
      </c>
      <c r="AC65" s="8">
        <v>0.58919999999999995</v>
      </c>
      <c r="AD65" s="8">
        <v>0.17119999999999999</v>
      </c>
      <c r="AE65" s="8">
        <v>0</v>
      </c>
      <c r="AG65" s="1">
        <f t="shared" si="9"/>
        <v>6.4501312335958003</v>
      </c>
      <c r="AH65" s="1">
        <f t="shared" si="10"/>
        <v>1.1374671916010499</v>
      </c>
      <c r="AI65" s="1">
        <f t="shared" si="7"/>
        <v>0.33458508318268498</v>
      </c>
      <c r="AJ65" s="1">
        <f t="shared" si="11"/>
        <v>-5.950887106299213E-2</v>
      </c>
      <c r="AL65" s="1">
        <v>-0.24721174559062467</v>
      </c>
      <c r="AM65" s="1">
        <v>1.199841820888482</v>
      </c>
    </row>
    <row r="66" spans="1:39" x14ac:dyDescent="0.25">
      <c r="A66" s="8">
        <v>-0.10639999999999999</v>
      </c>
      <c r="B66" s="8">
        <v>1.5405</v>
      </c>
      <c r="C66" s="8">
        <v>-1.2090000000000001</v>
      </c>
      <c r="D66" s="8">
        <v>0.31390200000000001</v>
      </c>
      <c r="E66" s="8">
        <v>3.529E-3</v>
      </c>
      <c r="F66" s="8">
        <v>3.31E-3</v>
      </c>
      <c r="G66" s="8">
        <v>-8.2275000000000001E-2</v>
      </c>
      <c r="H66" s="8">
        <v>-6.8297999999999998E-2</v>
      </c>
      <c r="I66" s="8">
        <v>0.73660000000000003</v>
      </c>
      <c r="J66" s="8">
        <v>0.50960000000000005</v>
      </c>
      <c r="K66" s="8">
        <v>0.46750000000000003</v>
      </c>
      <c r="L66" s="8">
        <v>19097.589800000002</v>
      </c>
      <c r="N66" s="1">
        <f t="shared" si="2"/>
        <v>-0.34908136482939628</v>
      </c>
      <c r="O66" s="1">
        <f t="shared" si="3"/>
        <v>5.0541338582677158</v>
      </c>
      <c r="P66" s="1">
        <f t="shared" si="12"/>
        <v>-1.8107758316702787E-2</v>
      </c>
      <c r="Q66" s="1">
        <f t="shared" si="4"/>
        <v>1.5865027263779525</v>
      </c>
      <c r="R66" s="1">
        <f t="shared" si="13"/>
        <v>1.3002682844700857</v>
      </c>
      <c r="T66" s="8"/>
      <c r="U66" s="8"/>
      <c r="V66" s="8"/>
      <c r="W66" s="8"/>
      <c r="X66" s="8"/>
      <c r="Y66" s="8"/>
      <c r="Z66" s="8"/>
      <c r="AA66" s="8"/>
      <c r="AB66" s="8"/>
      <c r="AC66" s="8"/>
      <c r="AD66" s="8"/>
      <c r="AE66" s="8"/>
      <c r="AG66" s="1">
        <f>$AH$19</f>
        <v>6.5</v>
      </c>
      <c r="AH66" s="1">
        <f>$AH$20</f>
        <v>1</v>
      </c>
      <c r="AI66" s="1">
        <f t="shared" si="7"/>
        <v>0.3371719057993568</v>
      </c>
      <c r="AJ66" s="1">
        <v>0</v>
      </c>
      <c r="AL66" s="1">
        <v>-0.22743616742896244</v>
      </c>
      <c r="AM66" s="1">
        <v>1.1996710547178986</v>
      </c>
    </row>
    <row r="67" spans="1:39" x14ac:dyDescent="0.25">
      <c r="A67" s="8">
        <v>0.10639999999999999</v>
      </c>
      <c r="B67" s="8">
        <v>1.5405</v>
      </c>
      <c r="C67" s="8">
        <v>-1.2090000000000001</v>
      </c>
      <c r="D67" s="8">
        <v>0.31390200000000001</v>
      </c>
      <c r="E67" s="8">
        <v>3.529E-3</v>
      </c>
      <c r="F67" s="8">
        <v>3.31E-3</v>
      </c>
      <c r="G67" s="8">
        <v>-8.2275000000000001E-2</v>
      </c>
      <c r="H67" s="8">
        <v>-6.8297999999999998E-2</v>
      </c>
      <c r="I67" s="8">
        <v>0.73660000000000003</v>
      </c>
      <c r="J67" s="8">
        <v>0.50960000000000005</v>
      </c>
      <c r="K67" s="8">
        <v>0.46750000000000003</v>
      </c>
      <c r="L67" s="8">
        <v>19095.953099999999</v>
      </c>
      <c r="N67" s="1">
        <f t="shared" si="2"/>
        <v>0.34908136482939628</v>
      </c>
      <c r="O67" s="1">
        <f t="shared" si="3"/>
        <v>5.0541338582677158</v>
      </c>
      <c r="P67" s="1">
        <f t="shared" si="12"/>
        <v>1.8107758316702787E-2</v>
      </c>
      <c r="Q67" s="1">
        <f t="shared" si="4"/>
        <v>1.5865027263779525</v>
      </c>
      <c r="R67" s="1">
        <f t="shared" si="13"/>
        <v>1.3002682844700857</v>
      </c>
      <c r="T67" s="8"/>
      <c r="U67" s="8"/>
      <c r="V67" s="8"/>
      <c r="W67" s="8"/>
      <c r="X67" s="8"/>
      <c r="Y67" s="8"/>
      <c r="Z67" s="8"/>
      <c r="AA67" s="8"/>
      <c r="AB67" s="8"/>
      <c r="AC67" s="8"/>
      <c r="AD67" s="8"/>
      <c r="AE67" s="8"/>
      <c r="AL67" s="1">
        <v>-0.20766058926730016</v>
      </c>
      <c r="AM67" s="1">
        <v>1.2005134747956177</v>
      </c>
    </row>
    <row r="68" spans="1:39" x14ac:dyDescent="0.25">
      <c r="A68" s="8">
        <v>0.31059999999999999</v>
      </c>
      <c r="B68" s="8">
        <v>1.5114000000000001</v>
      </c>
      <c r="C68" s="8">
        <v>-1.0249999999999999</v>
      </c>
      <c r="D68" s="8">
        <v>0.31697999999999998</v>
      </c>
      <c r="E68" s="8">
        <v>3.473E-3</v>
      </c>
      <c r="F68" s="8">
        <v>2.8159999999999999E-3</v>
      </c>
      <c r="G68" s="8">
        <v>-8.3346000000000003E-2</v>
      </c>
      <c r="H68" s="8">
        <v>-6.9011000000000003E-2</v>
      </c>
      <c r="I68" s="8">
        <v>0.73699999999999999</v>
      </c>
      <c r="J68" s="8">
        <v>0.52949999999999997</v>
      </c>
      <c r="K68" s="8">
        <v>0.4677</v>
      </c>
      <c r="L68" s="8">
        <v>17465.609400000001</v>
      </c>
      <c r="N68" s="1">
        <f t="shared" si="2"/>
        <v>1.019028871391076</v>
      </c>
      <c r="O68" s="1">
        <f t="shared" si="3"/>
        <v>4.9586614173228343</v>
      </c>
      <c r="P68" s="1">
        <f t="shared" si="12"/>
        <v>5.2859677943307197E-2</v>
      </c>
      <c r="Q68" s="1">
        <f t="shared" si="4"/>
        <v>1.571796496062992</v>
      </c>
      <c r="R68" s="1">
        <f t="shared" si="13"/>
        <v>1.298663371746295</v>
      </c>
      <c r="T68" s="8"/>
      <c r="U68" s="8"/>
      <c r="V68" s="8"/>
      <c r="W68" s="8"/>
      <c r="X68" s="8"/>
      <c r="Y68" s="8"/>
      <c r="Z68" s="8"/>
      <c r="AA68" s="8"/>
      <c r="AB68" s="8"/>
      <c r="AC68" s="8"/>
      <c r="AD68" s="8"/>
      <c r="AE68" s="8"/>
      <c r="AL68" s="1">
        <v>-0.18786799253579145</v>
      </c>
      <c r="AM68" s="1">
        <v>1.2025799689635097</v>
      </c>
    </row>
    <row r="69" spans="1:39" x14ac:dyDescent="0.25">
      <c r="A69" s="8">
        <v>0.51600000000000001</v>
      </c>
      <c r="B69" s="8">
        <v>1.4822</v>
      </c>
      <c r="C69" s="8">
        <v>-0.91700000000000004</v>
      </c>
      <c r="D69" s="8">
        <v>0.31915100000000002</v>
      </c>
      <c r="E69" s="8">
        <v>3.4390000000000002E-3</v>
      </c>
      <c r="F69" s="8">
        <v>2.5200000000000001E-3</v>
      </c>
      <c r="G69" s="8">
        <v>-8.4107000000000001E-2</v>
      </c>
      <c r="H69" s="8">
        <v>-6.9431000000000007E-2</v>
      </c>
      <c r="I69" s="8">
        <v>0.73729999999999996</v>
      </c>
      <c r="J69" s="8">
        <v>0.54349999999999998</v>
      </c>
      <c r="K69" s="8">
        <v>0.46750000000000003</v>
      </c>
      <c r="L69" s="8">
        <v>15920.2646</v>
      </c>
      <c r="N69" s="1">
        <f t="shared" si="2"/>
        <v>1.6929133858267715</v>
      </c>
      <c r="O69" s="1">
        <f t="shared" si="3"/>
        <v>4.8628608923884507</v>
      </c>
      <c r="P69" s="1">
        <f t="shared" si="12"/>
        <v>8.78158204080699E-2</v>
      </c>
      <c r="Q69" s="1">
        <f t="shared" si="4"/>
        <v>1.5519869166666664</v>
      </c>
      <c r="R69" s="1">
        <f t="shared" si="13"/>
        <v>1.2954573967121827</v>
      </c>
      <c r="T69" s="8"/>
      <c r="U69" s="8"/>
      <c r="V69" s="8"/>
      <c r="W69" s="8"/>
      <c r="X69" s="8"/>
      <c r="Y69" s="8"/>
      <c r="Z69" s="8"/>
      <c r="AA69" s="8"/>
      <c r="AB69" s="8"/>
      <c r="AC69" s="8"/>
      <c r="AD69" s="8"/>
      <c r="AE69" s="8"/>
      <c r="AL69" s="1">
        <v>-0.16809241437412917</v>
      </c>
      <c r="AM69" s="1">
        <v>1.205187496326289</v>
      </c>
    </row>
    <row r="70" spans="1:39" x14ac:dyDescent="0.25">
      <c r="A70" s="8">
        <v>0.72150000000000003</v>
      </c>
      <c r="B70" s="8">
        <v>1.4530000000000001</v>
      </c>
      <c r="C70" s="8">
        <v>-0.84799999999999998</v>
      </c>
      <c r="D70" s="8">
        <v>0.32073699999999999</v>
      </c>
      <c r="E70" s="8">
        <v>3.4150000000000001E-3</v>
      </c>
      <c r="F70" s="8">
        <v>2.3240000000000001E-3</v>
      </c>
      <c r="G70" s="8">
        <v>-8.4731000000000001E-2</v>
      </c>
      <c r="H70" s="8">
        <v>-6.9723999999999994E-2</v>
      </c>
      <c r="I70" s="8">
        <v>0.73780000000000001</v>
      </c>
      <c r="J70" s="8">
        <v>0.5544</v>
      </c>
      <c r="K70" s="8">
        <v>0.46729999999999999</v>
      </c>
      <c r="L70" s="8">
        <v>14458.8516</v>
      </c>
      <c r="N70" s="1">
        <f t="shared" si="2"/>
        <v>2.3671259842519685</v>
      </c>
      <c r="O70" s="1">
        <f t="shared" si="3"/>
        <v>4.7670603674540679</v>
      </c>
      <c r="P70" s="1">
        <f t="shared" si="12"/>
        <v>0.12278898144267915</v>
      </c>
      <c r="Q70" s="1">
        <f t="shared" si="4"/>
        <v>1.5289726410761153</v>
      </c>
      <c r="R70" s="1">
        <f t="shared" si="13"/>
        <v>1.2906405086081167</v>
      </c>
      <c r="T70" s="8"/>
      <c r="U70" s="8"/>
      <c r="V70" s="8"/>
      <c r="W70" s="8"/>
      <c r="X70" s="8"/>
      <c r="Y70" s="8"/>
      <c r="Z70" s="8"/>
      <c r="AA70" s="8"/>
      <c r="AB70" s="8"/>
      <c r="AC70" s="8"/>
      <c r="AD70" s="8"/>
      <c r="AE70" s="8"/>
      <c r="AL70" s="1">
        <v>-0.14831683621246691</v>
      </c>
      <c r="AM70" s="1">
        <v>1.2082642960919705</v>
      </c>
    </row>
    <row r="71" spans="1:39" x14ac:dyDescent="0.25">
      <c r="A71" s="8">
        <v>0.92710000000000004</v>
      </c>
      <c r="B71" s="8">
        <v>1.4238999999999999</v>
      </c>
      <c r="C71" s="8">
        <v>-0.80300000000000005</v>
      </c>
      <c r="D71" s="8">
        <v>0.321855</v>
      </c>
      <c r="E71" s="8">
        <v>3.3969999999999998E-3</v>
      </c>
      <c r="F71" s="8">
        <v>2.1879999999999998E-3</v>
      </c>
      <c r="G71" s="8">
        <v>-8.5282999999999998E-2</v>
      </c>
      <c r="H71" s="8">
        <v>-6.9947999999999996E-2</v>
      </c>
      <c r="I71" s="8">
        <v>0.73819999999999997</v>
      </c>
      <c r="J71" s="8">
        <v>0.56440000000000001</v>
      </c>
      <c r="K71" s="8">
        <v>0.4672</v>
      </c>
      <c r="L71" s="8">
        <v>13080.127899999999</v>
      </c>
      <c r="N71" s="1">
        <f t="shared" si="2"/>
        <v>3.0416666666666665</v>
      </c>
      <c r="O71" s="1">
        <f t="shared" si="3"/>
        <v>4.6715879265091855</v>
      </c>
      <c r="P71" s="1">
        <f t="shared" si="12"/>
        <v>0.15777916104713491</v>
      </c>
      <c r="Q71" s="1">
        <f t="shared" si="4"/>
        <v>1.5035739320866139</v>
      </c>
      <c r="R71" s="1">
        <f t="shared" si="13"/>
        <v>1.2841922288647656</v>
      </c>
      <c r="T71" s="8"/>
      <c r="U71" s="8"/>
      <c r="V71" s="8"/>
      <c r="W71" s="8"/>
      <c r="X71" s="8"/>
      <c r="Y71" s="8"/>
      <c r="Z71" s="8"/>
      <c r="AA71" s="8"/>
      <c r="AB71" s="8"/>
      <c r="AC71" s="8"/>
      <c r="AD71" s="8"/>
      <c r="AE71" s="8"/>
      <c r="AL71" s="1">
        <v>-0.12854125805080463</v>
      </c>
      <c r="AM71" s="1">
        <v>1.2118054233646225</v>
      </c>
    </row>
    <row r="72" spans="1:39" x14ac:dyDescent="0.25">
      <c r="A72" s="8">
        <v>1.1327</v>
      </c>
      <c r="B72" s="8">
        <v>1.3947000000000001</v>
      </c>
      <c r="C72" s="8">
        <v>-0.77600000000000002</v>
      </c>
      <c r="D72" s="8">
        <v>0.32256400000000002</v>
      </c>
      <c r="E72" s="8">
        <v>3.3830000000000002E-3</v>
      </c>
      <c r="F72" s="8">
        <v>2.101E-3</v>
      </c>
      <c r="G72" s="8">
        <v>-8.5789000000000004E-2</v>
      </c>
      <c r="H72" s="8">
        <v>-7.0132E-2</v>
      </c>
      <c r="I72" s="8">
        <v>0.73870000000000002</v>
      </c>
      <c r="J72" s="8">
        <v>0.57350000000000001</v>
      </c>
      <c r="K72" s="8">
        <v>0.4672</v>
      </c>
      <c r="L72" s="8">
        <v>11782.7168</v>
      </c>
      <c r="N72" s="1">
        <f t="shared" si="2"/>
        <v>3.716207349081365</v>
      </c>
      <c r="O72" s="1">
        <f t="shared" si="3"/>
        <v>4.5757874015748028</v>
      </c>
      <c r="P72" s="1">
        <f t="shared" si="12"/>
        <v>0.19276934065159068</v>
      </c>
      <c r="Q72" s="1">
        <f t="shared" si="4"/>
        <v>1.4759842874015747</v>
      </c>
      <c r="R72" s="1">
        <f t="shared" si="13"/>
        <v>1.276089807187319</v>
      </c>
      <c r="T72" s="8"/>
      <c r="U72" s="8"/>
      <c r="V72" s="8"/>
      <c r="W72" s="8"/>
      <c r="X72" s="8"/>
      <c r="Y72" s="8"/>
      <c r="Z72" s="8"/>
      <c r="AA72" s="8"/>
      <c r="AB72" s="8"/>
      <c r="AC72" s="8"/>
      <c r="AD72" s="8"/>
      <c r="AE72" s="8"/>
      <c r="AL72" s="1">
        <v>-0.10876567988914239</v>
      </c>
      <c r="AM72" s="1">
        <v>1.2154348834923461</v>
      </c>
    </row>
    <row r="73" spans="1:39" x14ac:dyDescent="0.25">
      <c r="A73" s="8">
        <v>1.3383</v>
      </c>
      <c r="B73" s="8">
        <v>1.3655999999999999</v>
      </c>
      <c r="C73" s="8">
        <v>-0.77300000000000002</v>
      </c>
      <c r="D73" s="8">
        <v>0.32289699999999999</v>
      </c>
      <c r="E73" s="8">
        <v>3.3709999999999999E-3</v>
      </c>
      <c r="F73" s="8">
        <v>2.0739999999999999E-3</v>
      </c>
      <c r="G73" s="8">
        <v>-8.6265999999999995E-2</v>
      </c>
      <c r="H73" s="8">
        <v>-7.0288000000000003E-2</v>
      </c>
      <c r="I73" s="8">
        <v>0.73919999999999997</v>
      </c>
      <c r="J73" s="8">
        <v>0.58179999999999998</v>
      </c>
      <c r="K73" s="8">
        <v>0.46750000000000003</v>
      </c>
      <c r="L73" s="8">
        <v>10565.1299</v>
      </c>
      <c r="N73" s="1">
        <f t="shared" si="2"/>
        <v>4.390748031496063</v>
      </c>
      <c r="O73" s="1">
        <f t="shared" si="3"/>
        <v>4.4803149606299204</v>
      </c>
      <c r="P73" s="1">
        <f t="shared" si="12"/>
        <v>0.22775952025604643</v>
      </c>
      <c r="Q73" s="1">
        <f t="shared" si="4"/>
        <v>1.4466802598425195</v>
      </c>
      <c r="R73" s="1">
        <f t="shared" si="13"/>
        <v>1.2663014919253477</v>
      </c>
      <c r="T73" s="8"/>
      <c r="U73" s="8"/>
      <c r="V73" s="8"/>
      <c r="W73" s="8"/>
      <c r="X73" s="8"/>
      <c r="Y73" s="8"/>
      <c r="Z73" s="8"/>
      <c r="AA73" s="8"/>
      <c r="AB73" s="8"/>
      <c r="AC73" s="8"/>
      <c r="AD73" s="8"/>
      <c r="AE73" s="8"/>
      <c r="AL73" s="1">
        <v>-8.8990101727480148E-2</v>
      </c>
      <c r="AM73" s="1">
        <v>1.2198853425455485</v>
      </c>
    </row>
    <row r="74" spans="1:39" x14ac:dyDescent="0.25">
      <c r="A74" s="8">
        <v>1.5439000000000001</v>
      </c>
      <c r="B74" s="8">
        <v>1.3364</v>
      </c>
      <c r="C74" s="8">
        <v>-0.81</v>
      </c>
      <c r="D74" s="8">
        <v>0.32287500000000002</v>
      </c>
      <c r="E74" s="8">
        <v>3.372E-3</v>
      </c>
      <c r="F74" s="8">
        <v>2.1559999999999999E-3</v>
      </c>
      <c r="G74" s="8">
        <v>-8.6724999999999997E-2</v>
      </c>
      <c r="H74" s="8">
        <v>-7.0426000000000002E-2</v>
      </c>
      <c r="I74" s="8">
        <v>0.73980000000000001</v>
      </c>
      <c r="J74" s="8">
        <v>0.58779999999999999</v>
      </c>
      <c r="K74" s="8">
        <v>0.46789999999999998</v>
      </c>
      <c r="L74" s="8">
        <v>9425.7782999999999</v>
      </c>
      <c r="N74" s="1">
        <f t="shared" si="2"/>
        <v>5.0652887139107614</v>
      </c>
      <c r="O74" s="1">
        <f t="shared" si="3"/>
        <v>4.3845144356955377</v>
      </c>
      <c r="P74" s="1">
        <f t="shared" si="12"/>
        <v>0.26274969986050223</v>
      </c>
      <c r="Q74" s="1">
        <f t="shared" si="4"/>
        <v>1.4156500984251967</v>
      </c>
      <c r="R74" s="1">
        <f t="shared" si="13"/>
        <v>1.2547878298786739</v>
      </c>
      <c r="T74" s="8"/>
      <c r="U74" s="8"/>
      <c r="V74" s="8"/>
      <c r="W74" s="8"/>
      <c r="X74" s="8"/>
      <c r="Y74" s="8"/>
      <c r="Z74" s="8"/>
      <c r="AA74" s="8"/>
      <c r="AB74" s="8"/>
      <c r="AC74" s="8"/>
      <c r="AD74" s="8"/>
      <c r="AE74" s="8"/>
      <c r="AL74" s="1">
        <v>-6.9214523565817893E-2</v>
      </c>
      <c r="AM74" s="1">
        <v>1.2238780383452554</v>
      </c>
    </row>
    <row r="75" spans="1:39" x14ac:dyDescent="0.25">
      <c r="A75" s="8">
        <v>1.7495000000000001</v>
      </c>
      <c r="B75" s="8">
        <v>1.3071999999999999</v>
      </c>
      <c r="C75" s="8">
        <v>-0.92900000000000005</v>
      </c>
      <c r="D75" s="8">
        <v>0.32252399999999998</v>
      </c>
      <c r="E75" s="8">
        <v>3.392E-3</v>
      </c>
      <c r="F75" s="8">
        <v>2.467E-3</v>
      </c>
      <c r="G75" s="8">
        <v>-8.7171999999999999E-2</v>
      </c>
      <c r="H75" s="8">
        <v>-7.0549000000000001E-2</v>
      </c>
      <c r="I75" s="8">
        <v>0.74029999999999996</v>
      </c>
      <c r="J75" s="8">
        <v>0.59050000000000002</v>
      </c>
      <c r="K75" s="8">
        <v>0.46839999999999998</v>
      </c>
      <c r="L75" s="8">
        <v>8362.9892999999993</v>
      </c>
      <c r="N75" s="1">
        <f t="shared" si="2"/>
        <v>5.739829396325459</v>
      </c>
      <c r="O75" s="1">
        <f t="shared" si="3"/>
        <v>4.288713910761154</v>
      </c>
      <c r="P75" s="1">
        <f t="shared" si="12"/>
        <v>0.29773987946495795</v>
      </c>
      <c r="Q75" s="1">
        <f t="shared" si="4"/>
        <v>1.3832131653543303</v>
      </c>
      <c r="R75" s="1">
        <f t="shared" si="13"/>
        <v>1.2415008194460364</v>
      </c>
      <c r="T75" s="8"/>
      <c r="U75" s="8"/>
      <c r="V75" s="8"/>
      <c r="W75" s="8"/>
      <c r="X75" s="8"/>
      <c r="Y75" s="8"/>
      <c r="Z75" s="8"/>
      <c r="AA75" s="8"/>
      <c r="AB75" s="8"/>
      <c r="AC75" s="8"/>
      <c r="AD75" s="8"/>
      <c r="AE75" s="8"/>
      <c r="AL75" s="1">
        <v>-4.9438945404155631E-2</v>
      </c>
      <c r="AM75" s="1">
        <v>1.2287697364778625</v>
      </c>
    </row>
    <row r="76" spans="1:39" x14ac:dyDescent="0.25">
      <c r="A76" s="8">
        <v>1.9552</v>
      </c>
      <c r="B76" s="8">
        <v>1.2781</v>
      </c>
      <c r="C76" s="8">
        <v>-1.161</v>
      </c>
      <c r="D76" s="8">
        <v>0.32191399999999998</v>
      </c>
      <c r="E76" s="8">
        <v>3.418E-3</v>
      </c>
      <c r="F76" s="8">
        <v>3.1150000000000001E-3</v>
      </c>
      <c r="G76" s="8">
        <v>-8.7608000000000005E-2</v>
      </c>
      <c r="H76" s="8">
        <v>-7.0661000000000002E-2</v>
      </c>
      <c r="I76" s="8">
        <v>0.7409</v>
      </c>
      <c r="J76" s="8">
        <v>0.59209999999999996</v>
      </c>
      <c r="K76" s="8">
        <v>0.46920000000000001</v>
      </c>
      <c r="L76" s="8">
        <v>7375.0102999999999</v>
      </c>
      <c r="N76" s="1">
        <f t="shared" si="2"/>
        <v>6.4146981627296586</v>
      </c>
      <c r="O76" s="1">
        <f t="shared" si="3"/>
        <v>4.1932414698162725</v>
      </c>
      <c r="P76" s="1">
        <f t="shared" si="12"/>
        <v>0.33274707763926026</v>
      </c>
      <c r="Q76" s="1">
        <f t="shared" si="4"/>
        <v>1.3498631345144354</v>
      </c>
      <c r="R76" s="1">
        <f t="shared" si="13"/>
        <v>1.2263750137086524</v>
      </c>
      <c r="T76" s="8"/>
      <c r="U76" s="8"/>
      <c r="V76" s="8"/>
      <c r="W76" s="8"/>
      <c r="X76" s="8"/>
      <c r="Y76" s="8"/>
      <c r="Z76" s="8"/>
      <c r="AA76" s="8"/>
      <c r="AB76" s="8"/>
      <c r="AC76" s="8"/>
      <c r="AD76" s="8"/>
      <c r="AE76" s="8"/>
      <c r="AL76" s="1">
        <v>-2.9663367242493383E-2</v>
      </c>
      <c r="AM76" s="1">
        <v>1.2329054558821826</v>
      </c>
    </row>
    <row r="77" spans="1:39" x14ac:dyDescent="0.25">
      <c r="A77" s="8">
        <v>2.1608000000000001</v>
      </c>
      <c r="B77" s="8">
        <v>1.2488999999999999</v>
      </c>
      <c r="C77" s="8">
        <v>-1.339</v>
      </c>
      <c r="D77" s="8">
        <v>0.32111699999999999</v>
      </c>
      <c r="E77" s="8">
        <v>3.4489999999999998E-3</v>
      </c>
      <c r="F77" s="8">
        <v>3.6480000000000002E-3</v>
      </c>
      <c r="G77" s="8">
        <v>-8.8031999999999999E-2</v>
      </c>
      <c r="H77" s="8">
        <v>-7.0762000000000005E-2</v>
      </c>
      <c r="I77" s="8">
        <v>0.74150000000000005</v>
      </c>
      <c r="J77" s="8">
        <v>0.59279999999999999</v>
      </c>
      <c r="K77" s="8">
        <v>0.47010000000000002</v>
      </c>
      <c r="L77" s="8">
        <v>6460.0352000000003</v>
      </c>
      <c r="N77" s="1">
        <f t="shared" si="2"/>
        <v>7.0892388451443571</v>
      </c>
      <c r="O77" s="1">
        <f t="shared" si="3"/>
        <v>4.0974409448818889</v>
      </c>
      <c r="P77" s="1">
        <f t="shared" si="12"/>
        <v>0.36773725724371603</v>
      </c>
      <c r="Q77" s="1">
        <f t="shared" si="4"/>
        <v>1.3157579438976374</v>
      </c>
      <c r="R77" s="1">
        <f t="shared" si="13"/>
        <v>1.2093564242719383</v>
      </c>
      <c r="T77" s="8"/>
      <c r="U77" s="8"/>
      <c r="V77" s="8"/>
      <c r="W77" s="8"/>
      <c r="X77" s="8"/>
      <c r="Y77" s="8"/>
      <c r="Z77" s="8"/>
      <c r="AA77" s="8"/>
      <c r="AB77" s="8"/>
      <c r="AC77" s="8"/>
      <c r="AD77" s="8"/>
      <c r="AE77" s="8"/>
      <c r="AL77" s="1">
        <v>-9.8877890808311275E-3</v>
      </c>
      <c r="AM77" s="1">
        <v>1.2354651187664041</v>
      </c>
    </row>
    <row r="78" spans="1:39" x14ac:dyDescent="0.25">
      <c r="A78" s="8">
        <v>2.3664000000000001</v>
      </c>
      <c r="B78" s="8">
        <v>1.2198</v>
      </c>
      <c r="C78" s="8">
        <v>-1.325</v>
      </c>
      <c r="D78" s="8">
        <v>0.32002900000000001</v>
      </c>
      <c r="E78" s="8">
        <v>3.4880000000000002E-3</v>
      </c>
      <c r="F78" s="8">
        <v>3.64E-3</v>
      </c>
      <c r="G78" s="8">
        <v>-8.8442999999999994E-2</v>
      </c>
      <c r="H78" s="8">
        <v>-7.0847999999999994E-2</v>
      </c>
      <c r="I78" s="8">
        <v>0.74209999999999998</v>
      </c>
      <c r="J78" s="8">
        <v>0.5907</v>
      </c>
      <c r="K78" s="8">
        <v>0.47120000000000001</v>
      </c>
      <c r="L78" s="8">
        <v>5616.2231000000002</v>
      </c>
      <c r="N78" s="1">
        <f t="shared" si="2"/>
        <v>7.7637795275590546</v>
      </c>
      <c r="O78" s="1">
        <f t="shared" si="3"/>
        <v>4.0019685039370074</v>
      </c>
      <c r="P78" s="1">
        <f t="shared" si="12"/>
        <v>0.40272743684817175</v>
      </c>
      <c r="Q78" s="1">
        <f t="shared" si="4"/>
        <v>1.2807459783464565</v>
      </c>
      <c r="R78" s="1">
        <f t="shared" si="13"/>
        <v>1.1903566712212759</v>
      </c>
      <c r="T78" s="8"/>
      <c r="U78" s="8"/>
      <c r="V78" s="8"/>
      <c r="W78" s="8"/>
      <c r="X78" s="8"/>
      <c r="Y78" s="8"/>
      <c r="Z78" s="8"/>
      <c r="AA78" s="8"/>
      <c r="AB78" s="8"/>
      <c r="AC78" s="8"/>
      <c r="AD78" s="8"/>
      <c r="AE78" s="8"/>
      <c r="AL78" s="1">
        <v>9.8877890808311275E-3</v>
      </c>
      <c r="AM78" s="1">
        <v>1.2354651187664041</v>
      </c>
    </row>
    <row r="79" spans="1:39" x14ac:dyDescent="0.25">
      <c r="A79" s="8">
        <v>2.5720999999999998</v>
      </c>
      <c r="B79" s="8">
        <v>1.1906000000000001</v>
      </c>
      <c r="C79" s="8">
        <v>-1.234</v>
      </c>
      <c r="D79" s="8">
        <v>0.31859399999999999</v>
      </c>
      <c r="E79" s="8">
        <v>3.5339999999999998E-3</v>
      </c>
      <c r="F79" s="8">
        <v>3.3999999999999998E-3</v>
      </c>
      <c r="G79" s="8">
        <v>-8.8831999999999994E-2</v>
      </c>
      <c r="H79" s="8">
        <v>-7.0912000000000003E-2</v>
      </c>
      <c r="I79" s="8">
        <v>0.74280000000000002</v>
      </c>
      <c r="J79" s="8">
        <v>0.58660000000000001</v>
      </c>
      <c r="K79" s="8">
        <v>0.47249999999999998</v>
      </c>
      <c r="L79" s="8">
        <v>4841.6777000000002</v>
      </c>
      <c r="N79" s="1">
        <f t="shared" si="2"/>
        <v>8.4386482939632543</v>
      </c>
      <c r="O79" s="1">
        <f t="shared" si="3"/>
        <v>3.9061679790026247</v>
      </c>
      <c r="P79" s="1">
        <f t="shared" si="12"/>
        <v>0.43773463502247406</v>
      </c>
      <c r="Q79" s="1">
        <f t="shared" si="4"/>
        <v>1.2444816811023622</v>
      </c>
      <c r="R79" s="1">
        <f t="shared" si="13"/>
        <v>1.1692684070627644</v>
      </c>
      <c r="T79" s="8"/>
      <c r="U79" s="8"/>
      <c r="V79" s="8"/>
      <c r="W79" s="8"/>
      <c r="X79" s="8"/>
      <c r="Y79" s="8"/>
      <c r="Z79" s="8"/>
      <c r="AA79" s="8"/>
      <c r="AB79" s="8"/>
      <c r="AC79" s="8"/>
      <c r="AD79" s="8"/>
      <c r="AE79" s="8"/>
      <c r="AL79" s="1">
        <v>2.9663367242493383E-2</v>
      </c>
      <c r="AM79" s="1">
        <v>1.2329054558821826</v>
      </c>
    </row>
    <row r="80" spans="1:39" x14ac:dyDescent="0.25">
      <c r="A80" s="8">
        <v>2.7776999999999998</v>
      </c>
      <c r="B80" s="8">
        <v>1.1615</v>
      </c>
      <c r="C80" s="8">
        <v>-1.1439999999999999</v>
      </c>
      <c r="D80" s="8">
        <v>0.31684400000000001</v>
      </c>
      <c r="E80" s="8">
        <v>3.5860000000000002E-3</v>
      </c>
      <c r="F80" s="8">
        <v>3.1459999999999999E-3</v>
      </c>
      <c r="G80" s="8">
        <v>-8.9177999999999993E-2</v>
      </c>
      <c r="H80" s="8">
        <v>-7.0931999999999995E-2</v>
      </c>
      <c r="I80" s="8">
        <v>0.74350000000000005</v>
      </c>
      <c r="J80" s="8">
        <v>0.58079999999999998</v>
      </c>
      <c r="K80" s="8">
        <v>0.4738</v>
      </c>
      <c r="L80" s="8">
        <v>4134.4408999999996</v>
      </c>
      <c r="N80" s="1">
        <f t="shared" si="2"/>
        <v>9.1131889763779519</v>
      </c>
      <c r="O80" s="1">
        <f t="shared" si="3"/>
        <v>3.8106955380577423</v>
      </c>
      <c r="P80" s="1">
        <f t="shared" si="12"/>
        <v>0.47272481462692978</v>
      </c>
      <c r="Q80" s="1">
        <f t="shared" si="4"/>
        <v>1.2073960170603673</v>
      </c>
      <c r="R80" s="1">
        <f t="shared" si="13"/>
        <v>1.1459974483189941</v>
      </c>
      <c r="T80" s="8"/>
      <c r="U80" s="8"/>
      <c r="V80" s="8"/>
      <c r="W80" s="8"/>
      <c r="X80" s="8"/>
      <c r="Y80" s="8"/>
      <c r="Z80" s="8"/>
      <c r="AA80" s="8"/>
      <c r="AB80" s="8"/>
      <c r="AC80" s="8"/>
      <c r="AD80" s="8"/>
      <c r="AE80" s="8"/>
      <c r="AL80" s="1">
        <v>4.9438945404155631E-2</v>
      </c>
      <c r="AM80" s="1">
        <v>1.2287697364778625</v>
      </c>
    </row>
    <row r="81" spans="1:39" x14ac:dyDescent="0.25">
      <c r="A81" s="8">
        <v>2.9834000000000001</v>
      </c>
      <c r="B81" s="8">
        <v>1.1323000000000001</v>
      </c>
      <c r="C81" s="8">
        <v>-1.07</v>
      </c>
      <c r="D81" s="8">
        <v>0.31484000000000001</v>
      </c>
      <c r="E81" s="8">
        <v>3.6459999999999999E-3</v>
      </c>
      <c r="F81" s="8">
        <v>2.9320000000000001E-3</v>
      </c>
      <c r="G81" s="8">
        <v>-8.9422000000000001E-2</v>
      </c>
      <c r="H81" s="8">
        <v>-7.0846000000000006E-2</v>
      </c>
      <c r="I81" s="8">
        <v>0.74429999999999996</v>
      </c>
      <c r="J81" s="8">
        <v>0.57509999999999994</v>
      </c>
      <c r="K81" s="8">
        <v>0.47499999999999998</v>
      </c>
      <c r="L81" s="8">
        <v>3492.5043999999998</v>
      </c>
      <c r="N81" s="1">
        <f t="shared" si="2"/>
        <v>9.7880577427821525</v>
      </c>
      <c r="O81" s="1">
        <f t="shared" si="3"/>
        <v>3.7148950131233596</v>
      </c>
      <c r="P81" s="1">
        <f t="shared" si="12"/>
        <v>0.50773201280123215</v>
      </c>
      <c r="Q81" s="1">
        <f t="shared" si="4"/>
        <v>1.1695975459317585</v>
      </c>
      <c r="R81" s="1">
        <f t="shared" si="13"/>
        <v>1.1203844095519349</v>
      </c>
      <c r="T81" s="8"/>
      <c r="U81" s="8"/>
      <c r="V81" s="8"/>
      <c r="W81" s="8"/>
      <c r="X81" s="8"/>
      <c r="Y81" s="8"/>
      <c r="Z81" s="8"/>
      <c r="AA81" s="8"/>
      <c r="AB81" s="8"/>
      <c r="AC81" s="8"/>
      <c r="AD81" s="8"/>
      <c r="AE81" s="8"/>
      <c r="AL81" s="1">
        <v>6.9214523565817893E-2</v>
      </c>
      <c r="AM81" s="1">
        <v>1.2238780383452554</v>
      </c>
    </row>
    <row r="82" spans="1:39" x14ac:dyDescent="0.25">
      <c r="A82" s="8">
        <v>3.1890000000000001</v>
      </c>
      <c r="B82" s="8">
        <v>1.1031</v>
      </c>
      <c r="C82" s="8">
        <v>-1.026</v>
      </c>
      <c r="D82" s="8">
        <v>0.31275900000000001</v>
      </c>
      <c r="E82" s="8">
        <v>3.7100000000000002E-3</v>
      </c>
      <c r="F82" s="8">
        <v>2.8E-3</v>
      </c>
      <c r="G82" s="8">
        <v>-8.9391999999999999E-2</v>
      </c>
      <c r="H82" s="8">
        <v>-7.0473999999999995E-2</v>
      </c>
      <c r="I82" s="8">
        <v>0.745</v>
      </c>
      <c r="J82" s="8">
        <v>0.56910000000000005</v>
      </c>
      <c r="K82" s="8">
        <v>0.4753</v>
      </c>
      <c r="L82" s="8">
        <v>2913.8276000000001</v>
      </c>
      <c r="N82" s="1">
        <f t="shared" si="2"/>
        <v>10.46259842519685</v>
      </c>
      <c r="O82" s="1">
        <f t="shared" si="3"/>
        <v>3.6190944881889759</v>
      </c>
      <c r="P82" s="1">
        <f t="shared" si="12"/>
        <v>0.54272219240568786</v>
      </c>
      <c r="Q82" s="1">
        <f t="shared" si="4"/>
        <v>1.1319043730314959</v>
      </c>
      <c r="R82" s="1">
        <f t="shared" si="13"/>
        <v>1.0922903775878243</v>
      </c>
      <c r="T82" s="8"/>
      <c r="U82" s="8"/>
      <c r="V82" s="8"/>
      <c r="W82" s="8"/>
      <c r="X82" s="8"/>
      <c r="Y82" s="8"/>
      <c r="Z82" s="8"/>
      <c r="AA82" s="8"/>
      <c r="AB82" s="8"/>
      <c r="AC82" s="8"/>
      <c r="AD82" s="8"/>
      <c r="AE82" s="8"/>
      <c r="AL82" s="1">
        <v>8.8990101727480148E-2</v>
      </c>
      <c r="AM82" s="1">
        <v>1.2198853425455485</v>
      </c>
    </row>
    <row r="83" spans="1:39" x14ac:dyDescent="0.25">
      <c r="A83" s="8">
        <v>3.3073000000000001</v>
      </c>
      <c r="B83" s="8">
        <v>1.1196999999999999</v>
      </c>
      <c r="C83" s="8">
        <v>-2.1240000000000001</v>
      </c>
      <c r="D83" s="8">
        <v>0.25571199999999999</v>
      </c>
      <c r="E83" s="8">
        <v>4.79E-3</v>
      </c>
      <c r="F83" s="8">
        <v>3.385E-3</v>
      </c>
      <c r="G83" s="8">
        <v>-7.0618E-2</v>
      </c>
      <c r="H83" s="8">
        <v>-6.0456000000000003E-2</v>
      </c>
      <c r="I83" s="8">
        <v>0.74819999999999998</v>
      </c>
      <c r="J83" s="8">
        <v>0.2465</v>
      </c>
      <c r="K83" s="8">
        <v>0.48349999999999999</v>
      </c>
      <c r="L83" s="8">
        <v>2651.6262000000002</v>
      </c>
      <c r="N83" s="1">
        <f t="shared" si="2"/>
        <v>10.850721784776903</v>
      </c>
      <c r="O83" s="1">
        <f t="shared" si="3"/>
        <v>3.6735564304461938</v>
      </c>
      <c r="P83" s="1">
        <f t="shared" si="12"/>
        <v>0.56285516053412721</v>
      </c>
      <c r="Q83" s="1">
        <f t="shared" si="4"/>
        <v>0.9393724619422571</v>
      </c>
      <c r="R83" s="1">
        <f t="shared" si="13"/>
        <v>1.0749202026884916</v>
      </c>
      <c r="T83" s="8"/>
      <c r="U83" s="8"/>
      <c r="V83" s="8"/>
      <c r="W83" s="8"/>
      <c r="X83" s="8"/>
      <c r="Y83" s="8"/>
      <c r="Z83" s="8"/>
      <c r="AA83" s="8"/>
      <c r="AB83" s="8"/>
      <c r="AC83" s="8"/>
      <c r="AD83" s="8"/>
      <c r="AE83" s="8"/>
      <c r="AL83" s="1">
        <v>0.10876567988914239</v>
      </c>
      <c r="AM83" s="1">
        <v>1.2154348834923461</v>
      </c>
    </row>
    <row r="84" spans="1:39" x14ac:dyDescent="0.25">
      <c r="A84" s="8">
        <v>3.3702999999999999</v>
      </c>
      <c r="B84" s="8">
        <v>1.1391</v>
      </c>
      <c r="C84" s="8">
        <v>-1.002</v>
      </c>
      <c r="D84" s="8">
        <v>0.29316300000000001</v>
      </c>
      <c r="E84" s="8">
        <v>4.248E-3</v>
      </c>
      <c r="F84" s="8">
        <v>2.562E-3</v>
      </c>
      <c r="G84" s="8">
        <v>-7.7928999999999998E-2</v>
      </c>
      <c r="H84" s="8">
        <v>-7.2442999999999994E-2</v>
      </c>
      <c r="I84" s="8">
        <v>0.74709999999999999</v>
      </c>
      <c r="J84" s="8">
        <v>0.37180000000000002</v>
      </c>
      <c r="K84" s="8">
        <v>0.497</v>
      </c>
      <c r="L84" s="8">
        <v>2463.6392000000001</v>
      </c>
      <c r="N84" s="1">
        <f t="shared" si="2"/>
        <v>11.057414698162729</v>
      </c>
      <c r="O84" s="1">
        <f t="shared" si="3"/>
        <v>3.7372047244094486</v>
      </c>
      <c r="P84" s="1">
        <f t="shared" si="12"/>
        <v>0.57357685953743798</v>
      </c>
      <c r="Q84" s="1">
        <f t="shared" si="4"/>
        <v>1.0956101486220473</v>
      </c>
      <c r="R84" s="1">
        <f t="shared" si="13"/>
        <v>1.0652917021066508</v>
      </c>
      <c r="T84" s="8"/>
      <c r="U84" s="8"/>
      <c r="V84" s="8"/>
      <c r="W84" s="8"/>
      <c r="X84" s="8"/>
      <c r="Y84" s="8"/>
      <c r="Z84" s="8"/>
      <c r="AA84" s="8"/>
      <c r="AB84" s="8"/>
      <c r="AC84" s="8"/>
      <c r="AD84" s="8"/>
      <c r="AE84" s="8"/>
      <c r="AL84" s="1">
        <v>0.12854125805080463</v>
      </c>
      <c r="AM84" s="1">
        <v>1.2118054233646225</v>
      </c>
    </row>
    <row r="85" spans="1:39" x14ac:dyDescent="0.25">
      <c r="A85" s="8">
        <v>3.5118999999999998</v>
      </c>
      <c r="B85" s="8">
        <v>1.1157999999999999</v>
      </c>
      <c r="C85" s="8">
        <v>-0.98399999999999999</v>
      </c>
      <c r="D85" s="8">
        <v>0.29099399999999997</v>
      </c>
      <c r="E85" s="8">
        <v>4.3169999999999997E-3</v>
      </c>
      <c r="F85" s="8">
        <v>2.5010000000000002E-3</v>
      </c>
      <c r="G85" s="8">
        <v>-7.7907000000000004E-2</v>
      </c>
      <c r="H85" s="8">
        <v>-7.1809999999999999E-2</v>
      </c>
      <c r="I85" s="8">
        <v>0.74780000000000002</v>
      </c>
      <c r="J85" s="8">
        <v>0.35980000000000001</v>
      </c>
      <c r="K85" s="8">
        <v>0.49659999999999999</v>
      </c>
      <c r="L85" s="8">
        <v>2134.5976999999998</v>
      </c>
      <c r="N85" s="1">
        <f t="shared" si="2"/>
        <v>11.521981627296586</v>
      </c>
      <c r="O85" s="1">
        <f t="shared" si="3"/>
        <v>3.6607611548556425</v>
      </c>
      <c r="P85" s="1">
        <f t="shared" si="12"/>
        <v>0.59767515444011765</v>
      </c>
      <c r="Q85" s="1">
        <f t="shared" si="4"/>
        <v>1.0652595314960627</v>
      </c>
      <c r="R85" s="1">
        <f t="shared" si="13"/>
        <v>1.0426459226514202</v>
      </c>
      <c r="T85" s="8"/>
      <c r="U85" s="8"/>
      <c r="V85" s="8"/>
      <c r="W85" s="8"/>
      <c r="X85" s="8"/>
      <c r="Y85" s="8"/>
      <c r="Z85" s="8"/>
      <c r="AA85" s="8"/>
      <c r="AB85" s="8"/>
      <c r="AC85" s="8"/>
      <c r="AD85" s="8"/>
      <c r="AE85" s="8"/>
      <c r="AL85" s="1">
        <v>0.14831683621246691</v>
      </c>
      <c r="AM85" s="1">
        <v>1.2082642960919705</v>
      </c>
    </row>
    <row r="86" spans="1:39" x14ac:dyDescent="0.25">
      <c r="A86" s="8">
        <v>3.6543000000000001</v>
      </c>
      <c r="B86" s="8">
        <v>1.0925</v>
      </c>
      <c r="C86" s="8">
        <v>-0.95599999999999996</v>
      </c>
      <c r="D86" s="8">
        <v>0.28847</v>
      </c>
      <c r="E86" s="8">
        <v>4.3920000000000001E-3</v>
      </c>
      <c r="F86" s="8">
        <v>2.4099999999999998E-3</v>
      </c>
      <c r="G86" s="8">
        <v>-7.8258999999999995E-2</v>
      </c>
      <c r="H86" s="8">
        <v>-7.1541999999999994E-2</v>
      </c>
      <c r="I86" s="8">
        <v>0.74839999999999995</v>
      </c>
      <c r="J86" s="8">
        <v>0.34589999999999999</v>
      </c>
      <c r="K86" s="8">
        <v>0.49790000000000001</v>
      </c>
      <c r="L86" s="8">
        <v>1833.2571</v>
      </c>
      <c r="N86" s="1">
        <f t="shared" si="2"/>
        <v>11.989173228346456</v>
      </c>
      <c r="O86" s="1">
        <f t="shared" si="3"/>
        <v>3.5843175853018372</v>
      </c>
      <c r="P86" s="1">
        <f t="shared" si="12"/>
        <v>0.62190959790156952</v>
      </c>
      <c r="Q86" s="1">
        <f t="shared" si="4"/>
        <v>1.033968093832021</v>
      </c>
      <c r="R86" s="1">
        <f t="shared" si="13"/>
        <v>1.018392823393595</v>
      </c>
      <c r="T86" s="8"/>
      <c r="U86" s="8"/>
      <c r="V86" s="8"/>
      <c r="W86" s="8"/>
      <c r="X86" s="8"/>
      <c r="Y86" s="8"/>
      <c r="Z86" s="8"/>
      <c r="AA86" s="8"/>
      <c r="AB86" s="8"/>
      <c r="AC86" s="8"/>
      <c r="AD86" s="8"/>
      <c r="AE86" s="8"/>
      <c r="AL86" s="1">
        <v>0.16809241437412917</v>
      </c>
      <c r="AM86" s="1">
        <v>1.205187496326289</v>
      </c>
    </row>
    <row r="87" spans="1:39" x14ac:dyDescent="0.25">
      <c r="A87" s="8">
        <v>3.7968000000000002</v>
      </c>
      <c r="B87" s="8">
        <v>1.0690999999999999</v>
      </c>
      <c r="C87" s="8">
        <v>-0.92500000000000004</v>
      </c>
      <c r="D87" s="8">
        <v>0.28549799999999997</v>
      </c>
      <c r="E87" s="8">
        <v>4.4759999999999999E-3</v>
      </c>
      <c r="F87" s="8">
        <v>2.3080000000000002E-3</v>
      </c>
      <c r="G87" s="8">
        <v>-7.8772999999999996E-2</v>
      </c>
      <c r="H87" s="8">
        <v>-7.1429000000000006E-2</v>
      </c>
      <c r="I87" s="8">
        <v>0.74909999999999999</v>
      </c>
      <c r="J87" s="8">
        <v>0.32929999999999998</v>
      </c>
      <c r="K87" s="8">
        <v>0.50009999999999999</v>
      </c>
      <c r="L87" s="8">
        <v>1558.8019999999999</v>
      </c>
      <c r="N87" s="1">
        <f t="shared" si="2"/>
        <v>12.456692913385826</v>
      </c>
      <c r="O87" s="1">
        <f t="shared" si="3"/>
        <v>3.5075459317585298</v>
      </c>
      <c r="P87" s="1">
        <f t="shared" si="12"/>
        <v>0.64616105993286788</v>
      </c>
      <c r="Q87" s="1">
        <f t="shared" si="4"/>
        <v>1.0013973484251966</v>
      </c>
      <c r="R87" s="1">
        <f t="shared" si="13"/>
        <v>0.99252888962826868</v>
      </c>
      <c r="T87" s="8"/>
      <c r="U87" s="8"/>
      <c r="V87" s="8"/>
      <c r="W87" s="8"/>
      <c r="X87" s="8"/>
      <c r="Y87" s="8"/>
      <c r="Z87" s="8"/>
      <c r="AA87" s="8"/>
      <c r="AB87" s="8"/>
      <c r="AC87" s="8"/>
      <c r="AD87" s="8"/>
      <c r="AE87" s="8"/>
      <c r="AL87" s="1">
        <v>0.18786799253579145</v>
      </c>
      <c r="AM87" s="1">
        <v>1.2025799689635097</v>
      </c>
    </row>
    <row r="88" spans="1:39" x14ac:dyDescent="0.25">
      <c r="A88" s="8">
        <v>3.9394</v>
      </c>
      <c r="B88" s="8">
        <v>1.0458000000000001</v>
      </c>
      <c r="C88" s="8">
        <v>-0.89400000000000002</v>
      </c>
      <c r="D88" s="8">
        <v>0.28204299999999999</v>
      </c>
      <c r="E88" s="8">
        <v>4.5659999999999997E-3</v>
      </c>
      <c r="F88" s="8">
        <v>2.2039999999999998E-3</v>
      </c>
      <c r="G88" s="8">
        <v>-7.9362000000000002E-2</v>
      </c>
      <c r="H88" s="8">
        <v>-7.1387999999999993E-2</v>
      </c>
      <c r="I88" s="8">
        <v>0.74980000000000002</v>
      </c>
      <c r="J88" s="8">
        <v>0.31140000000000001</v>
      </c>
      <c r="K88" s="8">
        <v>0.503</v>
      </c>
      <c r="L88" s="8">
        <v>1310.3873000000001</v>
      </c>
      <c r="N88" s="1">
        <f t="shared" si="2"/>
        <v>12.924540682414698</v>
      </c>
      <c r="O88" s="1">
        <f t="shared" si="3"/>
        <v>3.4311023622047245</v>
      </c>
      <c r="P88" s="1">
        <f t="shared" si="12"/>
        <v>0.67042954053401282</v>
      </c>
      <c r="Q88" s="1">
        <f t="shared" si="4"/>
        <v>0.96771840354330707</v>
      </c>
      <c r="R88" s="1">
        <f t="shared" si="13"/>
        <v>0.96492242895931968</v>
      </c>
      <c r="T88" s="8"/>
      <c r="U88" s="8"/>
      <c r="V88" s="8"/>
      <c r="W88" s="8"/>
      <c r="X88" s="8"/>
      <c r="Y88" s="8"/>
      <c r="Z88" s="8"/>
      <c r="AA88" s="8"/>
      <c r="AB88" s="8"/>
      <c r="AC88" s="8"/>
      <c r="AD88" s="8"/>
      <c r="AE88" s="8"/>
      <c r="AL88" s="1">
        <v>0.20766058926730016</v>
      </c>
      <c r="AM88" s="1">
        <v>1.2005134747956177</v>
      </c>
    </row>
    <row r="89" spans="1:39" x14ac:dyDescent="0.25">
      <c r="A89" s="8">
        <v>4.0820999999999996</v>
      </c>
      <c r="B89" s="8">
        <v>1.0225</v>
      </c>
      <c r="C89" s="8">
        <v>-0.86399999999999999</v>
      </c>
      <c r="D89" s="8">
        <v>0.27807100000000001</v>
      </c>
      <c r="E89" s="8">
        <v>4.6540000000000002E-3</v>
      </c>
      <c r="F89" s="8">
        <v>2.1020000000000001E-3</v>
      </c>
      <c r="G89" s="8">
        <v>-7.9979999999999996E-2</v>
      </c>
      <c r="H89" s="8">
        <v>-7.1378999999999998E-2</v>
      </c>
      <c r="I89" s="8">
        <v>0.75060000000000004</v>
      </c>
      <c r="J89" s="8">
        <v>0.29449999999999998</v>
      </c>
      <c r="K89" s="8">
        <v>0.50660000000000005</v>
      </c>
      <c r="L89" s="8">
        <v>1087.1366</v>
      </c>
      <c r="N89" s="1">
        <f t="shared" si="2"/>
        <v>13.392716535433069</v>
      </c>
      <c r="O89" s="1">
        <f t="shared" si="3"/>
        <v>3.3546587926509184</v>
      </c>
      <c r="P89" s="1">
        <f t="shared" ref="P89:P108" si="14">N89/$O$18</f>
        <v>0.69471503970500414</v>
      </c>
      <c r="Q89" s="1">
        <f t="shared" si="4"/>
        <v>0.93283332513123352</v>
      </c>
      <c r="R89" s="1">
        <f t="shared" ref="R89:R108" si="15">2*(2*$O$18)*(2*$O$20/PI()/$O$17)*SQRT(1-P89^2)</f>
        <v>0.9354169354637053</v>
      </c>
      <c r="T89" s="8"/>
      <c r="U89" s="8"/>
      <c r="V89" s="8"/>
      <c r="W89" s="8"/>
      <c r="X89" s="8"/>
      <c r="Y89" s="8"/>
      <c r="Z89" s="8"/>
      <c r="AA89" s="8"/>
      <c r="AB89" s="8"/>
      <c r="AC89" s="8"/>
      <c r="AD89" s="8"/>
      <c r="AE89" s="8"/>
      <c r="AL89" s="1">
        <v>0.22743616742896244</v>
      </c>
      <c r="AM89" s="1">
        <v>1.1996710547178986</v>
      </c>
    </row>
    <row r="90" spans="1:39" x14ac:dyDescent="0.25">
      <c r="A90" s="8">
        <v>4.2247000000000003</v>
      </c>
      <c r="B90" s="8">
        <v>0.99909999999999999</v>
      </c>
      <c r="C90" s="8">
        <v>-0.83799999999999997</v>
      </c>
      <c r="D90" s="8">
        <v>0.27354000000000001</v>
      </c>
      <c r="E90" s="8">
        <v>4.7190000000000001E-3</v>
      </c>
      <c r="F90" s="8">
        <v>2.0049999999999998E-3</v>
      </c>
      <c r="G90" s="8">
        <v>-8.0596000000000001E-2</v>
      </c>
      <c r="H90" s="8">
        <v>-7.1379999999999999E-2</v>
      </c>
      <c r="I90" s="8">
        <v>0.75129999999999997</v>
      </c>
      <c r="J90" s="8">
        <v>0.28539999999999999</v>
      </c>
      <c r="K90" s="8">
        <v>0.51080000000000003</v>
      </c>
      <c r="L90" s="8">
        <v>888.14210000000003</v>
      </c>
      <c r="N90" s="1">
        <f t="shared" si="2"/>
        <v>13.860564304461942</v>
      </c>
      <c r="O90" s="1">
        <f t="shared" si="3"/>
        <v>3.2778871391076114</v>
      </c>
      <c r="P90" s="1">
        <f t="shared" si="14"/>
        <v>0.71898352030614909</v>
      </c>
      <c r="Q90" s="1">
        <f t="shared" si="4"/>
        <v>0.89663324803149602</v>
      </c>
      <c r="R90" s="1">
        <f t="shared" si="15"/>
        <v>0.9038699184905058</v>
      </c>
      <c r="T90" s="8"/>
      <c r="U90" s="8"/>
      <c r="V90" s="8"/>
      <c r="W90" s="8"/>
      <c r="X90" s="8"/>
      <c r="Y90" s="8"/>
      <c r="Z90" s="8"/>
      <c r="AA90" s="8"/>
      <c r="AB90" s="8"/>
      <c r="AC90" s="8"/>
      <c r="AD90" s="8"/>
      <c r="AE90" s="8"/>
      <c r="AL90" s="1">
        <v>0.24721174559062467</v>
      </c>
      <c r="AM90" s="1">
        <v>1.199841820888482</v>
      </c>
    </row>
    <row r="91" spans="1:39" x14ac:dyDescent="0.25">
      <c r="A91" s="8">
        <v>4.3673000000000002</v>
      </c>
      <c r="B91" s="8">
        <v>0.9758</v>
      </c>
      <c r="C91" s="8">
        <v>-0.81499999999999995</v>
      </c>
      <c r="D91" s="8">
        <v>0.26839499999999999</v>
      </c>
      <c r="E91" s="8">
        <v>4.7959999999999999E-3</v>
      </c>
      <c r="F91" s="8">
        <v>1.9139999999999999E-3</v>
      </c>
      <c r="G91" s="8">
        <v>-8.1195000000000003E-2</v>
      </c>
      <c r="H91" s="8">
        <v>-7.1374999999999994E-2</v>
      </c>
      <c r="I91" s="8">
        <v>0.75209999999999999</v>
      </c>
      <c r="J91" s="8">
        <v>0.27350000000000002</v>
      </c>
      <c r="K91" s="8">
        <v>0.51580000000000004</v>
      </c>
      <c r="L91" s="8">
        <v>712.46439999999996</v>
      </c>
      <c r="N91" s="1">
        <f t="shared" ref="N91:N107" si="16">A91/0.3048</f>
        <v>14.328412073490814</v>
      </c>
      <c r="O91" s="1">
        <f t="shared" ref="O91:O107" si="17">B91/0.3048</f>
        <v>3.2014435695538057</v>
      </c>
      <c r="P91" s="1">
        <f t="shared" si="14"/>
        <v>0.74325200090729404</v>
      </c>
      <c r="Q91" s="1">
        <f t="shared" ref="Q91:Q107" si="18">D91*O91</f>
        <v>0.85925144685039367</v>
      </c>
      <c r="R91" s="1">
        <f t="shared" si="15"/>
        <v>0.87003715959884786</v>
      </c>
      <c r="T91" s="8"/>
      <c r="U91" s="8"/>
      <c r="V91" s="8"/>
      <c r="W91" s="8"/>
      <c r="X91" s="8"/>
      <c r="Y91" s="8"/>
      <c r="Z91" s="8"/>
      <c r="AA91" s="8"/>
      <c r="AB91" s="8"/>
      <c r="AC91" s="8"/>
      <c r="AD91" s="8"/>
      <c r="AE91" s="8"/>
      <c r="AL91" s="1">
        <v>0.26698732375228695</v>
      </c>
      <c r="AM91" s="1">
        <v>1.2024629416016881</v>
      </c>
    </row>
    <row r="92" spans="1:39" x14ac:dyDescent="0.25">
      <c r="A92" s="8">
        <v>4.51</v>
      </c>
      <c r="B92" s="8">
        <v>0.95250000000000001</v>
      </c>
      <c r="C92" s="8">
        <v>-0.79700000000000004</v>
      </c>
      <c r="D92" s="8">
        <v>0.26255800000000001</v>
      </c>
      <c r="E92" s="8">
        <v>4.8840000000000003E-3</v>
      </c>
      <c r="F92" s="8">
        <v>1.8320000000000001E-3</v>
      </c>
      <c r="G92" s="8">
        <v>-8.1754999999999994E-2</v>
      </c>
      <c r="H92" s="8">
        <v>-7.1349999999999997E-2</v>
      </c>
      <c r="I92" s="8">
        <v>0.75290000000000001</v>
      </c>
      <c r="J92" s="8">
        <v>0.25990000000000002</v>
      </c>
      <c r="K92" s="8">
        <v>0.52159999999999995</v>
      </c>
      <c r="L92" s="8">
        <v>559.13070000000005</v>
      </c>
      <c r="N92" s="1">
        <f t="shared" si="16"/>
        <v>14.796587926509185</v>
      </c>
      <c r="O92" s="1">
        <f t="shared" si="17"/>
        <v>3.125</v>
      </c>
      <c r="P92" s="1">
        <f t="shared" si="14"/>
        <v>0.76753750007828536</v>
      </c>
      <c r="Q92" s="1">
        <f t="shared" si="18"/>
        <v>0.82049375000000002</v>
      </c>
      <c r="R92" s="1">
        <f t="shared" si="15"/>
        <v>0.83361390861844331</v>
      </c>
      <c r="T92" s="8"/>
      <c r="U92" s="8"/>
      <c r="V92" s="8"/>
      <c r="W92" s="8"/>
      <c r="X92" s="8"/>
      <c r="Y92" s="8"/>
      <c r="Z92" s="8"/>
      <c r="AA92" s="8"/>
      <c r="AB92" s="8"/>
      <c r="AC92" s="8"/>
      <c r="AD92" s="8"/>
      <c r="AE92" s="8"/>
      <c r="AL92" s="1">
        <v>0.28676290191394921</v>
      </c>
      <c r="AM92" s="1">
        <v>1.208434870847886</v>
      </c>
    </row>
    <row r="93" spans="1:39" x14ac:dyDescent="0.25">
      <c r="A93" s="8">
        <v>4.6525999999999996</v>
      </c>
      <c r="B93" s="8">
        <v>0.92920000000000003</v>
      </c>
      <c r="C93" s="8">
        <v>-0.78500000000000003</v>
      </c>
      <c r="D93" s="8">
        <v>0.25592500000000001</v>
      </c>
      <c r="E93" s="8">
        <v>4.986E-3</v>
      </c>
      <c r="F93" s="8">
        <v>1.761E-3</v>
      </c>
      <c r="G93" s="8">
        <v>-8.2248000000000002E-2</v>
      </c>
      <c r="H93" s="8">
        <v>-7.1289000000000005E-2</v>
      </c>
      <c r="I93" s="8">
        <v>0.75370000000000004</v>
      </c>
      <c r="J93" s="8">
        <v>0.24360000000000001</v>
      </c>
      <c r="K93" s="8">
        <v>0.52839999999999998</v>
      </c>
      <c r="L93" s="8">
        <v>427.13290000000001</v>
      </c>
      <c r="N93" s="1">
        <f t="shared" si="16"/>
        <v>15.264435695538056</v>
      </c>
      <c r="O93" s="1">
        <f t="shared" si="17"/>
        <v>3.0485564304461943</v>
      </c>
      <c r="P93" s="1">
        <f t="shared" si="14"/>
        <v>0.79180598067943031</v>
      </c>
      <c r="Q93" s="1">
        <f t="shared" si="18"/>
        <v>0.78020180446194232</v>
      </c>
      <c r="R93" s="1">
        <f t="shared" si="15"/>
        <v>0.79429860091190529</v>
      </c>
      <c r="T93" s="8"/>
      <c r="U93" s="8"/>
      <c r="V93" s="8"/>
      <c r="W93" s="8"/>
      <c r="X93" s="8"/>
      <c r="Y93" s="8"/>
      <c r="Z93" s="8"/>
      <c r="AA93" s="8"/>
      <c r="AB93" s="8"/>
      <c r="AC93" s="8"/>
      <c r="AD93" s="8"/>
      <c r="AE93" s="8"/>
      <c r="AL93" s="1">
        <v>0.30653848007561146</v>
      </c>
      <c r="AM93" s="1">
        <v>1.2201187118054091</v>
      </c>
    </row>
    <row r="94" spans="1:39" x14ac:dyDescent="0.25">
      <c r="A94" s="8">
        <v>4.7952000000000004</v>
      </c>
      <c r="B94" s="8">
        <v>0.90580000000000005</v>
      </c>
      <c r="C94" s="8">
        <v>-0.78200000000000003</v>
      </c>
      <c r="D94" s="8">
        <v>0.24834800000000001</v>
      </c>
      <c r="E94" s="8">
        <v>5.1060000000000003E-3</v>
      </c>
      <c r="F94" s="8">
        <v>1.7030000000000001E-3</v>
      </c>
      <c r="G94" s="8">
        <v>-8.2639000000000004E-2</v>
      </c>
      <c r="H94" s="8">
        <v>-7.1171999999999999E-2</v>
      </c>
      <c r="I94" s="8">
        <v>0.75449999999999995</v>
      </c>
      <c r="J94" s="8">
        <v>0.22209999999999999</v>
      </c>
      <c r="K94" s="8">
        <v>0.53639999999999999</v>
      </c>
      <c r="L94" s="8">
        <v>315.42270000000002</v>
      </c>
      <c r="N94" s="1">
        <f t="shared" si="16"/>
        <v>15.73228346456693</v>
      </c>
      <c r="O94" s="1">
        <f t="shared" si="17"/>
        <v>2.9717847769028873</v>
      </c>
      <c r="P94" s="1">
        <f t="shared" si="14"/>
        <v>0.81607446128057526</v>
      </c>
      <c r="Q94" s="1">
        <f t="shared" si="18"/>
        <v>0.73803680577427833</v>
      </c>
      <c r="R94" s="1">
        <f t="shared" si="15"/>
        <v>0.75160909341902982</v>
      </c>
      <c r="T94" s="8"/>
      <c r="U94" s="8"/>
      <c r="V94" s="8"/>
      <c r="W94" s="8"/>
      <c r="X94" s="8"/>
      <c r="Y94" s="8"/>
      <c r="Z94" s="8"/>
      <c r="AA94" s="8"/>
      <c r="AB94" s="8"/>
      <c r="AC94" s="8"/>
      <c r="AD94" s="8"/>
      <c r="AE94" s="8"/>
      <c r="AL94" s="1">
        <v>0.31901309177311443</v>
      </c>
      <c r="AM94" s="1">
        <v>1.23325638583985</v>
      </c>
    </row>
    <row r="95" spans="1:39" x14ac:dyDescent="0.25">
      <c r="A95" s="8">
        <v>4.9379</v>
      </c>
      <c r="B95" s="8">
        <v>0.88249999999999995</v>
      </c>
      <c r="C95" s="8">
        <v>-0.78900000000000003</v>
      </c>
      <c r="D95" s="8">
        <v>0.239617</v>
      </c>
      <c r="E95" s="8">
        <v>5.2459999999999998E-3</v>
      </c>
      <c r="F95" s="8">
        <v>1.66E-3</v>
      </c>
      <c r="G95" s="8">
        <v>-8.2871E-2</v>
      </c>
      <c r="H95" s="8">
        <v>-7.0961999999999997E-2</v>
      </c>
      <c r="I95" s="8">
        <v>0.75539999999999996</v>
      </c>
      <c r="J95" s="8">
        <v>0.19450000000000001</v>
      </c>
      <c r="K95" s="8">
        <v>0.54600000000000004</v>
      </c>
      <c r="L95" s="8">
        <v>222.90530000000001</v>
      </c>
      <c r="N95" s="1">
        <f t="shared" si="16"/>
        <v>16.200459317585302</v>
      </c>
      <c r="O95" s="1">
        <f t="shared" si="17"/>
        <v>2.8953412073490812</v>
      </c>
      <c r="P95" s="1">
        <f t="shared" si="14"/>
        <v>0.84035996045156669</v>
      </c>
      <c r="Q95" s="1">
        <f t="shared" si="18"/>
        <v>0.69377297408136473</v>
      </c>
      <c r="R95" s="1">
        <f t="shared" si="15"/>
        <v>0.70489833251696221</v>
      </c>
      <c r="T95" s="8"/>
      <c r="U95" s="8"/>
      <c r="V95" s="8"/>
      <c r="W95" s="8"/>
      <c r="X95" s="8"/>
      <c r="Y95" s="8"/>
      <c r="Z95" s="8"/>
      <c r="AA95" s="8"/>
      <c r="AB95" s="8"/>
      <c r="AC95" s="8"/>
      <c r="AD95" s="8"/>
      <c r="AE95" s="8"/>
      <c r="AL95" s="1">
        <v>0.3242037555763046</v>
      </c>
      <c r="AM95" s="1">
        <v>1.2479354224099704</v>
      </c>
    </row>
    <row r="96" spans="1:39" x14ac:dyDescent="0.25">
      <c r="A96" s="8">
        <v>5.0804999999999998</v>
      </c>
      <c r="B96" s="8">
        <v>0.85919999999999996</v>
      </c>
      <c r="C96" s="8">
        <v>-0.81100000000000005</v>
      </c>
      <c r="D96" s="8">
        <v>0.22941900000000001</v>
      </c>
      <c r="E96" s="8">
        <v>5.4060000000000002E-3</v>
      </c>
      <c r="F96" s="8">
        <v>1.635E-3</v>
      </c>
      <c r="G96" s="8">
        <v>-8.2852999999999996E-2</v>
      </c>
      <c r="H96" s="8">
        <v>-7.0598999999999995E-2</v>
      </c>
      <c r="I96" s="8">
        <v>0.75639999999999996</v>
      </c>
      <c r="J96" s="8">
        <v>0.16089999999999999</v>
      </c>
      <c r="K96" s="8">
        <v>0.55759999999999998</v>
      </c>
      <c r="L96" s="8">
        <v>148.42939999999999</v>
      </c>
      <c r="N96" s="1">
        <f t="shared" si="16"/>
        <v>16.66830708661417</v>
      </c>
      <c r="O96" s="1">
        <f t="shared" si="17"/>
        <v>2.8188976377952755</v>
      </c>
      <c r="P96" s="1">
        <f t="shared" si="14"/>
        <v>0.86462844105271142</v>
      </c>
      <c r="Q96" s="1">
        <f t="shared" si="18"/>
        <v>0.6467086771653543</v>
      </c>
      <c r="R96" s="1">
        <f t="shared" si="15"/>
        <v>0.65337731084148831</v>
      </c>
      <c r="T96" s="8"/>
      <c r="U96" s="8"/>
      <c r="V96" s="8"/>
      <c r="W96" s="8"/>
      <c r="X96" s="8"/>
      <c r="Y96" s="8"/>
      <c r="Z96" s="8"/>
      <c r="AA96" s="8"/>
      <c r="AB96" s="8"/>
      <c r="AC96" s="8"/>
      <c r="AD96" s="8"/>
      <c r="AE96" s="8"/>
      <c r="AL96" s="1">
        <v>0.32939441937949476</v>
      </c>
      <c r="AM96" s="1">
        <v>1.2644331233501693</v>
      </c>
    </row>
    <row r="97" spans="1:39" x14ac:dyDescent="0.25">
      <c r="A97" s="8">
        <v>5.2232000000000003</v>
      </c>
      <c r="B97" s="8">
        <v>0.83589999999999998</v>
      </c>
      <c r="C97" s="8">
        <v>-0.85199999999999998</v>
      </c>
      <c r="D97" s="8">
        <v>0.21728</v>
      </c>
      <c r="E97" s="8">
        <v>5.5950000000000001E-3</v>
      </c>
      <c r="F97" s="8">
        <v>1.6299999999999999E-3</v>
      </c>
      <c r="G97" s="8">
        <v>-8.2422999999999996E-2</v>
      </c>
      <c r="H97" s="8">
        <v>-6.9967000000000001E-2</v>
      </c>
      <c r="I97" s="8">
        <v>0.75739999999999996</v>
      </c>
      <c r="J97" s="8">
        <v>0.122</v>
      </c>
      <c r="K97" s="8">
        <v>0.57179999999999997</v>
      </c>
      <c r="L97" s="8">
        <v>90.770799999999994</v>
      </c>
      <c r="N97" s="1">
        <f t="shared" si="16"/>
        <v>17.136482939632547</v>
      </c>
      <c r="O97" s="1">
        <f t="shared" si="17"/>
        <v>2.7424540682414698</v>
      </c>
      <c r="P97" s="1">
        <f t="shared" si="14"/>
        <v>0.88891394022370307</v>
      </c>
      <c r="Q97" s="1">
        <f t="shared" si="18"/>
        <v>0.59588041994750651</v>
      </c>
      <c r="R97" s="1">
        <f t="shared" si="15"/>
        <v>0.59571707580577338</v>
      </c>
      <c r="T97" s="8"/>
      <c r="U97" s="8"/>
      <c r="V97" s="8"/>
      <c r="W97" s="8"/>
      <c r="X97" s="8"/>
      <c r="Y97" s="8"/>
      <c r="Z97" s="8"/>
      <c r="AA97" s="8"/>
      <c r="AB97" s="8"/>
      <c r="AC97" s="8"/>
      <c r="AD97" s="8"/>
      <c r="AE97" s="8"/>
      <c r="AL97" s="1">
        <v>0.33458508318268498</v>
      </c>
      <c r="AM97" s="1">
        <v>1.2885627456563975</v>
      </c>
    </row>
    <row r="98" spans="1:39" x14ac:dyDescent="0.25">
      <c r="A98" s="8">
        <v>5.3658000000000001</v>
      </c>
      <c r="B98" s="8">
        <v>0.8125</v>
      </c>
      <c r="C98" s="8">
        <v>-0.91500000000000004</v>
      </c>
      <c r="D98" s="8">
        <v>0.202456</v>
      </c>
      <c r="E98" s="8">
        <v>5.7359999999999998E-3</v>
      </c>
      <c r="F98" s="8">
        <v>1.6360000000000001E-3</v>
      </c>
      <c r="G98" s="8">
        <v>-8.1280000000000005E-2</v>
      </c>
      <c r="H98" s="8">
        <v>-6.8845000000000003E-2</v>
      </c>
      <c r="I98" s="8">
        <v>0.75849999999999995</v>
      </c>
      <c r="J98" s="8">
        <v>0.10249999999999999</v>
      </c>
      <c r="K98" s="8">
        <v>0.58989999999999998</v>
      </c>
      <c r="L98" s="8">
        <v>48.607399999999998</v>
      </c>
      <c r="N98" s="1">
        <f t="shared" si="16"/>
        <v>17.604330708661418</v>
      </c>
      <c r="O98" s="1">
        <f t="shared" si="17"/>
        <v>2.6656824146981628</v>
      </c>
      <c r="P98" s="1">
        <f t="shared" si="14"/>
        <v>0.91318242082484802</v>
      </c>
      <c r="Q98" s="1">
        <f t="shared" si="18"/>
        <v>0.53968339895013129</v>
      </c>
      <c r="R98" s="1">
        <f t="shared" si="15"/>
        <v>0.53001261756823925</v>
      </c>
      <c r="T98" s="8"/>
      <c r="U98" s="8"/>
      <c r="V98" s="8"/>
      <c r="W98" s="8"/>
      <c r="X98" s="8"/>
      <c r="Y98" s="8"/>
      <c r="Z98" s="8"/>
      <c r="AA98" s="8"/>
      <c r="AB98" s="8"/>
      <c r="AC98" s="8"/>
      <c r="AD98" s="8"/>
      <c r="AE98" s="8"/>
      <c r="AL98" s="1">
        <v>0.3371719057993568</v>
      </c>
      <c r="AM98" s="1">
        <v>1.3455502213041399</v>
      </c>
    </row>
    <row r="99" spans="1:39" x14ac:dyDescent="0.25">
      <c r="A99" s="8">
        <v>5.5084999999999997</v>
      </c>
      <c r="B99" s="8">
        <v>0.78920000000000001</v>
      </c>
      <c r="C99" s="8">
        <v>-0.97599999999999998</v>
      </c>
      <c r="D99" s="8">
        <v>0.18401600000000001</v>
      </c>
      <c r="E99" s="8">
        <v>5.9119999999999997E-3</v>
      </c>
      <c r="F99" s="8">
        <v>1.603E-3</v>
      </c>
      <c r="G99" s="8">
        <v>-7.8926999999999997E-2</v>
      </c>
      <c r="H99" s="8">
        <v>-6.6831000000000002E-2</v>
      </c>
      <c r="I99" s="8">
        <v>0.75970000000000004</v>
      </c>
      <c r="J99" s="8">
        <v>7.6100000000000001E-2</v>
      </c>
      <c r="K99" s="8">
        <v>0.61309999999999998</v>
      </c>
      <c r="L99" s="8">
        <v>20.479399999999998</v>
      </c>
      <c r="N99" s="1">
        <f t="shared" si="16"/>
        <v>18.072506561679788</v>
      </c>
      <c r="O99" s="1">
        <f t="shared" si="17"/>
        <v>2.5892388451443566</v>
      </c>
      <c r="P99" s="1">
        <f t="shared" si="14"/>
        <v>0.93746791999583923</v>
      </c>
      <c r="Q99" s="1">
        <f t="shared" si="18"/>
        <v>0.47646137532808397</v>
      </c>
      <c r="R99" s="1">
        <f t="shared" si="15"/>
        <v>0.45266079250888802</v>
      </c>
      <c r="T99" s="8"/>
      <c r="U99" s="8"/>
      <c r="V99" s="8"/>
      <c r="W99" s="8"/>
      <c r="X99" s="8"/>
      <c r="Y99" s="8"/>
      <c r="Z99" s="8"/>
      <c r="AA99" s="8"/>
      <c r="AB99" s="8"/>
      <c r="AC99" s="8"/>
      <c r="AD99" s="8"/>
      <c r="AE99" s="8"/>
      <c r="AL99" s="1">
        <v>0.36773725724371603</v>
      </c>
      <c r="AM99" s="1">
        <v>1.3157579438976374</v>
      </c>
    </row>
    <row r="100" spans="1:39" x14ac:dyDescent="0.25">
      <c r="A100" s="8">
        <v>5.6036000000000001</v>
      </c>
      <c r="B100" s="8">
        <v>0.76190000000000002</v>
      </c>
      <c r="C100" s="8">
        <v>-1.0049999999999999</v>
      </c>
      <c r="D100" s="8">
        <v>0.170677</v>
      </c>
      <c r="E100" s="8">
        <v>6.0629999999999998E-3</v>
      </c>
      <c r="F100" s="8">
        <v>1.583E-3</v>
      </c>
      <c r="G100" s="8">
        <v>-7.7615000000000003E-2</v>
      </c>
      <c r="H100" s="8">
        <v>-6.3101000000000004E-2</v>
      </c>
      <c r="I100" s="8">
        <v>0.76270000000000004</v>
      </c>
      <c r="J100" s="8">
        <v>4.5199999999999997E-2</v>
      </c>
      <c r="K100" s="8">
        <v>0.62229999999999996</v>
      </c>
      <c r="L100" s="8">
        <v>10.5328</v>
      </c>
      <c r="N100" s="1">
        <f t="shared" si="16"/>
        <v>18.384514435695536</v>
      </c>
      <c r="O100" s="1">
        <f t="shared" si="17"/>
        <v>2.4996719160104988</v>
      </c>
      <c r="P100" s="1">
        <f t="shared" si="14"/>
        <v>0.95365257991988472</v>
      </c>
      <c r="Q100" s="1">
        <f t="shared" si="18"/>
        <v>0.42663650360892391</v>
      </c>
      <c r="R100" s="1">
        <f t="shared" si="15"/>
        <v>0.39132773712227381</v>
      </c>
      <c r="T100" s="8"/>
      <c r="U100" s="8"/>
      <c r="V100" s="8"/>
      <c r="W100" s="8"/>
      <c r="X100" s="8"/>
      <c r="Y100" s="8"/>
      <c r="Z100" s="8"/>
      <c r="AA100" s="8"/>
      <c r="AB100" s="8"/>
      <c r="AC100" s="8"/>
      <c r="AD100" s="8"/>
      <c r="AE100" s="8"/>
      <c r="AL100" s="1">
        <v>0.40272743684817175</v>
      </c>
      <c r="AM100" s="1">
        <v>1.2807459783464565</v>
      </c>
    </row>
    <row r="101" spans="1:39" x14ac:dyDescent="0.25">
      <c r="A101" s="8">
        <v>5.6429999999999998</v>
      </c>
      <c r="B101" s="8">
        <v>0.73080000000000001</v>
      </c>
      <c r="C101" s="8">
        <v>-1.0669999999999999</v>
      </c>
      <c r="D101" s="8">
        <v>0.16402</v>
      </c>
      <c r="E101" s="8">
        <v>6.1520000000000004E-3</v>
      </c>
      <c r="F101" s="8">
        <v>1.6379999999999999E-3</v>
      </c>
      <c r="G101" s="8">
        <v>-8.0398999999999998E-2</v>
      </c>
      <c r="H101" s="8">
        <v>-6.0343000000000001E-2</v>
      </c>
      <c r="I101" s="8">
        <v>0.76729999999999998</v>
      </c>
      <c r="J101" s="8">
        <v>1.8800000000000001E-2</v>
      </c>
      <c r="K101" s="8">
        <v>0.62039999999999995</v>
      </c>
      <c r="L101" s="8">
        <v>6.9654999999999996</v>
      </c>
      <c r="N101" s="1">
        <f t="shared" si="16"/>
        <v>18.513779527559052</v>
      </c>
      <c r="O101" s="1">
        <f t="shared" si="17"/>
        <v>2.3976377952755903</v>
      </c>
      <c r="P101" s="1">
        <f t="shared" si="14"/>
        <v>0.9603578964394156</v>
      </c>
      <c r="Q101" s="1">
        <f t="shared" si="18"/>
        <v>0.39326055118110231</v>
      </c>
      <c r="R101" s="1">
        <f t="shared" si="15"/>
        <v>0.36253522551500217</v>
      </c>
      <c r="T101" s="8"/>
      <c r="U101" s="8"/>
      <c r="V101" s="8"/>
      <c r="W101" s="8"/>
      <c r="X101" s="8"/>
      <c r="Y101" s="8"/>
      <c r="Z101" s="8"/>
      <c r="AA101" s="8"/>
      <c r="AB101" s="8"/>
      <c r="AC101" s="8"/>
      <c r="AD101" s="8"/>
      <c r="AE101" s="8"/>
      <c r="AL101" s="1">
        <v>0.43773463502247406</v>
      </c>
      <c r="AM101" s="1">
        <v>1.2444816811023622</v>
      </c>
    </row>
    <row r="102" spans="1:39" x14ac:dyDescent="0.25">
      <c r="A102" s="8">
        <v>5.6870000000000003</v>
      </c>
      <c r="B102" s="8">
        <v>0.69289999999999996</v>
      </c>
      <c r="C102" s="8">
        <v>-1.1739999999999999</v>
      </c>
      <c r="D102" s="8">
        <v>0.15545900000000001</v>
      </c>
      <c r="E102" s="8">
        <v>6.2519999999999997E-3</v>
      </c>
      <c r="F102" s="8">
        <v>1.7899999999999999E-3</v>
      </c>
      <c r="G102" s="8">
        <v>-8.4051000000000001E-2</v>
      </c>
      <c r="H102" s="8">
        <v>-5.6051999999999998E-2</v>
      </c>
      <c r="I102" s="8">
        <v>0.77029999999999998</v>
      </c>
      <c r="J102" s="8">
        <v>8.0000000000000002E-3</v>
      </c>
      <c r="K102" s="8">
        <v>0.61109999999999998</v>
      </c>
      <c r="L102" s="8">
        <v>4.1821999999999999</v>
      </c>
      <c r="N102" s="1">
        <f t="shared" si="16"/>
        <v>18.658136482939632</v>
      </c>
      <c r="O102" s="1">
        <f t="shared" si="17"/>
        <v>2.2732939632545928</v>
      </c>
      <c r="P102" s="1">
        <f t="shared" si="14"/>
        <v>0.96784606717188681</v>
      </c>
      <c r="Q102" s="1">
        <f t="shared" si="18"/>
        <v>0.35340400623359575</v>
      </c>
      <c r="R102" s="1">
        <f t="shared" si="15"/>
        <v>0.32712730329387407</v>
      </c>
      <c r="T102" s="8"/>
      <c r="U102" s="8"/>
      <c r="V102" s="8"/>
      <c r="W102" s="8"/>
      <c r="X102" s="8"/>
      <c r="Y102" s="8"/>
      <c r="Z102" s="8"/>
      <c r="AA102" s="8"/>
      <c r="AB102" s="8"/>
      <c r="AC102" s="8"/>
      <c r="AD102" s="8"/>
      <c r="AE102" s="8"/>
      <c r="AL102" s="1">
        <v>0.47272481462692978</v>
      </c>
      <c r="AM102" s="1">
        <v>1.2073960170603673</v>
      </c>
    </row>
    <row r="103" spans="1:39" x14ac:dyDescent="0.25">
      <c r="A103" s="8">
        <v>5.7267000000000001</v>
      </c>
      <c r="B103" s="8">
        <v>0.64839999999999998</v>
      </c>
      <c r="C103" s="8">
        <v>-1.3919999999999999</v>
      </c>
      <c r="D103" s="8">
        <v>0.14963599999999999</v>
      </c>
      <c r="E103" s="8">
        <v>6.5389999999999997E-3</v>
      </c>
      <c r="F103" s="8">
        <v>2.0509999999999999E-3</v>
      </c>
      <c r="G103" s="8">
        <v>-9.1108999999999996E-2</v>
      </c>
      <c r="H103" s="8">
        <v>-5.1878000000000001E-2</v>
      </c>
      <c r="I103" s="8">
        <v>0.77239999999999998</v>
      </c>
      <c r="J103" s="8">
        <v>9.9000000000000008E-3</v>
      </c>
      <c r="K103" s="8">
        <v>0.59699999999999998</v>
      </c>
      <c r="L103" s="8">
        <v>2.2231000000000001</v>
      </c>
      <c r="N103" s="1">
        <f t="shared" si="16"/>
        <v>18.788385826771652</v>
      </c>
      <c r="O103" s="1">
        <f t="shared" si="17"/>
        <v>2.1272965879265091</v>
      </c>
      <c r="P103" s="1">
        <f t="shared" si="14"/>
        <v>0.97460243940095725</v>
      </c>
      <c r="Q103" s="1">
        <f t="shared" si="18"/>
        <v>0.3183201522309711</v>
      </c>
      <c r="R103" s="1">
        <f t="shared" si="15"/>
        <v>0.29123262122039917</v>
      </c>
      <c r="T103" s="8"/>
      <c r="U103" s="8"/>
      <c r="V103" s="8"/>
      <c r="W103" s="8"/>
      <c r="X103" s="8"/>
      <c r="Y103" s="8"/>
      <c r="Z103" s="8"/>
      <c r="AA103" s="8"/>
      <c r="AB103" s="8"/>
      <c r="AC103" s="8"/>
      <c r="AD103" s="8"/>
      <c r="AE103" s="8"/>
      <c r="AL103" s="1">
        <v>0.50773201280123215</v>
      </c>
      <c r="AM103" s="1">
        <v>1.1695975459317585</v>
      </c>
    </row>
    <row r="104" spans="1:39" x14ac:dyDescent="0.25">
      <c r="A104" s="8">
        <v>5.7682000000000002</v>
      </c>
      <c r="B104" s="8">
        <v>0.56779999999999997</v>
      </c>
      <c r="C104" s="8">
        <v>-1.5</v>
      </c>
      <c r="D104" s="8">
        <v>0.14754700000000001</v>
      </c>
      <c r="E104" s="8">
        <v>6.6319999999999999E-3</v>
      </c>
      <c r="F104" s="8">
        <v>2.2929999999999999E-3</v>
      </c>
      <c r="G104" s="8">
        <v>-0.10839600000000001</v>
      </c>
      <c r="H104" s="8">
        <v>-4.6403E-2</v>
      </c>
      <c r="I104" s="8">
        <v>0.77459999999999996</v>
      </c>
      <c r="J104" s="8">
        <v>1.9199999999999998E-2</v>
      </c>
      <c r="K104" s="8">
        <v>0.56699999999999995</v>
      </c>
      <c r="L104" s="8">
        <v>0.98780000000000001</v>
      </c>
      <c r="N104" s="1">
        <f t="shared" si="16"/>
        <v>18.924540682414698</v>
      </c>
      <c r="O104" s="1">
        <f t="shared" si="17"/>
        <v>1.8628608923884513</v>
      </c>
      <c r="P104" s="1">
        <f t="shared" si="14"/>
        <v>0.98166514588726517</v>
      </c>
      <c r="Q104" s="1">
        <f t="shared" si="18"/>
        <v>0.27485953608923885</v>
      </c>
      <c r="R104" s="1">
        <f t="shared" si="15"/>
        <v>0.24788945158939812</v>
      </c>
      <c r="T104" s="8"/>
      <c r="U104" s="8"/>
      <c r="V104" s="8"/>
      <c r="W104" s="8"/>
      <c r="X104" s="8"/>
      <c r="Y104" s="8"/>
      <c r="Z104" s="8"/>
      <c r="AA104" s="8"/>
      <c r="AB104" s="8"/>
      <c r="AC104" s="8"/>
      <c r="AD104" s="8"/>
      <c r="AE104" s="8"/>
      <c r="AL104" s="1">
        <v>0.54272219240568786</v>
      </c>
      <c r="AM104" s="1">
        <v>1.1319043730314959</v>
      </c>
    </row>
    <row r="105" spans="1:39" x14ac:dyDescent="0.25">
      <c r="A105" s="8">
        <v>5.8041</v>
      </c>
      <c r="B105" s="8">
        <v>0.45100000000000001</v>
      </c>
      <c r="C105" s="8">
        <v>-1.4610000000000001</v>
      </c>
      <c r="D105" s="8">
        <v>0.15426100000000001</v>
      </c>
      <c r="E105" s="8">
        <v>7.0150000000000004E-3</v>
      </c>
      <c r="F105" s="8">
        <v>2.5820000000000001E-3</v>
      </c>
      <c r="G105" s="8">
        <v>-0.155697</v>
      </c>
      <c r="H105" s="8">
        <v>-4.1853000000000001E-2</v>
      </c>
      <c r="I105" s="8">
        <v>0.7792</v>
      </c>
      <c r="J105" s="8">
        <v>8.4199999999999997E-2</v>
      </c>
      <c r="K105" s="8">
        <v>0.52310000000000001</v>
      </c>
      <c r="L105" s="8">
        <v>0.30430000000000001</v>
      </c>
      <c r="N105" s="1">
        <f t="shared" si="16"/>
        <v>19.042322834645667</v>
      </c>
      <c r="O105" s="1">
        <f t="shared" si="17"/>
        <v>1.4796587926509186</v>
      </c>
      <c r="P105" s="1">
        <f t="shared" si="14"/>
        <v>0.9877748124621677</v>
      </c>
      <c r="Q105" s="1">
        <f t="shared" si="18"/>
        <v>0.22825364501312337</v>
      </c>
      <c r="R105" s="1">
        <f t="shared" si="15"/>
        <v>0.20272884145825315</v>
      </c>
      <c r="T105" s="8"/>
      <c r="U105" s="8"/>
      <c r="V105" s="8"/>
      <c r="W105" s="8"/>
      <c r="X105" s="8"/>
      <c r="Y105" s="8"/>
      <c r="Z105" s="8"/>
      <c r="AA105" s="8"/>
      <c r="AB105" s="8"/>
      <c r="AC105" s="8"/>
      <c r="AD105" s="8"/>
      <c r="AE105" s="8"/>
      <c r="AL105" s="1">
        <v>0.56285516053412721</v>
      </c>
      <c r="AM105" s="1">
        <v>0.9393724619422571</v>
      </c>
    </row>
    <row r="106" spans="1:39" x14ac:dyDescent="0.25">
      <c r="A106" s="8">
        <v>5.8380000000000001</v>
      </c>
      <c r="B106" s="8">
        <v>0.33329999999999999</v>
      </c>
      <c r="C106" s="8">
        <v>-1.135</v>
      </c>
      <c r="D106" s="8">
        <v>0.13636599999999999</v>
      </c>
      <c r="E106" s="8">
        <v>8.2129999999999998E-3</v>
      </c>
      <c r="F106" s="8">
        <v>3.1229999999999999E-3</v>
      </c>
      <c r="G106" s="8">
        <v>-0.21338499999999999</v>
      </c>
      <c r="H106" s="8">
        <v>-3.1827000000000001E-2</v>
      </c>
      <c r="I106" s="8">
        <v>0.78659999999999997</v>
      </c>
      <c r="J106" s="8">
        <v>1.01E-2</v>
      </c>
      <c r="K106" s="8">
        <v>0.47649999999999998</v>
      </c>
      <c r="L106" s="8">
        <v>6.3500000000000001E-2</v>
      </c>
      <c r="N106" s="1">
        <f t="shared" si="16"/>
        <v>19.153543307086615</v>
      </c>
      <c r="O106" s="1">
        <f t="shared" si="17"/>
        <v>1.0935039370078738</v>
      </c>
      <c r="P106" s="1">
        <f t="shared" si="14"/>
        <v>0.9935441076401399</v>
      </c>
      <c r="Q106" s="1">
        <f t="shared" si="18"/>
        <v>0.14911675787401571</v>
      </c>
      <c r="R106" s="1">
        <f t="shared" si="15"/>
        <v>0.14753506307747163</v>
      </c>
      <c r="T106" s="8"/>
      <c r="U106" s="8"/>
      <c r="V106" s="8"/>
      <c r="W106" s="8"/>
      <c r="X106" s="8"/>
      <c r="Y106" s="8"/>
      <c r="Z106" s="8"/>
      <c r="AA106" s="8"/>
      <c r="AB106" s="8"/>
      <c r="AC106" s="8"/>
      <c r="AD106" s="8"/>
      <c r="AE106" s="8"/>
      <c r="AL106" s="1">
        <v>0.57357685953743798</v>
      </c>
      <c r="AM106" s="1">
        <v>1.0956101486220473</v>
      </c>
    </row>
    <row r="107" spans="1:39" x14ac:dyDescent="0.25">
      <c r="A107" s="8">
        <v>5.8619000000000003</v>
      </c>
      <c r="B107" s="8">
        <v>0.21479999999999999</v>
      </c>
      <c r="C107" s="8">
        <v>-1.4890000000000001</v>
      </c>
      <c r="D107" s="8">
        <v>0.14011399999999999</v>
      </c>
      <c r="E107" s="8">
        <v>1.0024E-2</v>
      </c>
      <c r="F107" s="8">
        <v>3.4949999999999998E-3</v>
      </c>
      <c r="G107" s="8">
        <v>-0.37152499999999999</v>
      </c>
      <c r="H107" s="8">
        <v>-2.2075999999999998E-2</v>
      </c>
      <c r="I107" s="8">
        <v>0.79810000000000003</v>
      </c>
      <c r="J107" s="8">
        <v>1.2200000000000001E-2</v>
      </c>
      <c r="K107" s="8">
        <v>0.40400000000000003</v>
      </c>
      <c r="L107" s="8">
        <v>0</v>
      </c>
      <c r="N107" s="1">
        <f t="shared" si="16"/>
        <v>19.231955380577428</v>
      </c>
      <c r="O107" s="1">
        <f t="shared" si="17"/>
        <v>0.70472440944881887</v>
      </c>
      <c r="P107" s="1">
        <f t="shared" si="14"/>
        <v>0.99761154583345935</v>
      </c>
      <c r="Q107" s="1">
        <f t="shared" si="18"/>
        <v>9.8741755905511805E-2</v>
      </c>
      <c r="R107" s="1">
        <f t="shared" si="15"/>
        <v>8.9829329382425771E-2</v>
      </c>
      <c r="T107" s="8"/>
      <c r="U107" s="8"/>
      <c r="V107" s="8"/>
      <c r="W107" s="8"/>
      <c r="X107" s="8"/>
      <c r="Y107" s="8"/>
      <c r="Z107" s="8"/>
      <c r="AA107" s="8"/>
      <c r="AB107" s="8"/>
      <c r="AC107" s="8"/>
      <c r="AD107" s="8"/>
      <c r="AE107" s="8"/>
      <c r="AL107" s="1">
        <v>0.59767515444011765</v>
      </c>
      <c r="AM107" s="1">
        <v>1.0652595314960627</v>
      </c>
    </row>
    <row r="108" spans="1:39" x14ac:dyDescent="0.25">
      <c r="A108" s="8"/>
      <c r="B108" s="8"/>
      <c r="C108" s="8"/>
      <c r="D108" s="8"/>
      <c r="E108" s="8"/>
      <c r="F108" s="8"/>
      <c r="G108" s="8"/>
      <c r="H108" s="8"/>
      <c r="I108" s="8"/>
      <c r="J108" s="8"/>
      <c r="K108" s="8"/>
      <c r="L108" s="8"/>
      <c r="N108" s="1">
        <f>$O$18</f>
        <v>19.277999999999999</v>
      </c>
      <c r="O108" s="1">
        <f>$O$19</f>
        <v>0.51</v>
      </c>
      <c r="P108" s="1">
        <f t="shared" si="14"/>
        <v>1</v>
      </c>
      <c r="Q108" s="1">
        <v>0</v>
      </c>
      <c r="R108" s="1">
        <f t="shared" si="15"/>
        <v>0</v>
      </c>
      <c r="T108" s="8"/>
      <c r="U108" s="8"/>
      <c r="V108" s="8"/>
      <c r="W108" s="8"/>
      <c r="X108" s="8"/>
      <c r="Y108" s="8"/>
      <c r="Z108" s="8"/>
      <c r="AA108" s="8"/>
      <c r="AB108" s="8"/>
      <c r="AC108" s="8"/>
      <c r="AD108" s="8"/>
      <c r="AE108" s="8"/>
      <c r="AL108" s="1">
        <v>0.62190959790156952</v>
      </c>
      <c r="AM108" s="1">
        <v>1.033968093832021</v>
      </c>
    </row>
    <row r="109" spans="1:39" x14ac:dyDescent="0.25">
      <c r="A109" s="8"/>
      <c r="B109" s="8"/>
      <c r="C109" s="8"/>
      <c r="D109" s="8"/>
      <c r="E109" s="8"/>
      <c r="F109" s="8"/>
      <c r="G109" s="8"/>
      <c r="H109" s="8"/>
      <c r="I109" s="8"/>
      <c r="J109" s="8"/>
      <c r="K109" s="8"/>
      <c r="L109" s="8"/>
      <c r="T109" s="8"/>
      <c r="U109" s="8"/>
      <c r="V109" s="8"/>
      <c r="W109" s="8"/>
      <c r="X109" s="8"/>
      <c r="Y109" s="8"/>
      <c r="Z109" s="8"/>
      <c r="AA109" s="8"/>
      <c r="AB109" s="8"/>
      <c r="AC109" s="8"/>
      <c r="AD109" s="8"/>
      <c r="AE109" s="8"/>
      <c r="AL109" s="1">
        <v>0.64616105993286788</v>
      </c>
      <c r="AM109" s="1">
        <v>1.0013973484251966</v>
      </c>
    </row>
    <row r="110" spans="1:39" x14ac:dyDescent="0.25">
      <c r="A110" s="8"/>
      <c r="B110" s="8"/>
      <c r="C110" s="8"/>
      <c r="D110" s="8"/>
      <c r="E110" s="8"/>
      <c r="F110" s="8"/>
      <c r="G110" s="8"/>
      <c r="H110" s="8"/>
      <c r="I110" s="8"/>
      <c r="J110" s="8"/>
      <c r="K110" s="8"/>
      <c r="L110" s="8"/>
      <c r="T110" s="8"/>
      <c r="U110" s="8"/>
      <c r="V110" s="8"/>
      <c r="W110" s="8"/>
      <c r="X110" s="8"/>
      <c r="Y110" s="8"/>
      <c r="Z110" s="8"/>
      <c r="AA110" s="8"/>
      <c r="AB110" s="8"/>
      <c r="AC110" s="8"/>
      <c r="AD110" s="8"/>
      <c r="AE110" s="8"/>
      <c r="AL110" s="1">
        <v>0.67042954053401282</v>
      </c>
      <c r="AM110" s="1">
        <v>0.96771840354330707</v>
      </c>
    </row>
    <row r="111" spans="1:39" x14ac:dyDescent="0.25">
      <c r="A111" s="8"/>
      <c r="B111" s="8"/>
      <c r="C111" s="8"/>
      <c r="D111" s="8"/>
      <c r="E111" s="8"/>
      <c r="F111" s="8"/>
      <c r="G111" s="8"/>
      <c r="H111" s="8"/>
      <c r="I111" s="8"/>
      <c r="J111" s="8"/>
      <c r="K111" s="8"/>
      <c r="L111" s="8"/>
      <c r="T111" s="8"/>
      <c r="U111" s="8"/>
      <c r="V111" s="8"/>
      <c r="W111" s="8"/>
      <c r="X111" s="8"/>
      <c r="Y111" s="8"/>
      <c r="Z111" s="8"/>
      <c r="AA111" s="8"/>
      <c r="AB111" s="8"/>
      <c r="AC111" s="8"/>
      <c r="AD111" s="8"/>
      <c r="AE111" s="8"/>
      <c r="AL111" s="1">
        <v>0.69471503970500414</v>
      </c>
      <c r="AM111" s="1">
        <v>0.93283332513123352</v>
      </c>
    </row>
    <row r="112" spans="1:39" x14ac:dyDescent="0.25">
      <c r="A112" s="8"/>
      <c r="B112" s="8"/>
      <c r="C112" s="8"/>
      <c r="D112" s="8"/>
      <c r="E112" s="8"/>
      <c r="F112" s="8"/>
      <c r="G112" s="8"/>
      <c r="H112" s="8"/>
      <c r="I112" s="8"/>
      <c r="J112" s="8"/>
      <c r="K112" s="8"/>
      <c r="L112" s="8"/>
      <c r="T112" s="8"/>
      <c r="U112" s="8"/>
      <c r="V112" s="8"/>
      <c r="W112" s="8"/>
      <c r="X112" s="8"/>
      <c r="Y112" s="8"/>
      <c r="Z112" s="8"/>
      <c r="AA112" s="8"/>
      <c r="AB112" s="8"/>
      <c r="AC112" s="8"/>
      <c r="AD112" s="8"/>
      <c r="AE112" s="8"/>
      <c r="AL112" s="1">
        <v>0.71898352030614909</v>
      </c>
      <c r="AM112" s="1">
        <v>0.89663324803149602</v>
      </c>
    </row>
    <row r="113" spans="1:39" x14ac:dyDescent="0.25">
      <c r="A113" s="8"/>
      <c r="B113" s="8"/>
      <c r="C113" s="8"/>
      <c r="D113" s="8"/>
      <c r="E113" s="8"/>
      <c r="F113" s="8"/>
      <c r="G113" s="8"/>
      <c r="H113" s="8"/>
      <c r="I113" s="8"/>
      <c r="J113" s="8"/>
      <c r="K113" s="8"/>
      <c r="L113" s="8"/>
      <c r="T113" s="8"/>
      <c r="U113" s="8"/>
      <c r="V113" s="8"/>
      <c r="W113" s="8"/>
      <c r="X113" s="8"/>
      <c r="Y113" s="8"/>
      <c r="Z113" s="8"/>
      <c r="AA113" s="8"/>
      <c r="AB113" s="8"/>
      <c r="AC113" s="8"/>
      <c r="AD113" s="8"/>
      <c r="AE113" s="8"/>
      <c r="AL113" s="1">
        <v>0.74325200090729404</v>
      </c>
      <c r="AM113" s="1">
        <v>0.85925144685039367</v>
      </c>
    </row>
    <row r="114" spans="1:39" x14ac:dyDescent="0.25">
      <c r="A114" s="8"/>
      <c r="B114" s="8"/>
      <c r="C114" s="8"/>
      <c r="D114" s="8"/>
      <c r="E114" s="8"/>
      <c r="F114" s="8"/>
      <c r="G114" s="8"/>
      <c r="H114" s="8"/>
      <c r="I114" s="8"/>
      <c r="J114" s="8"/>
      <c r="K114" s="8"/>
      <c r="L114" s="8"/>
      <c r="T114" s="8"/>
      <c r="U114" s="8"/>
      <c r="V114" s="8"/>
      <c r="W114" s="8"/>
      <c r="X114" s="8"/>
      <c r="Y114" s="8"/>
      <c r="Z114" s="8"/>
      <c r="AA114" s="8"/>
      <c r="AB114" s="8"/>
      <c r="AC114" s="8"/>
      <c r="AD114" s="8"/>
      <c r="AE114" s="8"/>
      <c r="AL114" s="1">
        <v>0.76753750007828536</v>
      </c>
      <c r="AM114" s="1">
        <v>0.82049375000000002</v>
      </c>
    </row>
    <row r="115" spans="1:39" x14ac:dyDescent="0.25">
      <c r="A115" s="8"/>
      <c r="B115" s="8"/>
      <c r="C115" s="8"/>
      <c r="D115" s="8"/>
      <c r="E115" s="8"/>
      <c r="F115" s="8"/>
      <c r="G115" s="8"/>
      <c r="H115" s="8"/>
      <c r="I115" s="8"/>
      <c r="J115" s="8"/>
      <c r="K115" s="8"/>
      <c r="L115" s="8"/>
      <c r="T115" s="8"/>
      <c r="U115" s="8"/>
      <c r="V115" s="8"/>
      <c r="W115" s="8"/>
      <c r="X115" s="8"/>
      <c r="Y115" s="8"/>
      <c r="Z115" s="8"/>
      <c r="AA115" s="8"/>
      <c r="AB115" s="8"/>
      <c r="AC115" s="8"/>
      <c r="AD115" s="8"/>
      <c r="AE115" s="8"/>
      <c r="AL115" s="1">
        <v>0.79180598067943031</v>
      </c>
      <c r="AM115" s="1">
        <v>0.78020180446194232</v>
      </c>
    </row>
    <row r="116" spans="1:39" x14ac:dyDescent="0.25">
      <c r="A116" s="8"/>
      <c r="B116" s="8"/>
      <c r="C116" s="8"/>
      <c r="D116" s="8"/>
      <c r="E116" s="8"/>
      <c r="F116" s="8"/>
      <c r="G116" s="8"/>
      <c r="H116" s="8"/>
      <c r="I116" s="8"/>
      <c r="J116" s="8"/>
      <c r="K116" s="8"/>
      <c r="L116" s="8"/>
      <c r="T116" s="8"/>
      <c r="U116" s="8"/>
      <c r="V116" s="8"/>
      <c r="W116" s="8"/>
      <c r="X116" s="8"/>
      <c r="Y116" s="8"/>
      <c r="Z116" s="8"/>
      <c r="AA116" s="8"/>
      <c r="AB116" s="8"/>
      <c r="AC116" s="8"/>
      <c r="AD116" s="8"/>
      <c r="AE116" s="8"/>
      <c r="AL116" s="1">
        <v>0.81607446128057526</v>
      </c>
      <c r="AM116" s="1">
        <v>0.73803680577427833</v>
      </c>
    </row>
    <row r="117" spans="1:39" x14ac:dyDescent="0.25">
      <c r="A117" s="8"/>
      <c r="B117" s="8"/>
      <c r="C117" s="8"/>
      <c r="D117" s="8"/>
      <c r="E117" s="8"/>
      <c r="F117" s="8"/>
      <c r="G117" s="8"/>
      <c r="H117" s="8"/>
      <c r="I117" s="8"/>
      <c r="J117" s="8"/>
      <c r="K117" s="8"/>
      <c r="L117" s="8"/>
      <c r="T117" s="8"/>
      <c r="U117" s="8"/>
      <c r="V117" s="8"/>
      <c r="W117" s="8"/>
      <c r="X117" s="8"/>
      <c r="Y117" s="8"/>
      <c r="Z117" s="8"/>
      <c r="AA117" s="8"/>
      <c r="AB117" s="8"/>
      <c r="AC117" s="8"/>
      <c r="AD117" s="8"/>
      <c r="AE117" s="8"/>
      <c r="AL117" s="1">
        <v>0.84035996045156669</v>
      </c>
      <c r="AM117" s="1">
        <v>0.69377297408136473</v>
      </c>
    </row>
    <row r="118" spans="1:39" x14ac:dyDescent="0.25">
      <c r="A118" s="8"/>
      <c r="B118" s="8"/>
      <c r="C118" s="8"/>
      <c r="D118" s="8"/>
      <c r="E118" s="8"/>
      <c r="F118" s="8"/>
      <c r="G118" s="8"/>
      <c r="H118" s="8"/>
      <c r="I118" s="8"/>
      <c r="J118" s="8"/>
      <c r="K118" s="8"/>
      <c r="L118" s="8"/>
      <c r="T118" s="8"/>
      <c r="U118" s="8"/>
      <c r="V118" s="8"/>
      <c r="W118" s="8"/>
      <c r="X118" s="8"/>
      <c r="Y118" s="8"/>
      <c r="Z118" s="8"/>
      <c r="AA118" s="8"/>
      <c r="AB118" s="8"/>
      <c r="AC118" s="8"/>
      <c r="AD118" s="8"/>
      <c r="AE118" s="8"/>
      <c r="AL118" s="1">
        <v>0.86462844105271142</v>
      </c>
      <c r="AM118" s="1">
        <v>0.6467086771653543</v>
      </c>
    </row>
    <row r="119" spans="1:39" x14ac:dyDescent="0.25">
      <c r="A119" s="8"/>
      <c r="B119" s="8"/>
      <c r="C119" s="8"/>
      <c r="D119" s="8"/>
      <c r="E119" s="8"/>
      <c r="F119" s="8"/>
      <c r="G119" s="8"/>
      <c r="H119" s="8"/>
      <c r="I119" s="8"/>
      <c r="J119" s="8"/>
      <c r="K119" s="8"/>
      <c r="L119" s="8"/>
      <c r="T119" s="8"/>
      <c r="U119" s="8"/>
      <c r="V119" s="8"/>
      <c r="W119" s="8"/>
      <c r="X119" s="8"/>
      <c r="Y119" s="8"/>
      <c r="Z119" s="8"/>
      <c r="AA119" s="8"/>
      <c r="AB119" s="8"/>
      <c r="AC119" s="8"/>
      <c r="AD119" s="8"/>
      <c r="AE119" s="8"/>
      <c r="AL119" s="1">
        <v>0.88891394022370307</v>
      </c>
      <c r="AM119" s="1">
        <v>0.59588041994750651</v>
      </c>
    </row>
    <row r="120" spans="1:39" x14ac:dyDescent="0.25">
      <c r="A120" s="8"/>
      <c r="B120" s="8"/>
      <c r="C120" s="8"/>
      <c r="D120" s="8"/>
      <c r="E120" s="8"/>
      <c r="F120" s="8"/>
      <c r="G120" s="8"/>
      <c r="H120" s="8"/>
      <c r="I120" s="8"/>
      <c r="J120" s="8"/>
      <c r="K120" s="8"/>
      <c r="L120" s="8"/>
      <c r="T120" s="8"/>
      <c r="U120" s="8"/>
      <c r="V120" s="8"/>
      <c r="W120" s="8"/>
      <c r="X120" s="8"/>
      <c r="Y120" s="8"/>
      <c r="Z120" s="8"/>
      <c r="AA120" s="8"/>
      <c r="AB120" s="8"/>
      <c r="AC120" s="8"/>
      <c r="AD120" s="8"/>
      <c r="AE120" s="8"/>
      <c r="AL120" s="1">
        <v>0.91318242082484802</v>
      </c>
      <c r="AM120" s="1">
        <v>0.53968339895013129</v>
      </c>
    </row>
    <row r="121" spans="1:39" x14ac:dyDescent="0.25">
      <c r="A121" s="8"/>
      <c r="B121" s="8"/>
      <c r="C121" s="8"/>
      <c r="D121" s="8"/>
      <c r="E121" s="8"/>
      <c r="F121" s="8"/>
      <c r="G121" s="8"/>
      <c r="H121" s="8"/>
      <c r="I121" s="8"/>
      <c r="J121" s="8"/>
      <c r="K121" s="8"/>
      <c r="L121" s="8"/>
      <c r="T121" s="8"/>
      <c r="U121" s="8"/>
      <c r="V121" s="8"/>
      <c r="W121" s="8"/>
      <c r="X121" s="8"/>
      <c r="Y121" s="8"/>
      <c r="Z121" s="8"/>
      <c r="AA121" s="8"/>
      <c r="AB121" s="8"/>
      <c r="AC121" s="8"/>
      <c r="AD121" s="8"/>
      <c r="AE121" s="8"/>
      <c r="AL121" s="1">
        <v>0.93746791999583923</v>
      </c>
      <c r="AM121" s="1">
        <v>0.47646137532808397</v>
      </c>
    </row>
    <row r="122" spans="1:39" x14ac:dyDescent="0.25">
      <c r="A122" s="8"/>
      <c r="B122" s="8"/>
      <c r="C122" s="8"/>
      <c r="D122" s="8"/>
      <c r="E122" s="8"/>
      <c r="F122" s="8"/>
      <c r="G122" s="8"/>
      <c r="H122" s="8"/>
      <c r="I122" s="8"/>
      <c r="J122" s="8"/>
      <c r="K122" s="8"/>
      <c r="L122" s="8"/>
      <c r="T122" s="8"/>
      <c r="U122" s="8"/>
      <c r="V122" s="8"/>
      <c r="W122" s="8"/>
      <c r="X122" s="8"/>
      <c r="Y122" s="8"/>
      <c r="Z122" s="8"/>
      <c r="AA122" s="8"/>
      <c r="AB122" s="8"/>
      <c r="AC122" s="8"/>
      <c r="AD122" s="8"/>
      <c r="AE122" s="8"/>
      <c r="AL122" s="1">
        <v>0.95365257991988472</v>
      </c>
      <c r="AM122" s="1">
        <v>0.42663650360892391</v>
      </c>
    </row>
    <row r="123" spans="1:39" x14ac:dyDescent="0.25">
      <c r="A123" s="8"/>
      <c r="B123" s="8"/>
      <c r="C123" s="8"/>
      <c r="D123" s="8"/>
      <c r="E123" s="8"/>
      <c r="F123" s="8"/>
      <c r="G123" s="8"/>
      <c r="H123" s="8"/>
      <c r="I123" s="8"/>
      <c r="J123" s="8"/>
      <c r="K123" s="8"/>
      <c r="L123" s="8"/>
      <c r="T123" s="8"/>
      <c r="U123" s="8"/>
      <c r="V123" s="8"/>
      <c r="W123" s="8"/>
      <c r="X123" s="8"/>
      <c r="Y123" s="8"/>
      <c r="Z123" s="8"/>
      <c r="AA123" s="8"/>
      <c r="AB123" s="8"/>
      <c r="AC123" s="8"/>
      <c r="AD123" s="8"/>
      <c r="AE123" s="8"/>
      <c r="AL123" s="1">
        <v>0.9603578964394156</v>
      </c>
      <c r="AM123" s="1">
        <v>0.39326055118110231</v>
      </c>
    </row>
    <row r="124" spans="1:39" x14ac:dyDescent="0.25">
      <c r="A124" s="8"/>
      <c r="B124" s="8"/>
      <c r="C124" s="8"/>
      <c r="D124" s="8"/>
      <c r="E124" s="8"/>
      <c r="F124" s="8"/>
      <c r="G124" s="8"/>
      <c r="H124" s="8"/>
      <c r="I124" s="8"/>
      <c r="J124" s="8"/>
      <c r="K124" s="8"/>
      <c r="L124" s="8"/>
      <c r="T124" s="8"/>
      <c r="U124" s="8"/>
      <c r="V124" s="8"/>
      <c r="W124" s="8"/>
      <c r="X124" s="8"/>
      <c r="Y124" s="8"/>
      <c r="Z124" s="8"/>
      <c r="AA124" s="8"/>
      <c r="AB124" s="8"/>
      <c r="AC124" s="8"/>
      <c r="AD124" s="8"/>
      <c r="AE124" s="8"/>
      <c r="AL124" s="1">
        <v>0.96784606717188681</v>
      </c>
      <c r="AM124" s="1">
        <v>0.35340400623359575</v>
      </c>
    </row>
    <row r="125" spans="1:39" x14ac:dyDescent="0.25">
      <c r="A125" s="8"/>
      <c r="B125" s="8"/>
      <c r="C125" s="8"/>
      <c r="D125" s="8"/>
      <c r="E125" s="8"/>
      <c r="F125" s="8"/>
      <c r="G125" s="8"/>
      <c r="H125" s="8"/>
      <c r="I125" s="8"/>
      <c r="J125" s="8"/>
      <c r="K125" s="8"/>
      <c r="L125" s="8"/>
      <c r="T125" s="8"/>
      <c r="U125" s="8"/>
      <c r="V125" s="8"/>
      <c r="W125" s="8"/>
      <c r="X125" s="8"/>
      <c r="Y125" s="8"/>
      <c r="Z125" s="8"/>
      <c r="AA125" s="8"/>
      <c r="AB125" s="8"/>
      <c r="AC125" s="8"/>
      <c r="AD125" s="8"/>
      <c r="AE125" s="8"/>
      <c r="AL125" s="1">
        <v>0.97460243940095725</v>
      </c>
      <c r="AM125" s="1">
        <v>0.3183201522309711</v>
      </c>
    </row>
    <row r="126" spans="1:39" x14ac:dyDescent="0.25">
      <c r="A126" s="8"/>
      <c r="B126" s="8"/>
      <c r="C126" s="8"/>
      <c r="D126" s="8"/>
      <c r="E126" s="8"/>
      <c r="F126" s="8"/>
      <c r="G126" s="8"/>
      <c r="H126" s="8"/>
      <c r="I126" s="8"/>
      <c r="J126" s="8"/>
      <c r="K126" s="8"/>
      <c r="L126" s="8"/>
      <c r="T126" s="8"/>
      <c r="U126" s="8"/>
      <c r="V126" s="8"/>
      <c r="W126" s="8"/>
      <c r="X126" s="8"/>
      <c r="Y126" s="8"/>
      <c r="Z126" s="8"/>
      <c r="AA126" s="8"/>
      <c r="AB126" s="8"/>
      <c r="AC126" s="8"/>
      <c r="AD126" s="8"/>
      <c r="AE126" s="8"/>
      <c r="AL126" s="1">
        <v>0.98166514588726517</v>
      </c>
      <c r="AM126" s="1">
        <v>0.27485953608923885</v>
      </c>
    </row>
    <row r="127" spans="1:39" x14ac:dyDescent="0.25">
      <c r="A127" s="8"/>
      <c r="B127" s="8"/>
      <c r="C127" s="8"/>
      <c r="D127" s="8"/>
      <c r="E127" s="8"/>
      <c r="F127" s="8"/>
      <c r="G127" s="8"/>
      <c r="H127" s="8"/>
      <c r="I127" s="8"/>
      <c r="J127" s="8"/>
      <c r="K127" s="8"/>
      <c r="L127" s="8"/>
      <c r="T127" s="8"/>
      <c r="U127" s="8"/>
      <c r="V127" s="8"/>
      <c r="W127" s="8"/>
      <c r="X127" s="8"/>
      <c r="Y127" s="8"/>
      <c r="Z127" s="8"/>
      <c r="AA127" s="8"/>
      <c r="AB127" s="8"/>
      <c r="AC127" s="8"/>
      <c r="AD127" s="8"/>
      <c r="AE127" s="8"/>
      <c r="AL127" s="1">
        <v>0.9877748124621677</v>
      </c>
      <c r="AM127" s="1">
        <v>0.22825364501312337</v>
      </c>
    </row>
    <row r="128" spans="1:39" x14ac:dyDescent="0.25">
      <c r="A128" s="8"/>
      <c r="B128" s="8"/>
      <c r="C128" s="8"/>
      <c r="D128" s="8"/>
      <c r="E128" s="8"/>
      <c r="F128" s="8"/>
      <c r="G128" s="8"/>
      <c r="H128" s="8"/>
      <c r="I128" s="8"/>
      <c r="J128" s="8"/>
      <c r="K128" s="8"/>
      <c r="L128" s="8"/>
      <c r="T128" s="8"/>
      <c r="U128" s="8"/>
      <c r="V128" s="8"/>
      <c r="W128" s="8"/>
      <c r="X128" s="8"/>
      <c r="Y128" s="8"/>
      <c r="Z128" s="8"/>
      <c r="AA128" s="8"/>
      <c r="AB128" s="8"/>
      <c r="AC128" s="8"/>
      <c r="AD128" s="8"/>
      <c r="AE128" s="8"/>
      <c r="AL128" s="1">
        <v>0.9935441076401399</v>
      </c>
      <c r="AM128" s="1">
        <v>0.14911675787401571</v>
      </c>
    </row>
    <row r="129" spans="1:39" x14ac:dyDescent="0.25">
      <c r="A129" s="8"/>
      <c r="B129" s="8"/>
      <c r="C129" s="8"/>
      <c r="D129" s="8"/>
      <c r="E129" s="8"/>
      <c r="F129" s="8"/>
      <c r="G129" s="8"/>
      <c r="H129" s="8"/>
      <c r="I129" s="8"/>
      <c r="J129" s="8"/>
      <c r="K129" s="8"/>
      <c r="L129" s="8"/>
      <c r="T129" s="8"/>
      <c r="U129" s="8"/>
      <c r="V129" s="8"/>
      <c r="W129" s="8"/>
      <c r="X129" s="8"/>
      <c r="Y129" s="8"/>
      <c r="Z129" s="8"/>
      <c r="AA129" s="8"/>
      <c r="AB129" s="8"/>
      <c r="AC129" s="8"/>
      <c r="AD129" s="8"/>
      <c r="AE129" s="8"/>
      <c r="AL129" s="1">
        <v>0.99761154583345935</v>
      </c>
      <c r="AM129" s="1">
        <v>9.8741755905511805E-2</v>
      </c>
    </row>
    <row r="130" spans="1:39" x14ac:dyDescent="0.25">
      <c r="A130" s="8"/>
      <c r="B130" s="8"/>
      <c r="C130" s="8"/>
      <c r="D130" s="8"/>
      <c r="E130" s="8"/>
      <c r="F130" s="8"/>
      <c r="G130" s="8"/>
      <c r="H130" s="8"/>
      <c r="I130" s="8"/>
      <c r="J130" s="8"/>
      <c r="K130" s="8"/>
      <c r="L130" s="8"/>
      <c r="T130" s="8"/>
      <c r="U130" s="8"/>
      <c r="V130" s="8"/>
      <c r="W130" s="8"/>
      <c r="X130" s="8"/>
      <c r="Y130" s="8"/>
      <c r="Z130" s="8"/>
      <c r="AA130" s="8"/>
      <c r="AB130" s="8"/>
      <c r="AC130" s="8"/>
      <c r="AD130" s="8"/>
      <c r="AE130" s="8"/>
      <c r="AL130" s="1">
        <v>1</v>
      </c>
      <c r="AM130" s="1">
        <v>0</v>
      </c>
    </row>
    <row r="131" spans="1:39" x14ac:dyDescent="0.25">
      <c r="A131" s="8"/>
      <c r="B131" s="8"/>
      <c r="C131" s="8"/>
      <c r="D131" s="8"/>
      <c r="E131" s="8"/>
      <c r="F131" s="8"/>
      <c r="G131" s="8"/>
      <c r="H131" s="8"/>
      <c r="I131" s="8"/>
      <c r="J131" s="8"/>
      <c r="K131" s="8"/>
      <c r="L131" s="8"/>
      <c r="T131" s="8"/>
      <c r="U131" s="8"/>
      <c r="V131" s="8"/>
      <c r="W131" s="8"/>
      <c r="X131" s="8"/>
      <c r="Y131" s="8"/>
      <c r="Z131" s="8"/>
      <c r="AA131" s="8"/>
      <c r="AB131" s="8"/>
      <c r="AC131" s="8"/>
      <c r="AD131" s="8"/>
      <c r="AE131" s="8"/>
    </row>
    <row r="132" spans="1:39" x14ac:dyDescent="0.25">
      <c r="A132" s="8"/>
      <c r="B132" s="8"/>
      <c r="C132" s="8"/>
      <c r="D132" s="8"/>
      <c r="E132" s="8"/>
      <c r="F132" s="8"/>
      <c r="G132" s="8"/>
      <c r="H132" s="8"/>
      <c r="I132" s="8"/>
      <c r="J132" s="8"/>
      <c r="K132" s="8"/>
      <c r="L132" s="8"/>
      <c r="T132" s="8"/>
      <c r="U132" s="8"/>
      <c r="V132" s="8"/>
      <c r="W132" s="8"/>
      <c r="X132" s="8"/>
      <c r="Y132" s="8"/>
      <c r="Z132" s="8"/>
      <c r="AA132" s="8"/>
      <c r="AB132" s="8"/>
      <c r="AC132" s="8"/>
      <c r="AD132" s="8"/>
      <c r="AE132" s="8"/>
    </row>
    <row r="133" spans="1:39" x14ac:dyDescent="0.25">
      <c r="A133" s="8"/>
      <c r="B133" s="8"/>
      <c r="C133" s="8"/>
      <c r="D133" s="8"/>
      <c r="E133" s="8"/>
      <c r="F133" s="8"/>
      <c r="G133" s="8"/>
      <c r="H133" s="8"/>
      <c r="I133" s="8"/>
      <c r="J133" s="8"/>
      <c r="K133" s="8"/>
      <c r="L133" s="8"/>
      <c r="T133" s="8"/>
      <c r="U133" s="8"/>
      <c r="V133" s="8"/>
      <c r="W133" s="8"/>
      <c r="X133" s="8"/>
      <c r="Y133" s="8"/>
      <c r="Z133" s="8"/>
      <c r="AA133" s="8"/>
      <c r="AB133" s="8"/>
      <c r="AC133" s="8"/>
      <c r="AD133" s="8"/>
      <c r="AE133" s="8"/>
    </row>
    <row r="134" spans="1:39" x14ac:dyDescent="0.25">
      <c r="A134" s="8"/>
      <c r="B134" s="8"/>
      <c r="C134" s="8"/>
      <c r="D134" s="8"/>
      <c r="E134" s="8"/>
      <c r="F134" s="8"/>
      <c r="G134" s="8"/>
      <c r="H134" s="8"/>
      <c r="I134" s="8"/>
      <c r="J134" s="8"/>
      <c r="K134" s="8"/>
      <c r="L134" s="8"/>
      <c r="T134" s="8"/>
      <c r="U134" s="8"/>
      <c r="V134" s="8"/>
      <c r="W134" s="8"/>
      <c r="X134" s="8"/>
      <c r="Y134" s="8"/>
      <c r="Z134" s="8"/>
      <c r="AA134" s="8"/>
      <c r="AB134" s="8"/>
      <c r="AC134" s="8"/>
      <c r="AD134" s="8"/>
      <c r="AE134" s="8"/>
    </row>
    <row r="135" spans="1:39" x14ac:dyDescent="0.25">
      <c r="A135" s="8"/>
      <c r="B135" s="8"/>
      <c r="C135" s="8"/>
      <c r="D135" s="8"/>
      <c r="E135" s="8"/>
      <c r="F135" s="8"/>
      <c r="G135" s="8"/>
      <c r="H135" s="8"/>
      <c r="I135" s="8"/>
      <c r="J135" s="8"/>
      <c r="K135" s="8"/>
      <c r="L135" s="8"/>
      <c r="T135" s="8"/>
      <c r="U135" s="8"/>
      <c r="V135" s="8"/>
      <c r="W135" s="8"/>
      <c r="X135" s="8"/>
      <c r="Y135" s="8"/>
      <c r="Z135" s="8"/>
      <c r="AA135" s="8"/>
      <c r="AB135" s="8"/>
      <c r="AC135" s="8"/>
      <c r="AD135" s="8"/>
      <c r="AE135" s="8"/>
    </row>
    <row r="136" spans="1:39" x14ac:dyDescent="0.25">
      <c r="A136" s="8"/>
      <c r="B136" s="8"/>
      <c r="C136" s="8"/>
      <c r="D136" s="8"/>
      <c r="E136" s="8"/>
      <c r="F136" s="8"/>
      <c r="G136" s="8"/>
      <c r="H136" s="8"/>
      <c r="I136" s="8"/>
      <c r="J136" s="8"/>
      <c r="K136" s="8"/>
      <c r="L136" s="8"/>
      <c r="T136" s="8"/>
      <c r="U136" s="8"/>
      <c r="V136" s="8"/>
      <c r="W136" s="8"/>
      <c r="X136" s="8"/>
      <c r="Y136" s="8"/>
      <c r="Z136" s="8"/>
      <c r="AA136" s="8"/>
      <c r="AB136" s="8"/>
      <c r="AC136" s="8"/>
      <c r="AD136" s="8"/>
      <c r="AE136" s="8"/>
    </row>
    <row r="137" spans="1:39" x14ac:dyDescent="0.25">
      <c r="A137" s="8"/>
      <c r="B137" s="8"/>
      <c r="C137" s="8"/>
      <c r="D137" s="8"/>
      <c r="E137" s="8"/>
      <c r="F137" s="8"/>
      <c r="G137" s="8"/>
      <c r="H137" s="8"/>
      <c r="I137" s="8"/>
      <c r="J137" s="8"/>
      <c r="K137" s="8"/>
      <c r="L137" s="8"/>
      <c r="T137" s="8"/>
      <c r="U137" s="8"/>
      <c r="V137" s="8"/>
      <c r="W137" s="8"/>
      <c r="X137" s="8"/>
      <c r="Y137" s="8"/>
      <c r="Z137" s="8"/>
      <c r="AA137" s="8"/>
      <c r="AB137" s="8"/>
      <c r="AC137" s="8"/>
      <c r="AD137" s="8"/>
      <c r="AE137" s="8"/>
    </row>
    <row r="138" spans="1:39" x14ac:dyDescent="0.25">
      <c r="A138" s="8"/>
      <c r="B138" s="8"/>
      <c r="C138" s="8"/>
      <c r="D138" s="8"/>
      <c r="E138" s="8"/>
      <c r="F138" s="8"/>
      <c r="G138" s="8"/>
      <c r="H138" s="8"/>
      <c r="I138" s="8"/>
      <c r="J138" s="8"/>
      <c r="K138" s="8"/>
      <c r="L138" s="8"/>
      <c r="T138" s="8"/>
      <c r="U138" s="8"/>
      <c r="V138" s="8"/>
      <c r="W138" s="8"/>
      <c r="X138" s="8"/>
      <c r="Y138" s="8"/>
      <c r="Z138" s="8"/>
      <c r="AA138" s="8"/>
      <c r="AB138" s="8"/>
      <c r="AC138" s="8"/>
      <c r="AD138" s="8"/>
      <c r="AE138" s="8"/>
    </row>
    <row r="139" spans="1:39" x14ac:dyDescent="0.25">
      <c r="A139" s="8"/>
      <c r="B139" s="8"/>
      <c r="C139" s="8"/>
      <c r="D139" s="8"/>
      <c r="E139" s="8"/>
      <c r="F139" s="8"/>
      <c r="G139" s="8"/>
      <c r="H139" s="8"/>
      <c r="I139" s="8"/>
      <c r="J139" s="8"/>
      <c r="K139" s="8"/>
      <c r="L139" s="8"/>
      <c r="T139" s="8"/>
      <c r="U139" s="8"/>
      <c r="V139" s="8"/>
      <c r="W139" s="8"/>
      <c r="X139" s="8"/>
      <c r="Y139" s="8"/>
      <c r="Z139" s="8"/>
      <c r="AA139" s="8"/>
      <c r="AB139" s="8"/>
      <c r="AC139" s="8"/>
      <c r="AD139" s="8"/>
      <c r="AE139" s="8"/>
    </row>
    <row r="140" spans="1:39" x14ac:dyDescent="0.25">
      <c r="A140" s="8"/>
      <c r="B140" s="8"/>
      <c r="C140" s="8"/>
      <c r="D140" s="8"/>
      <c r="E140" s="8"/>
      <c r="F140" s="8"/>
      <c r="G140" s="8"/>
      <c r="H140" s="8"/>
      <c r="I140" s="8"/>
      <c r="J140" s="8"/>
      <c r="K140" s="8"/>
      <c r="L140" s="8"/>
      <c r="T140" s="8"/>
      <c r="U140" s="8"/>
      <c r="V140" s="8"/>
      <c r="W140" s="8"/>
      <c r="X140" s="8"/>
      <c r="Y140" s="8"/>
      <c r="Z140" s="8"/>
      <c r="AA140" s="8"/>
      <c r="AB140" s="8"/>
      <c r="AC140" s="8"/>
      <c r="AD140" s="8"/>
      <c r="AE140" s="8"/>
    </row>
    <row r="141" spans="1:39" x14ac:dyDescent="0.25">
      <c r="A141" s="8"/>
      <c r="B141" s="8"/>
      <c r="C141" s="8"/>
      <c r="D141" s="8"/>
      <c r="E141" s="8"/>
      <c r="F141" s="8"/>
      <c r="G141" s="8"/>
      <c r="H141" s="8"/>
      <c r="I141" s="8"/>
      <c r="J141" s="8"/>
      <c r="K141" s="8"/>
      <c r="L141" s="8"/>
      <c r="T141" s="8"/>
      <c r="U141" s="8"/>
      <c r="V141" s="8"/>
      <c r="W141" s="8"/>
      <c r="X141" s="8"/>
      <c r="Y141" s="8"/>
      <c r="Z141" s="8"/>
      <c r="AA141" s="8"/>
      <c r="AB141" s="8"/>
      <c r="AC141" s="8"/>
      <c r="AD141" s="8"/>
      <c r="AE141" s="8"/>
    </row>
    <row r="142" spans="1:39" x14ac:dyDescent="0.25">
      <c r="A142" s="8"/>
      <c r="B142" s="8"/>
      <c r="C142" s="8"/>
      <c r="D142" s="8"/>
      <c r="E142" s="8"/>
      <c r="F142" s="8"/>
      <c r="G142" s="8"/>
      <c r="H142" s="8"/>
      <c r="I142" s="8"/>
      <c r="J142" s="8"/>
      <c r="K142" s="8"/>
      <c r="L142" s="8"/>
      <c r="T142" s="8"/>
      <c r="U142" s="8"/>
      <c r="V142" s="8"/>
      <c r="W142" s="8"/>
      <c r="X142" s="8"/>
      <c r="Y142" s="8"/>
      <c r="Z142" s="8"/>
      <c r="AA142" s="8"/>
      <c r="AB142" s="8"/>
      <c r="AC142" s="8"/>
      <c r="AD142" s="8"/>
      <c r="AE142" s="8"/>
    </row>
    <row r="143" spans="1:39" x14ac:dyDescent="0.25">
      <c r="A143" s="8"/>
      <c r="B143" s="8"/>
      <c r="C143" s="8"/>
      <c r="D143" s="8"/>
      <c r="E143" s="8"/>
      <c r="F143" s="8"/>
      <c r="G143" s="8"/>
      <c r="H143" s="8"/>
      <c r="I143" s="8"/>
      <c r="J143" s="8"/>
      <c r="K143" s="8"/>
      <c r="L143" s="8"/>
      <c r="T143" s="8"/>
      <c r="U143" s="8"/>
      <c r="V143" s="8"/>
      <c r="W143" s="8"/>
      <c r="X143" s="8"/>
      <c r="Y143" s="8"/>
      <c r="Z143" s="8"/>
      <c r="AA143" s="8"/>
      <c r="AB143" s="8"/>
      <c r="AC143" s="8"/>
      <c r="AD143" s="8"/>
      <c r="AE143" s="8"/>
    </row>
    <row r="144" spans="1:39" x14ac:dyDescent="0.25">
      <c r="A144" s="8"/>
      <c r="B144" s="8"/>
      <c r="C144" s="8"/>
      <c r="D144" s="8"/>
      <c r="E144" s="8"/>
      <c r="F144" s="8"/>
      <c r="G144" s="8"/>
      <c r="H144" s="8"/>
      <c r="I144" s="8"/>
      <c r="J144" s="8"/>
      <c r="K144" s="8"/>
      <c r="L144" s="8"/>
      <c r="T144" s="8"/>
      <c r="U144" s="8"/>
      <c r="V144" s="8"/>
      <c r="W144" s="8"/>
      <c r="X144" s="8"/>
      <c r="Y144" s="8"/>
      <c r="Z144" s="8"/>
      <c r="AA144" s="8"/>
      <c r="AB144" s="8"/>
      <c r="AC144" s="8"/>
      <c r="AD144" s="8"/>
      <c r="AE144" s="8"/>
    </row>
    <row r="145" spans="1:31" x14ac:dyDescent="0.25">
      <c r="A145" s="8"/>
      <c r="B145" s="8"/>
      <c r="C145" s="8"/>
      <c r="D145" s="8"/>
      <c r="E145" s="8"/>
      <c r="F145" s="8"/>
      <c r="G145" s="8"/>
      <c r="H145" s="8"/>
      <c r="I145" s="8"/>
      <c r="J145" s="8"/>
      <c r="K145" s="8"/>
      <c r="L145" s="8"/>
      <c r="T145" s="8"/>
      <c r="U145" s="8"/>
      <c r="V145" s="8"/>
      <c r="W145" s="8"/>
      <c r="X145" s="8"/>
      <c r="Y145" s="8"/>
      <c r="Z145" s="8"/>
      <c r="AA145" s="8"/>
      <c r="AB145" s="8"/>
      <c r="AC145" s="8"/>
      <c r="AD145" s="8"/>
      <c r="AE145" s="8"/>
    </row>
    <row r="146" spans="1:31" x14ac:dyDescent="0.25">
      <c r="A146" s="8"/>
      <c r="B146" s="8"/>
      <c r="C146" s="8"/>
      <c r="D146" s="8"/>
      <c r="E146" s="8"/>
      <c r="F146" s="8"/>
      <c r="G146" s="8"/>
      <c r="H146" s="8"/>
      <c r="I146" s="8"/>
      <c r="J146" s="8"/>
      <c r="K146" s="8"/>
      <c r="L146" s="8"/>
      <c r="T146" s="8"/>
      <c r="U146" s="8"/>
      <c r="V146" s="8"/>
      <c r="W146" s="8"/>
      <c r="X146" s="8"/>
      <c r="Y146" s="8"/>
      <c r="Z146" s="8"/>
      <c r="AA146" s="8"/>
      <c r="AB146" s="8"/>
      <c r="AC146" s="8"/>
      <c r="AD146" s="8"/>
      <c r="AE146" s="8"/>
    </row>
    <row r="147" spans="1:31" x14ac:dyDescent="0.25">
      <c r="A147" s="8"/>
      <c r="B147" s="8"/>
      <c r="C147" s="8"/>
      <c r="D147" s="8"/>
      <c r="E147" s="8"/>
      <c r="F147" s="8"/>
      <c r="G147" s="8"/>
      <c r="H147" s="8"/>
      <c r="I147" s="8"/>
      <c r="J147" s="8"/>
      <c r="K147" s="8"/>
      <c r="L147" s="8"/>
      <c r="T147" s="8"/>
      <c r="U147" s="8"/>
      <c r="V147" s="8"/>
      <c r="W147" s="8"/>
      <c r="X147" s="8"/>
      <c r="Y147" s="8"/>
      <c r="Z147" s="8"/>
      <c r="AA147" s="8"/>
      <c r="AB147" s="8"/>
      <c r="AC147" s="8"/>
      <c r="AD147" s="8"/>
      <c r="AE147" s="8"/>
    </row>
    <row r="148" spans="1:31" x14ac:dyDescent="0.25">
      <c r="A148" s="8"/>
      <c r="B148" s="8"/>
      <c r="C148" s="8"/>
      <c r="D148" s="8"/>
      <c r="E148" s="8"/>
      <c r="F148" s="8"/>
      <c r="G148" s="8"/>
      <c r="H148" s="8"/>
      <c r="I148" s="8"/>
      <c r="J148" s="8"/>
      <c r="K148" s="8"/>
      <c r="L148" s="8"/>
      <c r="T148" s="8"/>
      <c r="U148" s="8"/>
      <c r="V148" s="8"/>
      <c r="W148" s="8"/>
      <c r="X148" s="8"/>
      <c r="Y148" s="8"/>
      <c r="Z148" s="8"/>
      <c r="AA148" s="8"/>
      <c r="AB148" s="8"/>
      <c r="AC148" s="8"/>
      <c r="AD148" s="8"/>
      <c r="AE148" s="8"/>
    </row>
    <row r="149" spans="1:31" x14ac:dyDescent="0.25">
      <c r="A149" s="8"/>
      <c r="B149" s="8"/>
      <c r="C149" s="8"/>
      <c r="D149" s="8"/>
      <c r="E149" s="8"/>
      <c r="F149" s="8"/>
      <c r="G149" s="8"/>
      <c r="H149" s="8"/>
      <c r="I149" s="8"/>
      <c r="J149" s="8"/>
      <c r="K149" s="8"/>
      <c r="L149" s="8"/>
      <c r="T149" s="8"/>
      <c r="U149" s="8"/>
      <c r="V149" s="8"/>
      <c r="W149" s="8"/>
      <c r="X149" s="8"/>
      <c r="Y149" s="8"/>
      <c r="Z149" s="8"/>
      <c r="AA149" s="8"/>
      <c r="AB149" s="8"/>
      <c r="AC149" s="8"/>
      <c r="AD149" s="8"/>
      <c r="AE149" s="8"/>
    </row>
    <row r="150" spans="1:31" x14ac:dyDescent="0.25">
      <c r="A150" s="8"/>
      <c r="B150" s="8"/>
      <c r="C150" s="8"/>
      <c r="D150" s="8"/>
      <c r="E150" s="8"/>
      <c r="F150" s="8"/>
      <c r="G150" s="8"/>
      <c r="H150" s="8"/>
      <c r="I150" s="8"/>
      <c r="J150" s="8"/>
      <c r="K150" s="8"/>
      <c r="L150" s="8"/>
      <c r="T150" s="8"/>
      <c r="U150" s="8"/>
      <c r="V150" s="8"/>
      <c r="W150" s="8"/>
      <c r="X150" s="8"/>
      <c r="Y150" s="8"/>
      <c r="Z150" s="8"/>
      <c r="AA150" s="8"/>
      <c r="AB150" s="8"/>
      <c r="AC150" s="8"/>
      <c r="AD150" s="8"/>
      <c r="AE150" s="8"/>
    </row>
    <row r="151" spans="1:31" x14ac:dyDescent="0.25">
      <c r="A151" s="8"/>
      <c r="B151" s="8"/>
      <c r="C151" s="8"/>
      <c r="D151" s="8"/>
      <c r="E151" s="8"/>
      <c r="F151" s="8"/>
      <c r="G151" s="8"/>
      <c r="H151" s="8"/>
      <c r="I151" s="8"/>
      <c r="J151" s="8"/>
      <c r="K151" s="8"/>
      <c r="L151" s="8"/>
      <c r="T151" s="8"/>
      <c r="U151" s="8"/>
      <c r="V151" s="8"/>
      <c r="W151" s="8"/>
      <c r="X151" s="8"/>
      <c r="Y151" s="8"/>
      <c r="Z151" s="8"/>
      <c r="AA151" s="8"/>
      <c r="AB151" s="8"/>
      <c r="AC151" s="8"/>
      <c r="AD151" s="8"/>
      <c r="AE151" s="8"/>
    </row>
    <row r="152" spans="1:31" x14ac:dyDescent="0.25">
      <c r="A152" s="8"/>
      <c r="B152" s="8"/>
      <c r="C152" s="8"/>
      <c r="D152" s="8"/>
      <c r="E152" s="8"/>
      <c r="F152" s="8"/>
      <c r="G152" s="8"/>
      <c r="H152" s="8"/>
      <c r="I152" s="8"/>
      <c r="J152" s="8"/>
      <c r="K152" s="8"/>
      <c r="L152" s="8"/>
      <c r="T152" s="8"/>
      <c r="U152" s="8"/>
      <c r="V152" s="8"/>
      <c r="W152" s="8"/>
      <c r="X152" s="8"/>
      <c r="Y152" s="8"/>
      <c r="Z152" s="8"/>
      <c r="AA152" s="8"/>
      <c r="AB152" s="8"/>
      <c r="AC152" s="8"/>
      <c r="AD152" s="8"/>
      <c r="AE152" s="8"/>
    </row>
    <row r="153" spans="1:31" x14ac:dyDescent="0.25">
      <c r="A153" s="8"/>
      <c r="B153" s="8"/>
      <c r="C153" s="8"/>
      <c r="D153" s="8"/>
      <c r="E153" s="8"/>
      <c r="F153" s="8"/>
      <c r="G153" s="8"/>
      <c r="H153" s="8"/>
      <c r="I153" s="8"/>
      <c r="J153" s="8"/>
      <c r="K153" s="8"/>
      <c r="L153" s="8"/>
      <c r="T153" s="8"/>
      <c r="U153" s="8"/>
      <c r="V153" s="8"/>
      <c r="W153" s="8"/>
      <c r="X153" s="8"/>
      <c r="Y153" s="8"/>
      <c r="Z153" s="8"/>
      <c r="AA153" s="8"/>
      <c r="AB153" s="8"/>
      <c r="AC153" s="8"/>
      <c r="AD153" s="8"/>
      <c r="AE153" s="8"/>
    </row>
    <row r="154" spans="1:31" x14ac:dyDescent="0.25">
      <c r="A154" s="8"/>
      <c r="B154" s="8"/>
      <c r="C154" s="8"/>
      <c r="D154" s="8"/>
      <c r="E154" s="8"/>
      <c r="F154" s="8"/>
      <c r="G154" s="8"/>
      <c r="H154" s="8"/>
      <c r="I154" s="8"/>
      <c r="J154" s="8"/>
      <c r="K154" s="8"/>
      <c r="L154" s="8"/>
      <c r="T154" s="8"/>
      <c r="U154" s="8"/>
      <c r="V154" s="8"/>
      <c r="W154" s="8"/>
      <c r="X154" s="8"/>
      <c r="Y154" s="8"/>
      <c r="Z154" s="8"/>
      <c r="AA154" s="8"/>
      <c r="AB154" s="8"/>
      <c r="AC154" s="8"/>
      <c r="AD154" s="8"/>
      <c r="AE154" s="8"/>
    </row>
    <row r="155" spans="1:31" x14ac:dyDescent="0.25">
      <c r="A155" s="8"/>
      <c r="B155" s="8"/>
      <c r="C155" s="8"/>
      <c r="D155" s="8"/>
      <c r="E155" s="8"/>
      <c r="F155" s="8"/>
      <c r="G155" s="8"/>
      <c r="H155" s="8"/>
      <c r="I155" s="8"/>
      <c r="J155" s="8"/>
      <c r="K155" s="8"/>
      <c r="L155" s="8"/>
      <c r="T155" s="8"/>
      <c r="U155" s="8"/>
      <c r="V155" s="8"/>
      <c r="W155" s="8"/>
      <c r="X155" s="8"/>
      <c r="Y155" s="8"/>
      <c r="Z155" s="8"/>
      <c r="AA155" s="8"/>
      <c r="AB155" s="8"/>
      <c r="AC155" s="8"/>
      <c r="AD155" s="8"/>
      <c r="AE155" s="8"/>
    </row>
    <row r="156" spans="1:31" x14ac:dyDescent="0.25">
      <c r="A156" s="8"/>
      <c r="B156" s="8"/>
      <c r="C156" s="8"/>
      <c r="D156" s="8"/>
      <c r="E156" s="8"/>
      <c r="F156" s="8"/>
      <c r="G156" s="8"/>
      <c r="H156" s="8"/>
      <c r="I156" s="8"/>
      <c r="J156" s="8"/>
      <c r="K156" s="8"/>
      <c r="L156" s="8"/>
      <c r="T156" s="8"/>
      <c r="U156" s="8"/>
      <c r="V156" s="8"/>
      <c r="W156" s="8"/>
      <c r="X156" s="8"/>
      <c r="Y156" s="8"/>
      <c r="Z156" s="8"/>
      <c r="AA156" s="8"/>
      <c r="AB156" s="8"/>
      <c r="AC156" s="8"/>
      <c r="AD156" s="8"/>
      <c r="AE156" s="8"/>
    </row>
    <row r="157" spans="1:31" x14ac:dyDescent="0.25">
      <c r="A157" s="8"/>
      <c r="B157" s="8"/>
      <c r="C157" s="8"/>
      <c r="D157" s="8"/>
      <c r="E157" s="8"/>
      <c r="F157" s="8"/>
      <c r="G157" s="8"/>
      <c r="H157" s="8"/>
      <c r="I157" s="8"/>
      <c r="J157" s="8"/>
      <c r="K157" s="8"/>
      <c r="L157" s="8"/>
      <c r="T157" s="8"/>
      <c r="U157" s="8"/>
      <c r="V157" s="8"/>
      <c r="W157" s="8"/>
      <c r="X157" s="8"/>
      <c r="Y157" s="8"/>
      <c r="Z157" s="8"/>
      <c r="AA157" s="8"/>
      <c r="AB157" s="8"/>
      <c r="AC157" s="8"/>
      <c r="AD157" s="8"/>
      <c r="AE157" s="8"/>
    </row>
    <row r="158" spans="1:31" x14ac:dyDescent="0.25">
      <c r="A158" s="8"/>
      <c r="B158" s="8"/>
      <c r="C158" s="8"/>
      <c r="D158" s="8"/>
      <c r="E158" s="8"/>
      <c r="F158" s="8"/>
      <c r="G158" s="8"/>
      <c r="H158" s="8"/>
      <c r="I158" s="8"/>
      <c r="J158" s="8"/>
      <c r="K158" s="8"/>
      <c r="L158" s="8"/>
      <c r="T158" s="8"/>
      <c r="U158" s="8"/>
      <c r="V158" s="8"/>
      <c r="W158" s="8"/>
      <c r="X158" s="8"/>
      <c r="Y158" s="8"/>
      <c r="Z158" s="8"/>
      <c r="AA158" s="8"/>
      <c r="AB158" s="8"/>
      <c r="AC158" s="8"/>
      <c r="AD158" s="8"/>
      <c r="AE158" s="8"/>
    </row>
    <row r="159" spans="1:31" x14ac:dyDescent="0.25">
      <c r="A159" s="8"/>
      <c r="B159" s="8"/>
      <c r="C159" s="8"/>
      <c r="D159" s="8"/>
      <c r="E159" s="8"/>
      <c r="F159" s="8"/>
      <c r="G159" s="8"/>
      <c r="H159" s="8"/>
      <c r="I159" s="8"/>
      <c r="J159" s="8"/>
      <c r="K159" s="8"/>
      <c r="L159" s="8"/>
      <c r="T159" s="8"/>
      <c r="U159" s="8"/>
      <c r="V159" s="8"/>
      <c r="W159" s="8"/>
      <c r="X159" s="8"/>
      <c r="Y159" s="8"/>
      <c r="Z159" s="8"/>
      <c r="AA159" s="8"/>
      <c r="AB159" s="8"/>
      <c r="AC159" s="8"/>
      <c r="AD159" s="8"/>
      <c r="AE159" s="8"/>
    </row>
    <row r="160" spans="1:31" x14ac:dyDescent="0.25">
      <c r="A160" s="8"/>
      <c r="B160" s="8"/>
      <c r="C160" s="8"/>
      <c r="D160" s="8"/>
      <c r="E160" s="8"/>
      <c r="F160" s="8"/>
      <c r="G160" s="8"/>
      <c r="H160" s="8"/>
      <c r="I160" s="8"/>
      <c r="J160" s="8"/>
      <c r="K160" s="8"/>
      <c r="L160" s="8"/>
      <c r="T160" s="8"/>
      <c r="U160" s="8"/>
      <c r="V160" s="8"/>
      <c r="W160" s="8"/>
      <c r="X160" s="8"/>
      <c r="Y160" s="8"/>
      <c r="Z160" s="8"/>
      <c r="AA160" s="8"/>
      <c r="AB160" s="8"/>
      <c r="AC160" s="8"/>
      <c r="AD160" s="8"/>
      <c r="AE160" s="8"/>
    </row>
    <row r="161" spans="1:31" x14ac:dyDescent="0.25">
      <c r="A161" s="8"/>
      <c r="B161" s="8"/>
      <c r="C161" s="8"/>
      <c r="D161" s="8"/>
      <c r="E161" s="8"/>
      <c r="F161" s="8"/>
      <c r="G161" s="8"/>
      <c r="H161" s="8"/>
      <c r="I161" s="8"/>
      <c r="J161" s="8"/>
      <c r="K161" s="8"/>
      <c r="L161" s="8"/>
      <c r="T161" s="8"/>
      <c r="U161" s="8"/>
      <c r="V161" s="8"/>
      <c r="W161" s="8"/>
      <c r="X161" s="8"/>
      <c r="Y161" s="8"/>
      <c r="Z161" s="8"/>
      <c r="AA161" s="8"/>
      <c r="AB161" s="8"/>
      <c r="AC161" s="8"/>
      <c r="AD161" s="8"/>
      <c r="AE161" s="8"/>
    </row>
    <row r="162" spans="1:31" x14ac:dyDescent="0.25">
      <c r="A162" s="8"/>
      <c r="B162" s="8"/>
      <c r="C162" s="8"/>
      <c r="D162" s="8"/>
      <c r="E162" s="8"/>
      <c r="F162" s="8"/>
      <c r="G162" s="8"/>
      <c r="H162" s="8"/>
      <c r="I162" s="8"/>
      <c r="J162" s="8"/>
      <c r="K162" s="8"/>
      <c r="L162" s="8"/>
      <c r="T162" s="8"/>
      <c r="U162" s="8"/>
      <c r="V162" s="8"/>
      <c r="W162" s="8"/>
      <c r="X162" s="8"/>
      <c r="Y162" s="8"/>
      <c r="Z162" s="8"/>
      <c r="AA162" s="8"/>
      <c r="AB162" s="8"/>
      <c r="AC162" s="8"/>
      <c r="AD162" s="8"/>
      <c r="AE162" s="8"/>
    </row>
    <row r="163" spans="1:31" x14ac:dyDescent="0.25">
      <c r="A163" s="8"/>
      <c r="B163" s="8"/>
      <c r="C163" s="8"/>
      <c r="D163" s="8"/>
      <c r="E163" s="8"/>
      <c r="F163" s="8"/>
      <c r="G163" s="8"/>
      <c r="H163" s="8"/>
      <c r="I163" s="8"/>
      <c r="J163" s="8"/>
      <c r="K163" s="8"/>
      <c r="L163" s="8"/>
      <c r="T163" s="8"/>
      <c r="U163" s="8"/>
      <c r="V163" s="8"/>
      <c r="W163" s="8"/>
      <c r="X163" s="8"/>
      <c r="Y163" s="8"/>
      <c r="Z163" s="8"/>
      <c r="AA163" s="8"/>
      <c r="AB163" s="8"/>
      <c r="AC163" s="8"/>
      <c r="AD163" s="8"/>
      <c r="AE163" s="8"/>
    </row>
    <row r="164" spans="1:31" x14ac:dyDescent="0.25">
      <c r="A164" s="8"/>
      <c r="B164" s="8"/>
      <c r="C164" s="8"/>
      <c r="D164" s="8"/>
      <c r="E164" s="8"/>
      <c r="F164" s="8"/>
      <c r="G164" s="8"/>
      <c r="H164" s="8"/>
      <c r="I164" s="8"/>
      <c r="J164" s="8"/>
      <c r="K164" s="8"/>
      <c r="L164" s="8"/>
      <c r="T164" s="8"/>
      <c r="U164" s="8"/>
      <c r="V164" s="8"/>
      <c r="W164" s="8"/>
      <c r="X164" s="8"/>
      <c r="Y164" s="8"/>
      <c r="Z164" s="8"/>
      <c r="AA164" s="8"/>
      <c r="AB164" s="8"/>
      <c r="AC164" s="8"/>
      <c r="AD164" s="8"/>
      <c r="AE164" s="8"/>
    </row>
    <row r="165" spans="1:31" x14ac:dyDescent="0.25">
      <c r="A165" s="8"/>
      <c r="B165" s="8"/>
      <c r="C165" s="8"/>
      <c r="D165" s="8"/>
      <c r="E165" s="8"/>
      <c r="F165" s="8"/>
      <c r="G165" s="8"/>
      <c r="H165" s="8"/>
      <c r="I165" s="8"/>
      <c r="J165" s="8"/>
      <c r="K165" s="8"/>
      <c r="L165" s="8"/>
      <c r="T165" s="8"/>
      <c r="U165" s="8"/>
      <c r="V165" s="8"/>
      <c r="W165" s="8"/>
      <c r="X165" s="8"/>
      <c r="Y165" s="8"/>
      <c r="Z165" s="8"/>
      <c r="AA165" s="8"/>
      <c r="AB165" s="8"/>
      <c r="AC165" s="8"/>
      <c r="AD165" s="8"/>
      <c r="AE165" s="8"/>
    </row>
    <row r="166" spans="1:31" x14ac:dyDescent="0.25">
      <c r="A166" s="8"/>
      <c r="B166" s="8"/>
      <c r="C166" s="8"/>
      <c r="D166" s="8"/>
      <c r="E166" s="8"/>
      <c r="F166" s="8"/>
      <c r="G166" s="8"/>
      <c r="H166" s="8"/>
      <c r="I166" s="8"/>
      <c r="J166" s="8"/>
      <c r="K166" s="8"/>
      <c r="L166" s="8"/>
      <c r="T166" s="8"/>
      <c r="U166" s="8"/>
      <c r="V166" s="8"/>
      <c r="W166" s="8"/>
      <c r="X166" s="8"/>
      <c r="Y166" s="8"/>
      <c r="Z166" s="8"/>
      <c r="AA166" s="8"/>
      <c r="AB166" s="8"/>
      <c r="AC166" s="8"/>
      <c r="AD166" s="8"/>
      <c r="AE166" s="8"/>
    </row>
    <row r="167" spans="1:31" x14ac:dyDescent="0.25">
      <c r="A167" s="8"/>
      <c r="B167" s="8"/>
      <c r="C167" s="8"/>
      <c r="D167" s="8"/>
      <c r="E167" s="8"/>
      <c r="F167" s="8"/>
      <c r="G167" s="8"/>
      <c r="H167" s="8"/>
      <c r="I167" s="8"/>
      <c r="J167" s="8"/>
      <c r="K167" s="8"/>
      <c r="L167" s="8"/>
      <c r="T167" s="8"/>
      <c r="U167" s="8"/>
      <c r="V167" s="8"/>
      <c r="W167" s="8"/>
      <c r="X167" s="8"/>
      <c r="Y167" s="8"/>
      <c r="Z167" s="8"/>
      <c r="AA167" s="8"/>
      <c r="AB167" s="8"/>
      <c r="AC167" s="8"/>
      <c r="AD167" s="8"/>
      <c r="AE167" s="8"/>
    </row>
    <row r="168" spans="1:31" x14ac:dyDescent="0.25">
      <c r="A168" s="8"/>
      <c r="B168" s="8"/>
      <c r="C168" s="8"/>
      <c r="D168" s="8"/>
      <c r="E168" s="8"/>
      <c r="F168" s="8"/>
      <c r="G168" s="8"/>
      <c r="H168" s="8"/>
      <c r="I168" s="8"/>
      <c r="J168" s="8"/>
      <c r="K168" s="8"/>
      <c r="L168" s="8"/>
      <c r="T168" s="8"/>
      <c r="U168" s="8"/>
      <c r="V168" s="8"/>
      <c r="W168" s="8"/>
      <c r="X168" s="8"/>
      <c r="Y168" s="8"/>
      <c r="Z168" s="8"/>
      <c r="AA168" s="8"/>
      <c r="AB168" s="8"/>
      <c r="AC168" s="8"/>
      <c r="AD168" s="8"/>
      <c r="AE168" s="8"/>
    </row>
    <row r="169" spans="1:31" x14ac:dyDescent="0.25">
      <c r="A169" s="8"/>
      <c r="B169" s="8"/>
      <c r="C169" s="8"/>
      <c r="D169" s="8"/>
      <c r="E169" s="8"/>
      <c r="F169" s="8"/>
      <c r="G169" s="8"/>
      <c r="H169" s="8"/>
      <c r="I169" s="8"/>
      <c r="J169" s="8"/>
      <c r="K169" s="8"/>
      <c r="L169" s="8"/>
      <c r="T169" s="8"/>
      <c r="U169" s="8"/>
      <c r="V169" s="8"/>
      <c r="W169" s="8"/>
      <c r="X169" s="8"/>
      <c r="Y169" s="8"/>
      <c r="Z169" s="8"/>
      <c r="AA169" s="8"/>
      <c r="AB169" s="8"/>
      <c r="AC169" s="8"/>
      <c r="AD169" s="8"/>
      <c r="AE169" s="8"/>
    </row>
    <row r="170" spans="1:31" x14ac:dyDescent="0.25">
      <c r="A170" s="8"/>
      <c r="B170" s="8"/>
      <c r="C170" s="8"/>
      <c r="D170" s="8"/>
      <c r="E170" s="8"/>
      <c r="F170" s="8"/>
      <c r="G170" s="8"/>
      <c r="H170" s="8"/>
      <c r="I170" s="8"/>
      <c r="J170" s="8"/>
      <c r="K170" s="8"/>
      <c r="L170" s="8"/>
      <c r="T170" s="8"/>
      <c r="U170" s="8"/>
      <c r="V170" s="8"/>
      <c r="W170" s="8"/>
      <c r="X170" s="8"/>
      <c r="Y170" s="8"/>
      <c r="Z170" s="8"/>
      <c r="AA170" s="8"/>
      <c r="AB170" s="8"/>
      <c r="AC170" s="8"/>
      <c r="AD170" s="8"/>
      <c r="AE170" s="8"/>
    </row>
    <row r="171" spans="1:31" x14ac:dyDescent="0.25">
      <c r="A171" s="8"/>
      <c r="B171" s="8"/>
      <c r="C171" s="8"/>
      <c r="D171" s="8"/>
      <c r="E171" s="8"/>
      <c r="F171" s="8"/>
      <c r="G171" s="8"/>
      <c r="H171" s="8"/>
      <c r="I171" s="8"/>
      <c r="J171" s="8"/>
      <c r="K171" s="8"/>
      <c r="L171" s="8"/>
      <c r="T171" s="8"/>
      <c r="U171" s="8"/>
      <c r="V171" s="8"/>
      <c r="W171" s="8"/>
      <c r="X171" s="8"/>
      <c r="Y171" s="8"/>
      <c r="Z171" s="8"/>
      <c r="AA171" s="8"/>
      <c r="AB171" s="8"/>
      <c r="AC171" s="8"/>
      <c r="AD171" s="8"/>
      <c r="AE171" s="8"/>
    </row>
    <row r="172" spans="1:31" x14ac:dyDescent="0.25">
      <c r="A172" s="8"/>
      <c r="B172" s="8"/>
      <c r="C172" s="8"/>
      <c r="D172" s="8"/>
      <c r="E172" s="8"/>
      <c r="F172" s="8"/>
      <c r="G172" s="8"/>
      <c r="H172" s="8"/>
      <c r="I172" s="8"/>
      <c r="J172" s="8"/>
      <c r="K172" s="8"/>
      <c r="L172" s="8"/>
      <c r="T172" s="8"/>
      <c r="U172" s="8"/>
      <c r="V172" s="8"/>
      <c r="W172" s="8"/>
      <c r="X172" s="8"/>
      <c r="Y172" s="8"/>
      <c r="Z172" s="8"/>
      <c r="AA172" s="8"/>
      <c r="AB172" s="8"/>
      <c r="AC172" s="8"/>
      <c r="AD172" s="8"/>
      <c r="AE172" s="8"/>
    </row>
    <row r="173" spans="1:31" x14ac:dyDescent="0.25">
      <c r="A173" s="8"/>
      <c r="B173" s="8"/>
      <c r="C173" s="8"/>
      <c r="D173" s="8"/>
      <c r="E173" s="8"/>
      <c r="F173" s="8"/>
      <c r="G173" s="8"/>
      <c r="H173" s="8"/>
      <c r="I173" s="8"/>
      <c r="J173" s="8"/>
      <c r="K173" s="8"/>
      <c r="L173" s="8"/>
      <c r="T173" s="8"/>
      <c r="U173" s="8"/>
      <c r="V173" s="8"/>
      <c r="W173" s="8"/>
      <c r="X173" s="8"/>
      <c r="Y173" s="8"/>
      <c r="Z173" s="8"/>
      <c r="AA173" s="8"/>
      <c r="AB173" s="8"/>
      <c r="AC173" s="8"/>
      <c r="AD173" s="8"/>
      <c r="AE173" s="8"/>
    </row>
    <row r="174" spans="1:31" x14ac:dyDescent="0.25">
      <c r="A174" s="8"/>
      <c r="B174" s="8"/>
      <c r="C174" s="8"/>
      <c r="D174" s="8"/>
      <c r="E174" s="8"/>
      <c r="F174" s="8"/>
      <c r="G174" s="8"/>
      <c r="H174" s="8"/>
      <c r="I174" s="8"/>
      <c r="J174" s="8"/>
      <c r="K174" s="8"/>
      <c r="L174" s="8"/>
      <c r="T174" s="8"/>
      <c r="U174" s="8"/>
      <c r="V174" s="8"/>
      <c r="W174" s="8"/>
      <c r="X174" s="8"/>
      <c r="Y174" s="8"/>
      <c r="Z174" s="8"/>
      <c r="AA174" s="8"/>
      <c r="AB174" s="8"/>
      <c r="AC174" s="8"/>
      <c r="AD174" s="8"/>
      <c r="AE174" s="8"/>
    </row>
    <row r="175" spans="1:31" x14ac:dyDescent="0.25">
      <c r="A175" s="8"/>
      <c r="B175" s="8"/>
      <c r="C175" s="8"/>
      <c r="D175" s="8"/>
      <c r="E175" s="8"/>
      <c r="F175" s="8"/>
      <c r="G175" s="8"/>
      <c r="H175" s="8"/>
      <c r="I175" s="8"/>
      <c r="J175" s="8"/>
      <c r="K175" s="8"/>
      <c r="L175" s="8"/>
      <c r="T175" s="8"/>
      <c r="U175" s="8"/>
      <c r="V175" s="8"/>
      <c r="W175" s="8"/>
      <c r="X175" s="8"/>
      <c r="Y175" s="8"/>
      <c r="Z175" s="8"/>
      <c r="AA175" s="8"/>
      <c r="AB175" s="8"/>
      <c r="AC175" s="8"/>
      <c r="AD175" s="8"/>
      <c r="AE175" s="8"/>
    </row>
    <row r="176" spans="1:31" x14ac:dyDescent="0.25">
      <c r="A176" s="8"/>
      <c r="B176" s="8"/>
      <c r="C176" s="8"/>
      <c r="D176" s="8"/>
      <c r="E176" s="8"/>
      <c r="F176" s="8"/>
      <c r="G176" s="8"/>
      <c r="H176" s="8"/>
      <c r="I176" s="8"/>
      <c r="J176" s="8"/>
      <c r="K176" s="8"/>
      <c r="L176" s="8"/>
      <c r="T176" s="8"/>
      <c r="U176" s="8"/>
      <c r="V176" s="8"/>
      <c r="W176" s="8"/>
      <c r="X176" s="8"/>
      <c r="Y176" s="8"/>
      <c r="Z176" s="8"/>
      <c r="AA176" s="8"/>
      <c r="AB176" s="8"/>
      <c r="AC176" s="8"/>
      <c r="AD176" s="8"/>
      <c r="AE176" s="8"/>
    </row>
    <row r="177" spans="1:31" x14ac:dyDescent="0.25">
      <c r="A177" s="8"/>
      <c r="B177" s="8"/>
      <c r="C177" s="8"/>
      <c r="D177" s="8"/>
      <c r="E177" s="8"/>
      <c r="F177" s="8"/>
      <c r="G177" s="8"/>
      <c r="H177" s="8"/>
      <c r="I177" s="8"/>
      <c r="J177" s="8"/>
      <c r="K177" s="8"/>
      <c r="L177" s="8"/>
      <c r="T177" s="8"/>
      <c r="U177" s="8"/>
      <c r="V177" s="8"/>
      <c r="W177" s="8"/>
      <c r="X177" s="8"/>
      <c r="Y177" s="8"/>
      <c r="Z177" s="8"/>
      <c r="AA177" s="8"/>
      <c r="AB177" s="8"/>
      <c r="AC177" s="8"/>
      <c r="AD177" s="8"/>
      <c r="AE177" s="8"/>
    </row>
    <row r="178" spans="1:31" x14ac:dyDescent="0.25">
      <c r="A178" s="8"/>
      <c r="B178" s="8"/>
      <c r="C178" s="8"/>
      <c r="D178" s="8"/>
      <c r="E178" s="8"/>
      <c r="F178" s="8"/>
      <c r="G178" s="8"/>
      <c r="H178" s="8"/>
      <c r="I178" s="8"/>
      <c r="J178" s="8"/>
      <c r="K178" s="8"/>
      <c r="L178" s="8"/>
      <c r="T178" s="8"/>
      <c r="U178" s="8"/>
      <c r="V178" s="8"/>
      <c r="W178" s="8"/>
      <c r="X178" s="8"/>
      <c r="Y178" s="8"/>
      <c r="Z178" s="8"/>
      <c r="AA178" s="8"/>
      <c r="AB178" s="8"/>
      <c r="AC178" s="8"/>
      <c r="AD178" s="8"/>
      <c r="AE178" s="8"/>
    </row>
    <row r="179" spans="1:31" x14ac:dyDescent="0.25">
      <c r="A179" s="8"/>
      <c r="B179" s="8"/>
      <c r="C179" s="8"/>
      <c r="D179" s="8"/>
      <c r="E179" s="8"/>
      <c r="F179" s="8"/>
      <c r="G179" s="8"/>
      <c r="H179" s="8"/>
      <c r="I179" s="8"/>
      <c r="J179" s="8"/>
      <c r="K179" s="8"/>
      <c r="L179" s="8"/>
      <c r="T179" s="8"/>
      <c r="U179" s="8"/>
      <c r="V179" s="8"/>
      <c r="W179" s="8"/>
      <c r="X179" s="8"/>
      <c r="Y179" s="8"/>
      <c r="Z179" s="8"/>
      <c r="AA179" s="8"/>
      <c r="AB179" s="8"/>
      <c r="AC179" s="8"/>
      <c r="AD179" s="8"/>
      <c r="AE179" s="8"/>
    </row>
    <row r="180" spans="1:31" x14ac:dyDescent="0.25">
      <c r="A180" s="8"/>
      <c r="B180" s="8"/>
      <c r="C180" s="8"/>
      <c r="D180" s="8"/>
      <c r="E180" s="8"/>
      <c r="F180" s="8"/>
      <c r="G180" s="8"/>
      <c r="H180" s="8"/>
      <c r="I180" s="8"/>
      <c r="J180" s="8"/>
      <c r="K180" s="8"/>
      <c r="L180" s="8"/>
      <c r="T180" s="8"/>
      <c r="U180" s="8"/>
      <c r="V180" s="8"/>
      <c r="W180" s="8"/>
      <c r="X180" s="8"/>
      <c r="Y180" s="8"/>
      <c r="Z180" s="8"/>
      <c r="AA180" s="8"/>
      <c r="AB180" s="8"/>
      <c r="AC180" s="8"/>
      <c r="AD180" s="8"/>
      <c r="AE180" s="8"/>
    </row>
    <row r="181" spans="1:31" x14ac:dyDescent="0.25">
      <c r="A181" s="8"/>
      <c r="B181" s="8"/>
      <c r="C181" s="8"/>
      <c r="D181" s="8"/>
      <c r="E181" s="8"/>
      <c r="F181" s="8"/>
      <c r="G181" s="8"/>
      <c r="H181" s="8"/>
      <c r="I181" s="8"/>
      <c r="J181" s="8"/>
      <c r="K181" s="8"/>
      <c r="L181" s="8"/>
      <c r="T181" s="8"/>
      <c r="U181" s="8"/>
      <c r="V181" s="8"/>
      <c r="W181" s="8"/>
      <c r="X181" s="8"/>
      <c r="Y181" s="8"/>
      <c r="Z181" s="8"/>
      <c r="AA181" s="8"/>
      <c r="AB181" s="8"/>
      <c r="AC181" s="8"/>
      <c r="AD181" s="8"/>
      <c r="AE181" s="8"/>
    </row>
    <row r="182" spans="1:31" x14ac:dyDescent="0.25">
      <c r="A182" s="8"/>
      <c r="B182" s="8"/>
      <c r="C182" s="8"/>
      <c r="D182" s="8"/>
      <c r="E182" s="8"/>
      <c r="F182" s="8"/>
      <c r="G182" s="8"/>
      <c r="H182" s="8"/>
      <c r="I182" s="8"/>
      <c r="J182" s="8"/>
      <c r="K182" s="8"/>
      <c r="L182" s="8"/>
      <c r="T182" s="8"/>
      <c r="U182" s="8"/>
      <c r="V182" s="8"/>
      <c r="W182" s="8"/>
      <c r="X182" s="8"/>
      <c r="Y182" s="8"/>
      <c r="Z182" s="8"/>
      <c r="AA182" s="8"/>
      <c r="AB182" s="8"/>
      <c r="AC182" s="8"/>
      <c r="AD182" s="8"/>
      <c r="AE182" s="8"/>
    </row>
    <row r="183" spans="1:31" x14ac:dyDescent="0.25">
      <c r="A183" s="8"/>
      <c r="B183" s="8"/>
      <c r="C183" s="8"/>
      <c r="D183" s="8"/>
      <c r="E183" s="8"/>
      <c r="F183" s="8"/>
      <c r="G183" s="8"/>
      <c r="H183" s="8"/>
      <c r="I183" s="8"/>
      <c r="J183" s="8"/>
      <c r="K183" s="8"/>
      <c r="L183" s="8"/>
      <c r="T183" s="8"/>
      <c r="U183" s="8"/>
      <c r="V183" s="8"/>
      <c r="W183" s="8"/>
      <c r="X183" s="8"/>
      <c r="Y183" s="8"/>
      <c r="Z183" s="8"/>
      <c r="AA183" s="8"/>
      <c r="AB183" s="8"/>
      <c r="AC183" s="8"/>
      <c r="AD183" s="8"/>
      <c r="AE183" s="8"/>
    </row>
    <row r="184" spans="1:31" x14ac:dyDescent="0.25">
      <c r="A184" s="8"/>
      <c r="B184" s="8"/>
      <c r="C184" s="8"/>
      <c r="D184" s="8"/>
      <c r="E184" s="8"/>
      <c r="F184" s="8"/>
      <c r="G184" s="8"/>
      <c r="H184" s="8"/>
      <c r="I184" s="8"/>
      <c r="J184" s="8"/>
      <c r="K184" s="8"/>
      <c r="L184" s="8"/>
      <c r="T184" s="8"/>
      <c r="U184" s="8"/>
      <c r="V184" s="8"/>
      <c r="W184" s="8"/>
      <c r="X184" s="8"/>
      <c r="Y184" s="8"/>
      <c r="Z184" s="8"/>
      <c r="AA184" s="8"/>
      <c r="AB184" s="8"/>
      <c r="AC184" s="8"/>
      <c r="AD184" s="8"/>
      <c r="AE184" s="8"/>
    </row>
    <row r="185" spans="1:31" x14ac:dyDescent="0.25">
      <c r="A185" s="8"/>
      <c r="B185" s="8"/>
      <c r="C185" s="8"/>
      <c r="D185" s="8"/>
      <c r="E185" s="8"/>
      <c r="F185" s="8"/>
      <c r="G185" s="8"/>
      <c r="H185" s="8"/>
      <c r="I185" s="8"/>
      <c r="J185" s="8"/>
      <c r="K185" s="8"/>
      <c r="L185" s="8"/>
      <c r="T185" s="8"/>
      <c r="U185" s="8"/>
      <c r="V185" s="8"/>
      <c r="W185" s="8"/>
      <c r="X185" s="8"/>
      <c r="Y185" s="8"/>
      <c r="Z185" s="8"/>
      <c r="AA185" s="8"/>
      <c r="AB185" s="8"/>
      <c r="AC185" s="8"/>
      <c r="AD185" s="8"/>
      <c r="AE185" s="8"/>
    </row>
    <row r="186" spans="1:31" x14ac:dyDescent="0.25">
      <c r="A186" s="8"/>
      <c r="B186" s="8"/>
      <c r="C186" s="8"/>
      <c r="D186" s="8"/>
      <c r="E186" s="8"/>
      <c r="F186" s="8"/>
      <c r="G186" s="8"/>
      <c r="H186" s="8"/>
      <c r="I186" s="8"/>
      <c r="J186" s="8"/>
      <c r="K186" s="8"/>
      <c r="L186" s="8"/>
      <c r="T186" s="8"/>
      <c r="U186" s="8"/>
      <c r="V186" s="8"/>
      <c r="W186" s="8"/>
      <c r="X186" s="8"/>
      <c r="Y186" s="8"/>
      <c r="Z186" s="8"/>
      <c r="AA186" s="8"/>
      <c r="AB186" s="8"/>
      <c r="AC186" s="8"/>
      <c r="AD186" s="8"/>
      <c r="AE186" s="8"/>
    </row>
    <row r="187" spans="1:31" x14ac:dyDescent="0.25">
      <c r="A187" s="8"/>
      <c r="B187" s="8"/>
      <c r="C187" s="8"/>
      <c r="D187" s="8"/>
      <c r="E187" s="8"/>
      <c r="F187" s="8"/>
      <c r="G187" s="8"/>
      <c r="H187" s="8"/>
      <c r="I187" s="8"/>
      <c r="J187" s="8"/>
      <c r="K187" s="8"/>
      <c r="L187" s="8"/>
      <c r="T187" s="8"/>
      <c r="U187" s="8"/>
      <c r="V187" s="8"/>
      <c r="W187" s="8"/>
      <c r="X187" s="8"/>
      <c r="Y187" s="8"/>
      <c r="Z187" s="8"/>
      <c r="AA187" s="8"/>
      <c r="AB187" s="8"/>
      <c r="AC187" s="8"/>
      <c r="AD187" s="8"/>
      <c r="AE187" s="8"/>
    </row>
    <row r="188" spans="1:31" x14ac:dyDescent="0.25">
      <c r="A188" s="8"/>
      <c r="B188" s="8"/>
      <c r="C188" s="8"/>
      <c r="D188" s="8"/>
      <c r="E188" s="8"/>
      <c r="F188" s="8"/>
      <c r="G188" s="8"/>
      <c r="H188" s="8"/>
      <c r="I188" s="8"/>
      <c r="J188" s="8"/>
      <c r="K188" s="8"/>
      <c r="L188" s="8"/>
      <c r="T188" s="8"/>
      <c r="U188" s="8"/>
      <c r="V188" s="8"/>
      <c r="W188" s="8"/>
      <c r="X188" s="8"/>
      <c r="Y188" s="8"/>
      <c r="Z188" s="8"/>
      <c r="AA188" s="8"/>
      <c r="AB188" s="8"/>
      <c r="AC188" s="8"/>
      <c r="AD188" s="8"/>
      <c r="AE188" s="8"/>
    </row>
    <row r="189" spans="1:31" x14ac:dyDescent="0.25">
      <c r="A189" s="8"/>
      <c r="B189" s="8"/>
      <c r="C189" s="8"/>
      <c r="D189" s="8"/>
      <c r="E189" s="8"/>
      <c r="F189" s="8"/>
      <c r="G189" s="8"/>
      <c r="H189" s="8"/>
      <c r="I189" s="8"/>
      <c r="J189" s="8"/>
      <c r="K189" s="8"/>
      <c r="L189" s="8"/>
      <c r="T189" s="8"/>
      <c r="U189" s="8"/>
      <c r="V189" s="8"/>
      <c r="W189" s="8"/>
      <c r="X189" s="8"/>
      <c r="Y189" s="8"/>
      <c r="Z189" s="8"/>
      <c r="AA189" s="8"/>
      <c r="AB189" s="8"/>
      <c r="AC189" s="8"/>
      <c r="AD189" s="8"/>
      <c r="AE189" s="8"/>
    </row>
    <row r="190" spans="1:31" x14ac:dyDescent="0.25">
      <c r="A190" s="8"/>
      <c r="B190" s="8"/>
      <c r="C190" s="8"/>
      <c r="D190" s="8"/>
      <c r="E190" s="8"/>
      <c r="F190" s="8"/>
      <c r="G190" s="8"/>
      <c r="H190" s="8"/>
      <c r="I190" s="8"/>
      <c r="J190" s="8"/>
      <c r="K190" s="8"/>
      <c r="L190" s="8"/>
      <c r="T190" s="8"/>
      <c r="U190" s="8"/>
      <c r="V190" s="8"/>
      <c r="W190" s="8"/>
      <c r="X190" s="8"/>
      <c r="Y190" s="8"/>
      <c r="Z190" s="8"/>
      <c r="AA190" s="8"/>
      <c r="AB190" s="8"/>
      <c r="AC190" s="8"/>
      <c r="AD190" s="8"/>
      <c r="AE190" s="8"/>
    </row>
    <row r="191" spans="1:31" x14ac:dyDescent="0.25">
      <c r="A191" s="8"/>
      <c r="B191" s="8"/>
      <c r="C191" s="8"/>
      <c r="D191" s="8"/>
      <c r="E191" s="8"/>
      <c r="F191" s="8"/>
      <c r="G191" s="8"/>
      <c r="H191" s="8"/>
      <c r="I191" s="8"/>
      <c r="J191" s="8"/>
      <c r="K191" s="8"/>
      <c r="L191" s="8"/>
      <c r="T191" s="8"/>
      <c r="U191" s="8"/>
      <c r="V191" s="8"/>
      <c r="W191" s="8"/>
      <c r="X191" s="8"/>
      <c r="Y191" s="8"/>
      <c r="Z191" s="8"/>
      <c r="AA191" s="8"/>
      <c r="AB191" s="8"/>
      <c r="AC191" s="8"/>
      <c r="AD191" s="8"/>
      <c r="AE191" s="8"/>
    </row>
    <row r="192" spans="1:31" x14ac:dyDescent="0.25">
      <c r="A192" s="8"/>
      <c r="B192" s="8"/>
      <c r="C192" s="8"/>
      <c r="D192" s="8"/>
      <c r="E192" s="8"/>
      <c r="F192" s="8"/>
      <c r="G192" s="8"/>
      <c r="H192" s="8"/>
      <c r="I192" s="8"/>
      <c r="J192" s="8"/>
      <c r="K192" s="8"/>
      <c r="L192" s="8"/>
      <c r="T192" s="8"/>
      <c r="U192" s="8"/>
      <c r="V192" s="8"/>
      <c r="W192" s="8"/>
      <c r="X192" s="8"/>
      <c r="Y192" s="8"/>
      <c r="Z192" s="8"/>
      <c r="AA192" s="8"/>
      <c r="AB192" s="8"/>
      <c r="AC192" s="8"/>
      <c r="AD192" s="8"/>
      <c r="AE192" s="8"/>
    </row>
    <row r="193" spans="1:31" x14ac:dyDescent="0.25">
      <c r="A193" s="8"/>
      <c r="B193" s="8"/>
      <c r="C193" s="8"/>
      <c r="D193" s="8"/>
      <c r="E193" s="8"/>
      <c r="F193" s="8"/>
      <c r="G193" s="8"/>
      <c r="H193" s="8"/>
      <c r="I193" s="8"/>
      <c r="J193" s="8"/>
      <c r="K193" s="8"/>
      <c r="L193" s="8"/>
      <c r="T193" s="8"/>
      <c r="U193" s="8"/>
      <c r="V193" s="8"/>
      <c r="W193" s="8"/>
      <c r="X193" s="8"/>
      <c r="Y193" s="8"/>
      <c r="Z193" s="8"/>
      <c r="AA193" s="8"/>
      <c r="AB193" s="8"/>
      <c r="AC193" s="8"/>
      <c r="AD193" s="8"/>
      <c r="AE193" s="8"/>
    </row>
    <row r="194" spans="1:31" x14ac:dyDescent="0.25">
      <c r="A194" s="8"/>
      <c r="B194" s="8"/>
      <c r="C194" s="8"/>
      <c r="D194" s="8"/>
      <c r="E194" s="8"/>
      <c r="F194" s="8"/>
      <c r="G194" s="8"/>
      <c r="H194" s="8"/>
      <c r="I194" s="8"/>
      <c r="J194" s="8"/>
      <c r="K194" s="8"/>
      <c r="L194" s="8"/>
      <c r="T194" s="8"/>
      <c r="U194" s="8"/>
      <c r="V194" s="8"/>
      <c r="W194" s="8"/>
      <c r="X194" s="8"/>
      <c r="Y194" s="8"/>
      <c r="Z194" s="8"/>
      <c r="AA194" s="8"/>
      <c r="AB194" s="8"/>
      <c r="AC194" s="8"/>
      <c r="AD194" s="8"/>
      <c r="AE194" s="8"/>
    </row>
    <row r="195" spans="1:31" x14ac:dyDescent="0.25">
      <c r="A195" s="8"/>
      <c r="B195" s="8"/>
      <c r="C195" s="8"/>
      <c r="D195" s="8"/>
      <c r="E195" s="8"/>
      <c r="F195" s="8"/>
      <c r="G195" s="8"/>
      <c r="H195" s="8"/>
      <c r="I195" s="8"/>
      <c r="J195" s="8"/>
      <c r="K195" s="8"/>
      <c r="L195" s="8"/>
      <c r="T195" s="8"/>
      <c r="U195" s="8"/>
      <c r="V195" s="8"/>
      <c r="W195" s="8"/>
      <c r="X195" s="8"/>
      <c r="Y195" s="8"/>
      <c r="Z195" s="8"/>
      <c r="AA195" s="8"/>
      <c r="AB195" s="8"/>
      <c r="AC195" s="8"/>
      <c r="AD195" s="8"/>
      <c r="AE195" s="8"/>
    </row>
    <row r="196" spans="1:31" x14ac:dyDescent="0.25">
      <c r="A196" s="8"/>
      <c r="B196" s="8"/>
      <c r="C196" s="8"/>
      <c r="D196" s="8"/>
      <c r="E196" s="8"/>
      <c r="F196" s="8"/>
      <c r="G196" s="8"/>
      <c r="H196" s="8"/>
      <c r="I196" s="8"/>
      <c r="J196" s="8"/>
      <c r="K196" s="8"/>
      <c r="L196" s="8"/>
      <c r="T196" s="8"/>
      <c r="U196" s="8"/>
      <c r="V196" s="8"/>
      <c r="W196" s="8"/>
      <c r="X196" s="8"/>
      <c r="Y196" s="8"/>
      <c r="Z196" s="8"/>
      <c r="AA196" s="8"/>
      <c r="AB196" s="8"/>
      <c r="AC196" s="8"/>
      <c r="AD196" s="8"/>
      <c r="AE196" s="8"/>
    </row>
    <row r="197" spans="1:31" x14ac:dyDescent="0.25">
      <c r="A197" s="8"/>
      <c r="B197" s="8"/>
      <c r="C197" s="8"/>
      <c r="D197" s="8"/>
      <c r="E197" s="8"/>
      <c r="F197" s="8"/>
      <c r="G197" s="8"/>
      <c r="H197" s="8"/>
      <c r="I197" s="8"/>
      <c r="J197" s="8"/>
      <c r="K197" s="8"/>
      <c r="L197" s="8"/>
      <c r="T197" s="8"/>
      <c r="U197" s="8"/>
      <c r="V197" s="8"/>
      <c r="W197" s="8"/>
      <c r="X197" s="8"/>
      <c r="Y197" s="8"/>
      <c r="Z197" s="8"/>
      <c r="AA197" s="8"/>
      <c r="AB197" s="8"/>
      <c r="AC197" s="8"/>
      <c r="AD197" s="8"/>
      <c r="AE197" s="8"/>
    </row>
    <row r="198" spans="1:31" x14ac:dyDescent="0.25">
      <c r="A198" s="8"/>
      <c r="B198" s="8"/>
      <c r="C198" s="8"/>
      <c r="D198" s="8"/>
      <c r="E198" s="8"/>
      <c r="F198" s="8"/>
      <c r="G198" s="8"/>
      <c r="H198" s="8"/>
      <c r="I198" s="8"/>
      <c r="J198" s="8"/>
      <c r="K198" s="8"/>
      <c r="L198" s="8"/>
      <c r="T198" s="8"/>
      <c r="U198" s="8"/>
      <c r="V198" s="8"/>
      <c r="W198" s="8"/>
      <c r="X198" s="8"/>
      <c r="Y198" s="8"/>
      <c r="Z198" s="8"/>
      <c r="AA198" s="8"/>
      <c r="AB198" s="8"/>
      <c r="AC198" s="8"/>
      <c r="AD198" s="8"/>
      <c r="AE198" s="8"/>
    </row>
    <row r="199" spans="1:31" x14ac:dyDescent="0.25">
      <c r="A199" s="8"/>
      <c r="B199" s="8"/>
      <c r="C199" s="8"/>
      <c r="D199" s="8"/>
      <c r="E199" s="8"/>
      <c r="F199" s="8"/>
      <c r="G199" s="8"/>
      <c r="H199" s="8"/>
      <c r="I199" s="8"/>
      <c r="J199" s="8"/>
      <c r="K199" s="8"/>
      <c r="L199" s="8"/>
      <c r="T199" s="8"/>
      <c r="U199" s="8"/>
      <c r="V199" s="8"/>
      <c r="W199" s="8"/>
      <c r="X199" s="8"/>
      <c r="Y199" s="8"/>
      <c r="Z199" s="8"/>
      <c r="AA199" s="8"/>
      <c r="AB199" s="8"/>
      <c r="AC199" s="8"/>
      <c r="AD199" s="8"/>
      <c r="AE199" s="8"/>
    </row>
    <row r="200" spans="1:31" x14ac:dyDescent="0.25">
      <c r="A200" s="8"/>
      <c r="B200" s="8"/>
      <c r="C200" s="8"/>
      <c r="D200" s="8"/>
      <c r="E200" s="8"/>
      <c r="F200" s="8"/>
      <c r="G200" s="8"/>
      <c r="H200" s="8"/>
      <c r="I200" s="8"/>
      <c r="J200" s="8"/>
      <c r="K200" s="8"/>
      <c r="L200" s="8"/>
      <c r="T200" s="8"/>
      <c r="U200" s="8"/>
      <c r="V200" s="8"/>
      <c r="W200" s="8"/>
      <c r="X200" s="8"/>
      <c r="Y200" s="8"/>
      <c r="Z200" s="8"/>
      <c r="AA200" s="8"/>
      <c r="AB200" s="8"/>
      <c r="AC200" s="8"/>
      <c r="AD200" s="8"/>
      <c r="AE200" s="8"/>
    </row>
    <row r="201" spans="1:31" x14ac:dyDescent="0.25">
      <c r="A201" s="8"/>
      <c r="B201" s="8"/>
      <c r="C201" s="8"/>
      <c r="D201" s="8"/>
      <c r="E201" s="8"/>
      <c r="F201" s="8"/>
      <c r="G201" s="8"/>
      <c r="H201" s="8"/>
      <c r="I201" s="8"/>
      <c r="J201" s="8"/>
      <c r="K201" s="8"/>
      <c r="L201" s="8"/>
      <c r="T201" s="8"/>
      <c r="U201" s="8"/>
      <c r="V201" s="8"/>
      <c r="W201" s="8"/>
      <c r="X201" s="8"/>
      <c r="Y201" s="8"/>
      <c r="Z201" s="8"/>
      <c r="AA201" s="8"/>
      <c r="AB201" s="8"/>
      <c r="AC201" s="8"/>
      <c r="AD201" s="8"/>
      <c r="AE201" s="8"/>
    </row>
    <row r="202" spans="1:31" x14ac:dyDescent="0.25">
      <c r="A202" s="8"/>
      <c r="B202" s="8"/>
      <c r="C202" s="8"/>
      <c r="D202" s="8"/>
      <c r="E202" s="8"/>
      <c r="F202" s="8"/>
      <c r="G202" s="8"/>
      <c r="H202" s="8"/>
      <c r="I202" s="8"/>
      <c r="J202" s="8"/>
      <c r="K202" s="8"/>
      <c r="L202" s="8"/>
      <c r="T202" s="8"/>
      <c r="U202" s="8"/>
      <c r="V202" s="8"/>
      <c r="W202" s="8"/>
      <c r="X202" s="8"/>
      <c r="Y202" s="8"/>
      <c r="Z202" s="8"/>
      <c r="AA202" s="8"/>
      <c r="AB202" s="8"/>
      <c r="AC202" s="8"/>
      <c r="AD202" s="8"/>
      <c r="AE202" s="8"/>
    </row>
    <row r="203" spans="1:31" x14ac:dyDescent="0.25">
      <c r="A203" s="8"/>
      <c r="B203" s="8"/>
      <c r="C203" s="8"/>
      <c r="D203" s="8"/>
      <c r="E203" s="8"/>
      <c r="F203" s="8"/>
      <c r="G203" s="8"/>
      <c r="H203" s="8"/>
      <c r="I203" s="8"/>
      <c r="J203" s="8"/>
      <c r="K203" s="8"/>
      <c r="L203" s="8"/>
      <c r="T203" s="8"/>
      <c r="U203" s="8"/>
      <c r="V203" s="8"/>
      <c r="W203" s="8"/>
      <c r="X203" s="8"/>
      <c r="Y203" s="8"/>
      <c r="Z203" s="8"/>
      <c r="AA203" s="8"/>
      <c r="AB203" s="8"/>
      <c r="AC203" s="8"/>
      <c r="AD203" s="8"/>
      <c r="AE203" s="8"/>
    </row>
    <row r="204" spans="1:31" x14ac:dyDescent="0.25">
      <c r="A204" s="8"/>
      <c r="B204" s="8"/>
      <c r="C204" s="8"/>
      <c r="D204" s="8"/>
      <c r="E204" s="8"/>
      <c r="F204" s="8"/>
      <c r="G204" s="8"/>
      <c r="H204" s="8"/>
      <c r="I204" s="8"/>
      <c r="J204" s="8"/>
      <c r="K204" s="8"/>
      <c r="L204" s="8"/>
      <c r="T204" s="8"/>
      <c r="U204" s="8"/>
      <c r="V204" s="8"/>
      <c r="W204" s="8"/>
      <c r="X204" s="8"/>
      <c r="Y204" s="8"/>
      <c r="Z204" s="8"/>
      <c r="AA204" s="8"/>
      <c r="AB204" s="8"/>
      <c r="AC204" s="8"/>
      <c r="AD204" s="8"/>
      <c r="AE204" s="8"/>
    </row>
    <row r="205" spans="1:31" x14ac:dyDescent="0.25">
      <c r="A205" s="8"/>
      <c r="B205" s="8"/>
      <c r="C205" s="8"/>
      <c r="D205" s="8"/>
      <c r="E205" s="8"/>
      <c r="F205" s="8"/>
      <c r="G205" s="8"/>
      <c r="H205" s="8"/>
      <c r="I205" s="8"/>
      <c r="J205" s="8"/>
      <c r="K205" s="8"/>
      <c r="L205" s="8"/>
      <c r="T205" s="8"/>
      <c r="U205" s="8"/>
      <c r="V205" s="8"/>
      <c r="W205" s="8"/>
      <c r="X205" s="8"/>
      <c r="Y205" s="8"/>
      <c r="Z205" s="8"/>
      <c r="AA205" s="8"/>
      <c r="AB205" s="8"/>
      <c r="AC205" s="8"/>
      <c r="AD205" s="8"/>
      <c r="AE205" s="8"/>
    </row>
    <row r="206" spans="1:31" x14ac:dyDescent="0.25">
      <c r="A206" s="8"/>
      <c r="B206" s="8"/>
      <c r="C206" s="8"/>
      <c r="D206" s="8"/>
      <c r="E206" s="8"/>
      <c r="F206" s="8"/>
      <c r="G206" s="8"/>
      <c r="H206" s="8"/>
      <c r="I206" s="8"/>
      <c r="J206" s="8"/>
      <c r="K206" s="8"/>
      <c r="L206" s="8"/>
      <c r="T206" s="8"/>
      <c r="U206" s="8"/>
      <c r="V206" s="8"/>
      <c r="W206" s="8"/>
      <c r="X206" s="8"/>
      <c r="Y206" s="8"/>
      <c r="Z206" s="8"/>
      <c r="AA206" s="8"/>
      <c r="AB206" s="8"/>
      <c r="AC206" s="8"/>
      <c r="AD206" s="8"/>
      <c r="AE206" s="8"/>
    </row>
    <row r="207" spans="1:31" x14ac:dyDescent="0.25">
      <c r="A207" s="8"/>
      <c r="B207" s="8"/>
      <c r="C207" s="8"/>
      <c r="D207" s="8"/>
      <c r="E207" s="8"/>
      <c r="F207" s="8"/>
      <c r="G207" s="8"/>
      <c r="H207" s="8"/>
      <c r="I207" s="8"/>
      <c r="J207" s="8"/>
      <c r="K207" s="8"/>
      <c r="L207" s="8"/>
      <c r="T207" s="8"/>
      <c r="U207" s="8"/>
      <c r="V207" s="8"/>
      <c r="W207" s="8"/>
      <c r="X207" s="8"/>
      <c r="Y207" s="8"/>
      <c r="Z207" s="8"/>
      <c r="AA207" s="8"/>
      <c r="AB207" s="8"/>
      <c r="AC207" s="8"/>
      <c r="AD207" s="8"/>
      <c r="AE207" s="8"/>
    </row>
    <row r="208" spans="1:31" x14ac:dyDescent="0.25">
      <c r="A208" s="8"/>
      <c r="B208" s="8"/>
      <c r="C208" s="8"/>
      <c r="D208" s="8"/>
      <c r="E208" s="8"/>
      <c r="F208" s="8"/>
      <c r="G208" s="8"/>
      <c r="H208" s="8"/>
      <c r="I208" s="8"/>
      <c r="J208" s="8"/>
      <c r="K208" s="8"/>
      <c r="L208" s="8"/>
      <c r="T208" s="8"/>
      <c r="U208" s="8"/>
      <c r="V208" s="8"/>
      <c r="W208" s="8"/>
      <c r="X208" s="8"/>
      <c r="Y208" s="8"/>
      <c r="Z208" s="8"/>
      <c r="AA208" s="8"/>
      <c r="AB208" s="8"/>
      <c r="AC208" s="8"/>
      <c r="AD208" s="8"/>
      <c r="AE208" s="8"/>
    </row>
    <row r="209" spans="1:31" x14ac:dyDescent="0.25">
      <c r="A209" s="8"/>
      <c r="B209" s="8"/>
      <c r="C209" s="8"/>
      <c r="D209" s="8"/>
      <c r="E209" s="8"/>
      <c r="F209" s="8"/>
      <c r="G209" s="8"/>
      <c r="H209" s="8"/>
      <c r="I209" s="8"/>
      <c r="J209" s="8"/>
      <c r="K209" s="8"/>
      <c r="L209" s="8"/>
      <c r="T209" s="8"/>
      <c r="U209" s="8"/>
      <c r="V209" s="8"/>
      <c r="W209" s="8"/>
      <c r="X209" s="8"/>
      <c r="Y209" s="8"/>
      <c r="Z209" s="8"/>
      <c r="AA209" s="8"/>
      <c r="AB209" s="8"/>
      <c r="AC209" s="8"/>
      <c r="AD209" s="8"/>
      <c r="AE209" s="8"/>
    </row>
    <row r="210" spans="1:31" x14ac:dyDescent="0.25">
      <c r="A210" s="8"/>
      <c r="B210" s="8"/>
      <c r="C210" s="8"/>
      <c r="D210" s="8"/>
      <c r="E210" s="8"/>
      <c r="F210" s="8"/>
      <c r="G210" s="8"/>
      <c r="H210" s="8"/>
      <c r="I210" s="8"/>
      <c r="J210" s="8"/>
      <c r="K210" s="8"/>
      <c r="L210" s="8"/>
      <c r="T210" s="8"/>
      <c r="U210" s="8"/>
      <c r="V210" s="8"/>
      <c r="W210" s="8"/>
      <c r="X210" s="8"/>
      <c r="Y210" s="8"/>
      <c r="Z210" s="8"/>
      <c r="AA210" s="8"/>
      <c r="AB210" s="8"/>
      <c r="AC210" s="8"/>
      <c r="AD210" s="8"/>
      <c r="AE210" s="8"/>
    </row>
    <row r="211" spans="1:31" x14ac:dyDescent="0.25">
      <c r="A211" s="8"/>
      <c r="B211" s="8"/>
      <c r="C211" s="8"/>
      <c r="D211" s="8"/>
      <c r="E211" s="8"/>
      <c r="F211" s="8"/>
      <c r="G211" s="8"/>
      <c r="H211" s="8"/>
      <c r="I211" s="8"/>
      <c r="J211" s="8"/>
      <c r="K211" s="8"/>
      <c r="L211" s="8"/>
      <c r="T211" s="8"/>
      <c r="U211" s="8"/>
      <c r="V211" s="8"/>
      <c r="W211" s="8"/>
      <c r="X211" s="8"/>
      <c r="Y211" s="8"/>
      <c r="Z211" s="8"/>
      <c r="AA211" s="8"/>
      <c r="AB211" s="8"/>
      <c r="AC211" s="8"/>
      <c r="AD211" s="8"/>
      <c r="AE211" s="8"/>
    </row>
    <row r="212" spans="1:31" x14ac:dyDescent="0.25">
      <c r="A212" s="8"/>
      <c r="B212" s="8"/>
      <c r="C212" s="8"/>
      <c r="D212" s="8"/>
      <c r="E212" s="8"/>
      <c r="F212" s="8"/>
      <c r="G212" s="8"/>
      <c r="H212" s="8"/>
      <c r="I212" s="8"/>
      <c r="J212" s="8"/>
      <c r="K212" s="8"/>
      <c r="L212" s="8"/>
      <c r="T212" s="8"/>
      <c r="U212" s="8"/>
      <c r="V212" s="8"/>
      <c r="W212" s="8"/>
      <c r="X212" s="8"/>
      <c r="Y212" s="8"/>
      <c r="Z212" s="8"/>
      <c r="AA212" s="8"/>
      <c r="AB212" s="8"/>
      <c r="AC212" s="8"/>
      <c r="AD212" s="8"/>
      <c r="AE212" s="8"/>
    </row>
    <row r="213" spans="1:31" x14ac:dyDescent="0.25">
      <c r="A213" s="8"/>
      <c r="B213" s="8"/>
      <c r="C213" s="8"/>
      <c r="D213" s="8"/>
      <c r="E213" s="8"/>
      <c r="F213" s="8"/>
      <c r="G213" s="8"/>
      <c r="H213" s="8"/>
      <c r="I213" s="8"/>
      <c r="J213" s="8"/>
      <c r="K213" s="8"/>
      <c r="L213" s="8"/>
      <c r="T213" s="8"/>
      <c r="U213" s="8"/>
      <c r="V213" s="8"/>
      <c r="W213" s="8"/>
      <c r="X213" s="8"/>
      <c r="Y213" s="8"/>
      <c r="Z213" s="8"/>
      <c r="AA213" s="8"/>
      <c r="AB213" s="8"/>
      <c r="AC213" s="8"/>
      <c r="AD213" s="8"/>
      <c r="AE213" s="8"/>
    </row>
    <row r="214" spans="1:31" x14ac:dyDescent="0.25">
      <c r="A214" s="8"/>
      <c r="B214" s="8"/>
      <c r="C214" s="8"/>
      <c r="D214" s="8"/>
      <c r="E214" s="8"/>
      <c r="F214" s="8"/>
      <c r="G214" s="8"/>
      <c r="H214" s="8"/>
      <c r="I214" s="8"/>
      <c r="J214" s="8"/>
      <c r="K214" s="8"/>
      <c r="L214" s="8"/>
      <c r="T214" s="8"/>
      <c r="U214" s="8"/>
      <c r="V214" s="8"/>
      <c r="W214" s="8"/>
      <c r="X214" s="8"/>
      <c r="Y214" s="8"/>
      <c r="Z214" s="8"/>
      <c r="AA214" s="8"/>
      <c r="AB214" s="8"/>
      <c r="AC214" s="8"/>
      <c r="AD214" s="8"/>
      <c r="AE214" s="8"/>
    </row>
    <row r="215" spans="1:31" x14ac:dyDescent="0.25">
      <c r="A215" s="8"/>
      <c r="B215" s="8"/>
      <c r="C215" s="8"/>
      <c r="D215" s="8"/>
      <c r="E215" s="8"/>
      <c r="F215" s="8"/>
      <c r="G215" s="8"/>
      <c r="H215" s="8"/>
      <c r="I215" s="8"/>
      <c r="J215" s="8"/>
      <c r="K215" s="8"/>
      <c r="L215" s="8"/>
      <c r="T215" s="8"/>
      <c r="U215" s="8"/>
      <c r="V215" s="8"/>
      <c r="W215" s="8"/>
      <c r="X215" s="8"/>
      <c r="Y215" s="8"/>
      <c r="Z215" s="8"/>
      <c r="AA215" s="8"/>
      <c r="AB215" s="8"/>
      <c r="AC215" s="8"/>
      <c r="AD215" s="8"/>
      <c r="AE215" s="8"/>
    </row>
    <row r="216" spans="1:31" x14ac:dyDescent="0.25">
      <c r="A216" s="8"/>
      <c r="B216" s="8"/>
      <c r="C216" s="8"/>
      <c r="D216" s="8"/>
      <c r="E216" s="8"/>
      <c r="F216" s="8"/>
      <c r="G216" s="8"/>
      <c r="H216" s="8"/>
      <c r="I216" s="8"/>
      <c r="J216" s="8"/>
      <c r="K216" s="8"/>
      <c r="L216" s="8"/>
      <c r="T216" s="8"/>
      <c r="U216" s="8"/>
      <c r="V216" s="8"/>
      <c r="W216" s="8"/>
      <c r="X216" s="8"/>
      <c r="Y216" s="8"/>
      <c r="Z216" s="8"/>
      <c r="AA216" s="8"/>
      <c r="AB216" s="8"/>
      <c r="AC216" s="8"/>
      <c r="AD216" s="8"/>
      <c r="AE216" s="8"/>
    </row>
    <row r="217" spans="1:31" x14ac:dyDescent="0.25">
      <c r="A217" s="8"/>
      <c r="B217" s="8"/>
      <c r="C217" s="8"/>
      <c r="D217" s="8"/>
      <c r="E217" s="8"/>
      <c r="F217" s="8"/>
      <c r="G217" s="8"/>
      <c r="H217" s="8"/>
      <c r="I217" s="8"/>
      <c r="J217" s="8"/>
      <c r="K217" s="8"/>
      <c r="L217" s="8"/>
      <c r="T217" s="8"/>
      <c r="U217" s="8"/>
      <c r="V217" s="8"/>
      <c r="W217" s="8"/>
      <c r="X217" s="8"/>
      <c r="Y217" s="8"/>
      <c r="Z217" s="8"/>
      <c r="AA217" s="8"/>
      <c r="AB217" s="8"/>
      <c r="AC217" s="8"/>
      <c r="AD217" s="8"/>
      <c r="AE217" s="8"/>
    </row>
    <row r="218" spans="1:31" x14ac:dyDescent="0.25">
      <c r="A218" s="8"/>
      <c r="B218" s="8"/>
      <c r="C218" s="8"/>
      <c r="D218" s="8"/>
      <c r="E218" s="8"/>
      <c r="F218" s="8"/>
      <c r="G218" s="8"/>
      <c r="H218" s="8"/>
      <c r="I218" s="8"/>
      <c r="J218" s="8"/>
      <c r="K218" s="8"/>
      <c r="L218" s="8"/>
      <c r="T218" s="8"/>
      <c r="U218" s="8"/>
      <c r="V218" s="8"/>
      <c r="W218" s="8"/>
      <c r="X218" s="8"/>
      <c r="Y218" s="8"/>
      <c r="Z218" s="8"/>
      <c r="AA218" s="8"/>
      <c r="AB218" s="8"/>
      <c r="AC218" s="8"/>
      <c r="AD218" s="8"/>
      <c r="AE218" s="8"/>
    </row>
    <row r="219" spans="1:31" x14ac:dyDescent="0.25">
      <c r="A219" s="8"/>
      <c r="B219" s="8"/>
      <c r="C219" s="8"/>
      <c r="D219" s="8"/>
      <c r="E219" s="8"/>
      <c r="F219" s="8"/>
      <c r="G219" s="8"/>
      <c r="H219" s="8"/>
      <c r="I219" s="8"/>
      <c r="J219" s="8"/>
      <c r="K219" s="8"/>
      <c r="L219" s="8"/>
      <c r="T219" s="8"/>
      <c r="U219" s="8"/>
      <c r="V219" s="8"/>
      <c r="W219" s="8"/>
      <c r="X219" s="8"/>
      <c r="Y219" s="8"/>
      <c r="Z219" s="8"/>
      <c r="AA219" s="8"/>
      <c r="AB219" s="8"/>
      <c r="AC219" s="8"/>
      <c r="AD219" s="8"/>
      <c r="AE219" s="8"/>
    </row>
    <row r="220" spans="1:31" x14ac:dyDescent="0.25">
      <c r="A220" s="8"/>
      <c r="B220" s="8"/>
      <c r="C220" s="8"/>
      <c r="D220" s="8"/>
      <c r="E220" s="8"/>
      <c r="F220" s="8"/>
      <c r="G220" s="8"/>
      <c r="H220" s="8"/>
      <c r="I220" s="8"/>
      <c r="J220" s="8"/>
      <c r="K220" s="8"/>
      <c r="L220" s="8"/>
      <c r="T220" s="8"/>
      <c r="U220" s="8"/>
      <c r="V220" s="8"/>
      <c r="W220" s="8"/>
      <c r="X220" s="8"/>
      <c r="Y220" s="8"/>
      <c r="Z220" s="8"/>
      <c r="AA220" s="8"/>
      <c r="AB220" s="8"/>
      <c r="AC220" s="8"/>
      <c r="AD220" s="8"/>
      <c r="AE220" s="8"/>
    </row>
    <row r="221" spans="1:31" x14ac:dyDescent="0.25">
      <c r="A221" s="8"/>
      <c r="B221" s="8"/>
      <c r="C221" s="8"/>
      <c r="D221" s="8"/>
      <c r="E221" s="8"/>
      <c r="F221" s="8"/>
      <c r="G221" s="8"/>
      <c r="H221" s="8"/>
      <c r="I221" s="8"/>
      <c r="J221" s="8"/>
      <c r="K221" s="8"/>
      <c r="L221" s="8"/>
      <c r="T221" s="8"/>
      <c r="U221" s="8"/>
      <c r="V221" s="8"/>
      <c r="W221" s="8"/>
      <c r="X221" s="8"/>
      <c r="Y221" s="8"/>
      <c r="Z221" s="8"/>
      <c r="AA221" s="8"/>
      <c r="AB221" s="8"/>
      <c r="AC221" s="8"/>
      <c r="AD221" s="8"/>
      <c r="AE221" s="8"/>
    </row>
    <row r="222" spans="1:31" x14ac:dyDescent="0.25">
      <c r="A222" s="8"/>
      <c r="B222" s="8"/>
      <c r="C222" s="8"/>
      <c r="D222" s="8"/>
      <c r="E222" s="8"/>
      <c r="F222" s="8"/>
      <c r="G222" s="8"/>
      <c r="H222" s="8"/>
      <c r="I222" s="8"/>
      <c r="J222" s="8"/>
      <c r="K222" s="8"/>
      <c r="L222" s="8"/>
      <c r="T222" s="8"/>
      <c r="U222" s="8"/>
      <c r="V222" s="8"/>
      <c r="W222" s="8"/>
      <c r="X222" s="8"/>
      <c r="Y222" s="8"/>
      <c r="Z222" s="8"/>
      <c r="AA222" s="8"/>
      <c r="AB222" s="8"/>
      <c r="AC222" s="8"/>
      <c r="AD222" s="8"/>
      <c r="AE222" s="8"/>
    </row>
    <row r="223" spans="1:31" x14ac:dyDescent="0.25">
      <c r="A223" s="8"/>
      <c r="B223" s="8"/>
      <c r="C223" s="8"/>
      <c r="D223" s="8"/>
      <c r="E223" s="8"/>
      <c r="F223" s="8"/>
      <c r="G223" s="8"/>
      <c r="H223" s="8"/>
      <c r="I223" s="8"/>
      <c r="J223" s="8"/>
      <c r="K223" s="8"/>
      <c r="L223" s="8"/>
      <c r="T223" s="8"/>
      <c r="U223" s="8"/>
      <c r="V223" s="8"/>
      <c r="W223" s="8"/>
      <c r="X223" s="8"/>
      <c r="Y223" s="8"/>
      <c r="Z223" s="8"/>
      <c r="AA223" s="8"/>
      <c r="AB223" s="8"/>
      <c r="AC223" s="8"/>
      <c r="AD223" s="8"/>
      <c r="AE223" s="8"/>
    </row>
    <row r="224" spans="1:31" x14ac:dyDescent="0.25">
      <c r="A224" s="8"/>
      <c r="B224" s="8"/>
      <c r="C224" s="8"/>
      <c r="D224" s="8"/>
      <c r="E224" s="8"/>
      <c r="F224" s="8"/>
      <c r="G224" s="8"/>
      <c r="H224" s="8"/>
      <c r="I224" s="8"/>
      <c r="J224" s="8"/>
      <c r="K224" s="8"/>
      <c r="L224" s="8"/>
      <c r="T224" s="8"/>
      <c r="U224" s="8"/>
      <c r="V224" s="8"/>
      <c r="W224" s="8"/>
      <c r="X224" s="8"/>
      <c r="Y224" s="8"/>
      <c r="Z224" s="8"/>
      <c r="AA224" s="8"/>
      <c r="AB224" s="8"/>
      <c r="AC224" s="8"/>
      <c r="AD224" s="8"/>
      <c r="AE224" s="8"/>
    </row>
    <row r="225" spans="1:31" x14ac:dyDescent="0.25">
      <c r="A225" s="8"/>
      <c r="B225" s="8"/>
      <c r="C225" s="8"/>
      <c r="D225" s="8"/>
      <c r="E225" s="8"/>
      <c r="F225" s="8"/>
      <c r="G225" s="8"/>
      <c r="H225" s="8"/>
      <c r="I225" s="8"/>
      <c r="J225" s="8"/>
      <c r="K225" s="8"/>
      <c r="L225" s="8"/>
      <c r="T225" s="8"/>
      <c r="U225" s="8"/>
      <c r="V225" s="8"/>
      <c r="W225" s="8"/>
      <c r="X225" s="8"/>
      <c r="Y225" s="8"/>
      <c r="Z225" s="8"/>
      <c r="AA225" s="8"/>
      <c r="AB225" s="8"/>
      <c r="AC225" s="8"/>
      <c r="AD225" s="8"/>
      <c r="AE225" s="8"/>
    </row>
    <row r="226" spans="1:31" x14ac:dyDescent="0.25">
      <c r="A226" s="8"/>
      <c r="B226" s="8"/>
      <c r="C226" s="8"/>
      <c r="D226" s="8"/>
      <c r="E226" s="8"/>
      <c r="F226" s="8"/>
      <c r="G226" s="8"/>
      <c r="H226" s="8"/>
      <c r="I226" s="8"/>
      <c r="J226" s="8"/>
      <c r="K226" s="8"/>
      <c r="L226" s="8"/>
      <c r="T226" s="8"/>
      <c r="U226" s="8"/>
      <c r="V226" s="8"/>
      <c r="W226" s="8"/>
      <c r="X226" s="8"/>
      <c r="Y226" s="8"/>
      <c r="Z226" s="8"/>
      <c r="AA226" s="8"/>
      <c r="AB226" s="8"/>
      <c r="AC226" s="8"/>
      <c r="AD226" s="8"/>
      <c r="AE226" s="8"/>
    </row>
    <row r="227" spans="1:31" x14ac:dyDescent="0.25">
      <c r="A227" s="8"/>
      <c r="B227" s="8"/>
      <c r="C227" s="8"/>
      <c r="D227" s="8"/>
      <c r="E227" s="8"/>
      <c r="F227" s="8"/>
      <c r="G227" s="8"/>
      <c r="H227" s="8"/>
      <c r="I227" s="8"/>
      <c r="J227" s="8"/>
      <c r="K227" s="8"/>
      <c r="L227" s="8"/>
      <c r="T227" s="8"/>
      <c r="U227" s="8"/>
      <c r="V227" s="8"/>
      <c r="W227" s="8"/>
      <c r="X227" s="8"/>
      <c r="Y227" s="8"/>
      <c r="Z227" s="8"/>
      <c r="AA227" s="8"/>
      <c r="AB227" s="8"/>
      <c r="AC227" s="8"/>
      <c r="AD227" s="8"/>
      <c r="AE227" s="8"/>
    </row>
    <row r="228" spans="1:31" x14ac:dyDescent="0.25">
      <c r="A228" s="8"/>
      <c r="B228" s="8"/>
      <c r="C228" s="8"/>
      <c r="D228" s="8"/>
      <c r="E228" s="8"/>
      <c r="F228" s="8"/>
      <c r="G228" s="8"/>
      <c r="H228" s="8"/>
      <c r="I228" s="8"/>
      <c r="J228" s="8"/>
      <c r="K228" s="8"/>
      <c r="L228" s="8"/>
      <c r="T228" s="8"/>
      <c r="U228" s="8"/>
      <c r="V228" s="8"/>
      <c r="W228" s="8"/>
      <c r="X228" s="8"/>
      <c r="Y228" s="8"/>
      <c r="Z228" s="8"/>
      <c r="AA228" s="8"/>
      <c r="AB228" s="8"/>
      <c r="AC228" s="8"/>
      <c r="AD228" s="8"/>
      <c r="AE228" s="8"/>
    </row>
    <row r="229" spans="1:31" x14ac:dyDescent="0.25">
      <c r="A229" s="8"/>
      <c r="B229" s="8"/>
      <c r="C229" s="8"/>
      <c r="D229" s="8"/>
      <c r="E229" s="8"/>
      <c r="F229" s="8"/>
      <c r="G229" s="8"/>
      <c r="H229" s="8"/>
      <c r="I229" s="8"/>
      <c r="J229" s="8"/>
      <c r="K229" s="8"/>
      <c r="L229" s="8"/>
      <c r="T229" s="8"/>
      <c r="U229" s="8"/>
      <c r="V229" s="8"/>
      <c r="W229" s="8"/>
      <c r="X229" s="8"/>
      <c r="Y229" s="8"/>
      <c r="Z229" s="8"/>
      <c r="AA229" s="8"/>
      <c r="AB229" s="8"/>
      <c r="AC229" s="8"/>
      <c r="AD229" s="8"/>
      <c r="AE229" s="8"/>
    </row>
    <row r="230" spans="1:31" x14ac:dyDescent="0.25">
      <c r="A230" s="8"/>
      <c r="B230" s="8"/>
      <c r="C230" s="8"/>
      <c r="D230" s="8"/>
      <c r="E230" s="8"/>
      <c r="F230" s="8"/>
      <c r="G230" s="8"/>
      <c r="H230" s="8"/>
      <c r="I230" s="8"/>
      <c r="J230" s="8"/>
      <c r="K230" s="8"/>
      <c r="L230" s="8"/>
      <c r="T230" s="8"/>
      <c r="U230" s="8"/>
      <c r="V230" s="8"/>
      <c r="W230" s="8"/>
      <c r="X230" s="8"/>
      <c r="Y230" s="8"/>
      <c r="Z230" s="8"/>
      <c r="AA230" s="8"/>
      <c r="AB230" s="8"/>
      <c r="AC230" s="8"/>
      <c r="AD230" s="8"/>
      <c r="AE230" s="8"/>
    </row>
    <row r="231" spans="1:31" x14ac:dyDescent="0.25">
      <c r="A231" s="8"/>
      <c r="B231" s="8"/>
      <c r="C231" s="8"/>
      <c r="D231" s="8"/>
      <c r="E231" s="8"/>
      <c r="F231" s="8"/>
      <c r="G231" s="8"/>
      <c r="H231" s="8"/>
      <c r="I231" s="8"/>
      <c r="J231" s="8"/>
      <c r="K231" s="8"/>
      <c r="L231" s="8"/>
      <c r="T231" s="8"/>
      <c r="U231" s="8"/>
      <c r="V231" s="8"/>
      <c r="W231" s="8"/>
      <c r="X231" s="8"/>
      <c r="Y231" s="8"/>
      <c r="Z231" s="8"/>
      <c r="AA231" s="8"/>
      <c r="AB231" s="8"/>
      <c r="AC231" s="8"/>
      <c r="AD231" s="8"/>
      <c r="AE231" s="8"/>
    </row>
    <row r="232" spans="1:31" x14ac:dyDescent="0.25">
      <c r="A232" s="8"/>
      <c r="B232" s="8"/>
      <c r="C232" s="8"/>
      <c r="D232" s="8"/>
      <c r="E232" s="8"/>
      <c r="F232" s="8"/>
      <c r="G232" s="8"/>
      <c r="H232" s="8"/>
      <c r="I232" s="8"/>
      <c r="J232" s="8"/>
      <c r="K232" s="8"/>
      <c r="L232" s="8"/>
      <c r="T232" s="8"/>
      <c r="U232" s="8"/>
      <c r="V232" s="8"/>
      <c r="W232" s="8"/>
      <c r="X232" s="8"/>
      <c r="Y232" s="8"/>
      <c r="Z232" s="8"/>
      <c r="AA232" s="8"/>
      <c r="AB232" s="8"/>
      <c r="AC232" s="8"/>
      <c r="AD232" s="8"/>
      <c r="AE232" s="8"/>
    </row>
    <row r="233" spans="1:31" x14ac:dyDescent="0.25">
      <c r="A233" s="8"/>
      <c r="B233" s="8"/>
      <c r="C233" s="8"/>
      <c r="D233" s="8"/>
      <c r="E233" s="8"/>
      <c r="F233" s="8"/>
      <c r="G233" s="8"/>
      <c r="H233" s="8"/>
      <c r="I233" s="8"/>
      <c r="J233" s="8"/>
      <c r="K233" s="8"/>
      <c r="L233" s="8"/>
      <c r="T233" s="8"/>
      <c r="U233" s="8"/>
      <c r="V233" s="8"/>
      <c r="W233" s="8"/>
      <c r="X233" s="8"/>
      <c r="Y233" s="8"/>
      <c r="Z233" s="8"/>
      <c r="AA233" s="8"/>
      <c r="AB233" s="8"/>
      <c r="AC233" s="8"/>
      <c r="AD233" s="8"/>
      <c r="AE233" s="8"/>
    </row>
    <row r="234" spans="1:31" x14ac:dyDescent="0.25">
      <c r="A234" s="8"/>
      <c r="B234" s="8"/>
      <c r="C234" s="8"/>
      <c r="D234" s="8"/>
      <c r="E234" s="8"/>
      <c r="F234" s="8"/>
      <c r="G234" s="8"/>
      <c r="H234" s="8"/>
      <c r="I234" s="8"/>
      <c r="J234" s="8"/>
      <c r="K234" s="8"/>
      <c r="L234" s="8"/>
      <c r="T234" s="8"/>
      <c r="U234" s="8"/>
      <c r="V234" s="8"/>
      <c r="W234" s="8"/>
      <c r="X234" s="8"/>
      <c r="Y234" s="8"/>
      <c r="Z234" s="8"/>
      <c r="AA234" s="8"/>
      <c r="AB234" s="8"/>
      <c r="AC234" s="8"/>
      <c r="AD234" s="8"/>
      <c r="AE234" s="8"/>
    </row>
    <row r="235" spans="1:31" x14ac:dyDescent="0.25">
      <c r="A235" s="8"/>
      <c r="B235" s="8"/>
      <c r="C235" s="8"/>
      <c r="D235" s="8"/>
      <c r="E235" s="8"/>
      <c r="F235" s="8"/>
      <c r="G235" s="8"/>
      <c r="H235" s="8"/>
      <c r="I235" s="8"/>
      <c r="J235" s="8"/>
      <c r="K235" s="8"/>
      <c r="L235" s="8"/>
      <c r="T235" s="8"/>
      <c r="U235" s="8"/>
      <c r="V235" s="8"/>
      <c r="W235" s="8"/>
      <c r="X235" s="8"/>
      <c r="Y235" s="8"/>
      <c r="Z235" s="8"/>
      <c r="AA235" s="8"/>
      <c r="AB235" s="8"/>
      <c r="AC235" s="8"/>
      <c r="AD235" s="8"/>
      <c r="AE235" s="8"/>
    </row>
    <row r="236" spans="1:31" x14ac:dyDescent="0.25">
      <c r="A236" s="8"/>
      <c r="B236" s="8"/>
      <c r="C236" s="8"/>
      <c r="D236" s="8"/>
      <c r="E236" s="8"/>
      <c r="F236" s="8"/>
      <c r="G236" s="8"/>
      <c r="H236" s="8"/>
      <c r="I236" s="8"/>
      <c r="J236" s="8"/>
      <c r="K236" s="8"/>
      <c r="L236" s="8"/>
      <c r="T236" s="8"/>
      <c r="U236" s="8"/>
      <c r="V236" s="8"/>
      <c r="W236" s="8"/>
      <c r="X236" s="8"/>
      <c r="Y236" s="8"/>
      <c r="Z236" s="8"/>
      <c r="AA236" s="8"/>
      <c r="AB236" s="8"/>
      <c r="AC236" s="8"/>
      <c r="AD236" s="8"/>
      <c r="AE236" s="8"/>
    </row>
    <row r="237" spans="1:31" x14ac:dyDescent="0.25">
      <c r="A237" s="8"/>
      <c r="B237" s="8"/>
      <c r="C237" s="8"/>
      <c r="D237" s="8"/>
      <c r="E237" s="8"/>
      <c r="F237" s="8"/>
      <c r="G237" s="8"/>
      <c r="H237" s="8"/>
      <c r="I237" s="8"/>
      <c r="J237" s="8"/>
      <c r="K237" s="8"/>
      <c r="L237" s="8"/>
      <c r="T237" s="8"/>
      <c r="U237" s="8"/>
      <c r="V237" s="8"/>
      <c r="W237" s="8"/>
      <c r="X237" s="8"/>
      <c r="Y237" s="8"/>
      <c r="Z237" s="8"/>
      <c r="AA237" s="8"/>
      <c r="AB237" s="8"/>
      <c r="AC237" s="8"/>
      <c r="AD237" s="8"/>
      <c r="AE237" s="8"/>
    </row>
    <row r="238" spans="1:31" x14ac:dyDescent="0.25">
      <c r="A238" s="8"/>
      <c r="B238" s="8"/>
      <c r="C238" s="8"/>
      <c r="D238" s="8"/>
      <c r="E238" s="8"/>
      <c r="F238" s="8"/>
      <c r="G238" s="8"/>
      <c r="H238" s="8"/>
      <c r="I238" s="8"/>
      <c r="J238" s="8"/>
      <c r="K238" s="8"/>
      <c r="L238" s="8"/>
      <c r="T238" s="8"/>
      <c r="U238" s="8"/>
      <c r="V238" s="8"/>
      <c r="W238" s="8"/>
      <c r="X238" s="8"/>
      <c r="Y238" s="8"/>
      <c r="Z238" s="8"/>
      <c r="AA238" s="8"/>
      <c r="AB238" s="8"/>
      <c r="AC238" s="8"/>
      <c r="AD238" s="8"/>
      <c r="AE238" s="8"/>
    </row>
    <row r="239" spans="1:31" x14ac:dyDescent="0.25">
      <c r="A239" s="8"/>
      <c r="B239" s="8"/>
      <c r="C239" s="8"/>
      <c r="D239" s="8"/>
      <c r="E239" s="8"/>
      <c r="F239" s="8"/>
      <c r="G239" s="8"/>
      <c r="H239" s="8"/>
      <c r="I239" s="8"/>
      <c r="J239" s="8"/>
      <c r="K239" s="8"/>
      <c r="L239" s="8"/>
      <c r="T239" s="8"/>
      <c r="U239" s="8"/>
      <c r="V239" s="8"/>
      <c r="W239" s="8"/>
      <c r="X239" s="8"/>
      <c r="Y239" s="8"/>
      <c r="Z239" s="8"/>
      <c r="AA239" s="8"/>
      <c r="AB239" s="8"/>
      <c r="AC239" s="8"/>
      <c r="AD239" s="8"/>
      <c r="AE239" s="8"/>
    </row>
    <row r="240" spans="1:31" x14ac:dyDescent="0.25">
      <c r="A240" s="8"/>
      <c r="B240" s="8"/>
      <c r="C240" s="8"/>
      <c r="D240" s="8"/>
      <c r="E240" s="8"/>
      <c r="F240" s="8"/>
      <c r="G240" s="8"/>
      <c r="H240" s="8"/>
      <c r="I240" s="8"/>
      <c r="J240" s="8"/>
      <c r="K240" s="8"/>
      <c r="L240" s="8"/>
      <c r="T240" s="8"/>
      <c r="U240" s="8"/>
      <c r="V240" s="8"/>
      <c r="W240" s="8"/>
      <c r="X240" s="8"/>
      <c r="Y240" s="8"/>
      <c r="Z240" s="8"/>
      <c r="AA240" s="8"/>
      <c r="AB240" s="8"/>
      <c r="AC240" s="8"/>
      <c r="AD240" s="8"/>
      <c r="AE240" s="8"/>
    </row>
    <row r="241" spans="1:31" x14ac:dyDescent="0.25">
      <c r="A241" s="8"/>
      <c r="B241" s="8"/>
      <c r="C241" s="8"/>
      <c r="D241" s="8"/>
      <c r="E241" s="8"/>
      <c r="F241" s="8"/>
      <c r="G241" s="8"/>
      <c r="H241" s="8"/>
      <c r="I241" s="8"/>
      <c r="J241" s="8"/>
      <c r="K241" s="8"/>
      <c r="L241" s="8"/>
      <c r="T241" s="8"/>
      <c r="U241" s="8"/>
      <c r="V241" s="8"/>
      <c r="W241" s="8"/>
      <c r="X241" s="8"/>
      <c r="Y241" s="8"/>
      <c r="Z241" s="8"/>
      <c r="AA241" s="8"/>
      <c r="AB241" s="8"/>
      <c r="AC241" s="8"/>
      <c r="AD241" s="8"/>
      <c r="AE241" s="8"/>
    </row>
    <row r="242" spans="1:31" x14ac:dyDescent="0.25">
      <c r="A242" s="8"/>
      <c r="B242" s="8"/>
      <c r="C242" s="8"/>
      <c r="D242" s="8"/>
      <c r="E242" s="8"/>
      <c r="F242" s="8"/>
      <c r="G242" s="8"/>
      <c r="H242" s="8"/>
      <c r="I242" s="8"/>
      <c r="J242" s="8"/>
      <c r="K242" s="8"/>
      <c r="L242" s="8"/>
      <c r="T242" s="8"/>
      <c r="U242" s="8"/>
      <c r="V242" s="8"/>
      <c r="W242" s="8"/>
      <c r="X242" s="8"/>
      <c r="Y242" s="8"/>
      <c r="Z242" s="8"/>
      <c r="AA242" s="8"/>
      <c r="AB242" s="8"/>
      <c r="AC242" s="8"/>
      <c r="AD242" s="8"/>
      <c r="AE242" s="8"/>
    </row>
    <row r="243" spans="1:31" x14ac:dyDescent="0.25">
      <c r="A243" s="8"/>
      <c r="B243" s="8"/>
      <c r="C243" s="8"/>
      <c r="D243" s="8"/>
      <c r="E243" s="8"/>
      <c r="F243" s="8"/>
      <c r="G243" s="8"/>
      <c r="H243" s="8"/>
      <c r="I243" s="8"/>
      <c r="J243" s="8"/>
      <c r="K243" s="8"/>
      <c r="L243" s="8"/>
      <c r="T243" s="8"/>
      <c r="U243" s="8"/>
      <c r="V243" s="8"/>
      <c r="W243" s="8"/>
      <c r="X243" s="8"/>
      <c r="Y243" s="8"/>
      <c r="Z243" s="8"/>
      <c r="AA243" s="8"/>
      <c r="AB243" s="8"/>
      <c r="AC243" s="8"/>
      <c r="AD243" s="8"/>
      <c r="AE243" s="8"/>
    </row>
    <row r="244" spans="1:31" x14ac:dyDescent="0.25">
      <c r="A244" s="8"/>
      <c r="B244" s="8"/>
      <c r="C244" s="8"/>
      <c r="D244" s="8"/>
      <c r="E244" s="8"/>
      <c r="F244" s="8"/>
      <c r="G244" s="8"/>
      <c r="H244" s="8"/>
      <c r="I244" s="8"/>
      <c r="J244" s="8"/>
      <c r="K244" s="8"/>
      <c r="L244" s="8"/>
      <c r="T244" s="8"/>
      <c r="U244" s="8"/>
      <c r="V244" s="8"/>
      <c r="W244" s="8"/>
      <c r="X244" s="8"/>
      <c r="Y244" s="8"/>
      <c r="Z244" s="8"/>
      <c r="AA244" s="8"/>
      <c r="AB244" s="8"/>
      <c r="AC244" s="8"/>
      <c r="AD244" s="8"/>
      <c r="AE244" s="8"/>
    </row>
    <row r="245" spans="1:31" x14ac:dyDescent="0.25">
      <c r="A245" s="8"/>
      <c r="B245" s="8"/>
      <c r="C245" s="8"/>
      <c r="D245" s="8"/>
      <c r="E245" s="8"/>
      <c r="F245" s="8"/>
      <c r="G245" s="8"/>
      <c r="H245" s="8"/>
      <c r="I245" s="8"/>
      <c r="J245" s="8"/>
      <c r="K245" s="8"/>
      <c r="L245" s="8"/>
      <c r="T245" s="8"/>
      <c r="U245" s="8"/>
      <c r="V245" s="8"/>
      <c r="W245" s="8"/>
      <c r="X245" s="8"/>
      <c r="Y245" s="8"/>
      <c r="Z245" s="8"/>
      <c r="AA245" s="8"/>
      <c r="AB245" s="8"/>
      <c r="AC245" s="8"/>
      <c r="AD245" s="8"/>
      <c r="AE245" s="8"/>
    </row>
    <row r="246" spans="1:31" x14ac:dyDescent="0.25">
      <c r="A246" s="8"/>
      <c r="B246" s="8"/>
      <c r="C246" s="8"/>
      <c r="D246" s="8"/>
      <c r="E246" s="8"/>
      <c r="F246" s="8"/>
      <c r="G246" s="8"/>
      <c r="H246" s="8"/>
      <c r="I246" s="8"/>
      <c r="J246" s="8"/>
      <c r="K246" s="8"/>
      <c r="L246" s="8"/>
      <c r="T246" s="8"/>
      <c r="U246" s="8"/>
      <c r="V246" s="8"/>
      <c r="W246" s="8"/>
      <c r="X246" s="8"/>
      <c r="Y246" s="8"/>
      <c r="Z246" s="8"/>
      <c r="AA246" s="8"/>
      <c r="AB246" s="8"/>
      <c r="AC246" s="8"/>
      <c r="AD246" s="8"/>
      <c r="AE246" s="8"/>
    </row>
    <row r="247" spans="1:31" x14ac:dyDescent="0.25">
      <c r="A247" s="8"/>
      <c r="B247" s="8"/>
      <c r="C247" s="8"/>
      <c r="D247" s="8"/>
      <c r="E247" s="8"/>
      <c r="F247" s="8"/>
      <c r="G247" s="8"/>
      <c r="H247" s="8"/>
      <c r="I247" s="8"/>
      <c r="J247" s="8"/>
      <c r="K247" s="8"/>
      <c r="L247" s="8"/>
      <c r="T247" s="8"/>
      <c r="U247" s="8"/>
      <c r="V247" s="8"/>
      <c r="W247" s="8"/>
      <c r="X247" s="8"/>
      <c r="Y247" s="8"/>
      <c r="Z247" s="8"/>
      <c r="AA247" s="8"/>
      <c r="AB247" s="8"/>
      <c r="AC247" s="8"/>
      <c r="AD247" s="8"/>
      <c r="AE247" s="8"/>
    </row>
    <row r="248" spans="1:31" x14ac:dyDescent="0.25">
      <c r="A248" s="8"/>
      <c r="B248" s="8"/>
      <c r="C248" s="8"/>
      <c r="D248" s="8"/>
      <c r="E248" s="8"/>
      <c r="F248" s="8"/>
      <c r="G248" s="8"/>
      <c r="H248" s="8"/>
      <c r="I248" s="8"/>
      <c r="J248" s="8"/>
      <c r="K248" s="8"/>
      <c r="L248" s="8"/>
      <c r="T248" s="8"/>
      <c r="U248" s="8"/>
      <c r="V248" s="8"/>
      <c r="W248" s="8"/>
      <c r="X248" s="8"/>
      <c r="Y248" s="8"/>
      <c r="Z248" s="8"/>
      <c r="AA248" s="8"/>
      <c r="AB248" s="8"/>
      <c r="AC248" s="8"/>
      <c r="AD248" s="8"/>
      <c r="AE248" s="8"/>
    </row>
    <row r="249" spans="1:31" x14ac:dyDescent="0.25">
      <c r="A249" s="8"/>
      <c r="B249" s="8"/>
      <c r="C249" s="8"/>
      <c r="D249" s="8"/>
      <c r="E249" s="8"/>
      <c r="F249" s="8"/>
      <c r="G249" s="8"/>
      <c r="H249" s="8"/>
      <c r="I249" s="8"/>
      <c r="J249" s="8"/>
      <c r="K249" s="8"/>
      <c r="L249" s="8"/>
      <c r="T249" s="8"/>
      <c r="U249" s="8"/>
      <c r="V249" s="8"/>
      <c r="W249" s="8"/>
      <c r="X249" s="8"/>
      <c r="Y249" s="8"/>
      <c r="Z249" s="8"/>
      <c r="AA249" s="8"/>
      <c r="AB249" s="8"/>
      <c r="AC249" s="8"/>
      <c r="AD249" s="8"/>
      <c r="AE249" s="8"/>
    </row>
    <row r="250" spans="1:31" x14ac:dyDescent="0.25">
      <c r="A250" s="8"/>
      <c r="B250" s="8"/>
      <c r="C250" s="8"/>
      <c r="D250" s="8"/>
      <c r="E250" s="8"/>
      <c r="F250" s="8"/>
      <c r="G250" s="8"/>
      <c r="H250" s="8"/>
      <c r="I250" s="8"/>
      <c r="J250" s="8"/>
      <c r="K250" s="8"/>
      <c r="L250" s="8"/>
      <c r="T250" s="8"/>
      <c r="U250" s="8"/>
      <c r="V250" s="8"/>
      <c r="W250" s="8"/>
      <c r="X250" s="8"/>
      <c r="Y250" s="8"/>
      <c r="Z250" s="8"/>
      <c r="AA250" s="8"/>
      <c r="AB250" s="8"/>
      <c r="AC250" s="8"/>
      <c r="AD250" s="8"/>
      <c r="AE250" s="8"/>
    </row>
    <row r="251" spans="1:31" x14ac:dyDescent="0.25">
      <c r="A251" s="8"/>
      <c r="B251" s="8"/>
      <c r="C251" s="8"/>
      <c r="D251" s="8"/>
      <c r="E251" s="8"/>
      <c r="F251" s="8"/>
      <c r="G251" s="8"/>
      <c r="H251" s="8"/>
      <c r="I251" s="8"/>
      <c r="J251" s="8"/>
      <c r="K251" s="8"/>
      <c r="L251" s="8"/>
      <c r="T251" s="8"/>
      <c r="U251" s="8"/>
      <c r="V251" s="8"/>
      <c r="W251" s="8"/>
      <c r="X251" s="8"/>
      <c r="Y251" s="8"/>
      <c r="Z251" s="8"/>
      <c r="AA251" s="8"/>
      <c r="AB251" s="8"/>
      <c r="AC251" s="8"/>
      <c r="AD251" s="8"/>
      <c r="AE251" s="8"/>
    </row>
    <row r="252" spans="1:31" x14ac:dyDescent="0.25">
      <c r="A252" s="8"/>
      <c r="B252" s="8"/>
      <c r="C252" s="8"/>
      <c r="D252" s="8"/>
      <c r="E252" s="8"/>
      <c r="F252" s="8"/>
      <c r="G252" s="8"/>
      <c r="H252" s="8"/>
      <c r="I252" s="8"/>
      <c r="J252" s="8"/>
      <c r="K252" s="8"/>
      <c r="L252" s="8"/>
      <c r="T252" s="8"/>
      <c r="U252" s="8"/>
      <c r="V252" s="8"/>
      <c r="W252" s="8"/>
      <c r="X252" s="8"/>
      <c r="Y252" s="8"/>
      <c r="Z252" s="8"/>
      <c r="AA252" s="8"/>
      <c r="AB252" s="8"/>
      <c r="AC252" s="8"/>
      <c r="AD252" s="8"/>
      <c r="AE252" s="8"/>
    </row>
    <row r="253" spans="1:31" x14ac:dyDescent="0.25">
      <c r="A253" s="8"/>
      <c r="B253" s="8"/>
      <c r="C253" s="8"/>
      <c r="D253" s="8"/>
      <c r="E253" s="8"/>
      <c r="F253" s="8"/>
      <c r="G253" s="8"/>
      <c r="H253" s="8"/>
      <c r="I253" s="8"/>
      <c r="J253" s="8"/>
      <c r="K253" s="8"/>
      <c r="L253" s="8"/>
      <c r="T253" s="8"/>
      <c r="U253" s="8"/>
      <c r="V253" s="8"/>
      <c r="W253" s="8"/>
      <c r="X253" s="8"/>
      <c r="Y253" s="8"/>
      <c r="Z253" s="8"/>
      <c r="AA253" s="8"/>
      <c r="AB253" s="8"/>
      <c r="AC253" s="8"/>
      <c r="AD253" s="8"/>
      <c r="AE253" s="8"/>
    </row>
    <row r="254" spans="1:31" x14ac:dyDescent="0.25">
      <c r="A254" s="8"/>
      <c r="B254" s="8"/>
      <c r="C254" s="8"/>
      <c r="D254" s="8"/>
      <c r="E254" s="8"/>
      <c r="F254" s="8"/>
      <c r="G254" s="8"/>
      <c r="H254" s="8"/>
      <c r="I254" s="8"/>
      <c r="J254" s="8"/>
      <c r="K254" s="8"/>
      <c r="L254" s="8"/>
      <c r="T254" s="8"/>
      <c r="U254" s="8"/>
      <c r="V254" s="8"/>
      <c r="W254" s="8"/>
      <c r="X254" s="8"/>
      <c r="Y254" s="8"/>
      <c r="Z254" s="8"/>
      <c r="AA254" s="8"/>
      <c r="AB254" s="8"/>
      <c r="AC254" s="8"/>
      <c r="AD254" s="8"/>
      <c r="AE254" s="8"/>
    </row>
    <row r="255" spans="1:31" x14ac:dyDescent="0.25">
      <c r="A255" s="8"/>
      <c r="B255" s="8"/>
      <c r="C255" s="8"/>
      <c r="D255" s="8"/>
      <c r="E255" s="8"/>
      <c r="F255" s="8"/>
      <c r="G255" s="8"/>
      <c r="H255" s="8"/>
      <c r="I255" s="8"/>
      <c r="J255" s="8"/>
      <c r="K255" s="8"/>
      <c r="L255" s="8"/>
      <c r="T255" s="8"/>
      <c r="U255" s="8"/>
      <c r="V255" s="8"/>
      <c r="W255" s="8"/>
      <c r="X255" s="8"/>
      <c r="Y255" s="8"/>
      <c r="Z255" s="8"/>
      <c r="AA255" s="8"/>
      <c r="AB255" s="8"/>
      <c r="AC255" s="8"/>
      <c r="AD255" s="8"/>
      <c r="AE255" s="8"/>
    </row>
    <row r="256" spans="1:31" x14ac:dyDescent="0.25">
      <c r="A256" s="8"/>
      <c r="B256" s="8"/>
      <c r="C256" s="8"/>
      <c r="D256" s="8"/>
      <c r="E256" s="8"/>
      <c r="F256" s="8"/>
      <c r="G256" s="8"/>
      <c r="H256" s="8"/>
      <c r="I256" s="8"/>
      <c r="J256" s="8"/>
      <c r="K256" s="8"/>
      <c r="L256" s="8"/>
      <c r="T256" s="8"/>
      <c r="U256" s="8"/>
      <c r="V256" s="8"/>
      <c r="W256" s="8"/>
      <c r="X256" s="8"/>
      <c r="Y256" s="8"/>
      <c r="Z256" s="8"/>
      <c r="AA256" s="8"/>
      <c r="AB256" s="8"/>
      <c r="AC256" s="8"/>
      <c r="AD256" s="8"/>
      <c r="AE256" s="8"/>
    </row>
    <row r="257" spans="1:31" x14ac:dyDescent="0.25">
      <c r="A257" s="8"/>
      <c r="B257" s="8"/>
      <c r="C257" s="8"/>
      <c r="D257" s="8"/>
      <c r="E257" s="8"/>
      <c r="F257" s="8"/>
      <c r="G257" s="8"/>
      <c r="H257" s="8"/>
      <c r="I257" s="8"/>
      <c r="J257" s="8"/>
      <c r="K257" s="8"/>
      <c r="L257" s="8"/>
      <c r="T257" s="8"/>
      <c r="U257" s="8"/>
      <c r="V257" s="8"/>
      <c r="W257" s="8"/>
      <c r="X257" s="8"/>
      <c r="Y257" s="8"/>
      <c r="Z257" s="8"/>
      <c r="AA257" s="8"/>
      <c r="AB257" s="8"/>
      <c r="AC257" s="8"/>
      <c r="AD257" s="8"/>
      <c r="AE257" s="8"/>
    </row>
    <row r="258" spans="1:31" x14ac:dyDescent="0.25">
      <c r="A258" s="8"/>
      <c r="B258" s="8"/>
      <c r="C258" s="8"/>
      <c r="D258" s="8"/>
      <c r="E258" s="8"/>
      <c r="F258" s="8"/>
      <c r="G258" s="8"/>
      <c r="H258" s="8"/>
      <c r="I258" s="8"/>
      <c r="J258" s="8"/>
      <c r="K258" s="8"/>
      <c r="L258" s="8"/>
      <c r="T258" s="8"/>
      <c r="U258" s="8"/>
      <c r="V258" s="8"/>
      <c r="W258" s="8"/>
      <c r="X258" s="8"/>
      <c r="Y258" s="8"/>
      <c r="Z258" s="8"/>
      <c r="AA258" s="8"/>
      <c r="AB258" s="8"/>
      <c r="AC258" s="8"/>
      <c r="AD258" s="8"/>
      <c r="AE258" s="8"/>
    </row>
    <row r="259" spans="1:31" x14ac:dyDescent="0.25">
      <c r="A259" s="8"/>
      <c r="B259" s="8"/>
      <c r="C259" s="8"/>
      <c r="D259" s="8"/>
      <c r="E259" s="8"/>
      <c r="F259" s="8"/>
      <c r="G259" s="8"/>
      <c r="H259" s="8"/>
      <c r="I259" s="8"/>
      <c r="J259" s="8"/>
      <c r="K259" s="8"/>
      <c r="L259" s="8"/>
      <c r="T259" s="8"/>
      <c r="U259" s="8"/>
      <c r="V259" s="8"/>
      <c r="W259" s="8"/>
      <c r="X259" s="8"/>
      <c r="Y259" s="8"/>
      <c r="Z259" s="8"/>
      <c r="AA259" s="8"/>
      <c r="AB259" s="8"/>
      <c r="AC259" s="8"/>
      <c r="AD259" s="8"/>
      <c r="AE259" s="8"/>
    </row>
    <row r="260" spans="1:31" x14ac:dyDescent="0.25">
      <c r="A260" s="8"/>
      <c r="B260" s="8"/>
      <c r="C260" s="8"/>
      <c r="D260" s="8"/>
      <c r="E260" s="8"/>
      <c r="F260" s="8"/>
      <c r="G260" s="8"/>
      <c r="H260" s="8"/>
      <c r="I260" s="8"/>
      <c r="J260" s="8"/>
      <c r="K260" s="8"/>
      <c r="L260" s="8"/>
      <c r="T260" s="8"/>
      <c r="U260" s="8"/>
      <c r="V260" s="8"/>
      <c r="W260" s="8"/>
      <c r="X260" s="8"/>
      <c r="Y260" s="8"/>
      <c r="Z260" s="8"/>
      <c r="AA260" s="8"/>
      <c r="AB260" s="8"/>
      <c r="AC260" s="8"/>
      <c r="AD260" s="8"/>
      <c r="AE260" s="8"/>
    </row>
    <row r="261" spans="1:31" x14ac:dyDescent="0.25">
      <c r="A261" s="8"/>
      <c r="B261" s="8"/>
      <c r="C261" s="8"/>
      <c r="D261" s="8"/>
      <c r="E261" s="8"/>
      <c r="F261" s="8"/>
      <c r="G261" s="8"/>
      <c r="H261" s="8"/>
      <c r="I261" s="8"/>
      <c r="J261" s="8"/>
      <c r="K261" s="8"/>
      <c r="L261" s="8"/>
      <c r="T261" s="8"/>
      <c r="U261" s="8"/>
      <c r="V261" s="8"/>
      <c r="W261" s="8"/>
      <c r="X261" s="8"/>
      <c r="Y261" s="8"/>
      <c r="Z261" s="8"/>
      <c r="AA261" s="8"/>
      <c r="AB261" s="8"/>
      <c r="AC261" s="8"/>
      <c r="AD261" s="8"/>
      <c r="AE261" s="8"/>
    </row>
    <row r="262" spans="1:31" x14ac:dyDescent="0.25">
      <c r="A262" s="8"/>
      <c r="B262" s="8"/>
      <c r="C262" s="8"/>
      <c r="D262" s="8"/>
      <c r="E262" s="8"/>
      <c r="F262" s="8"/>
      <c r="G262" s="8"/>
      <c r="H262" s="8"/>
      <c r="I262" s="8"/>
      <c r="J262" s="8"/>
      <c r="K262" s="8"/>
      <c r="L262" s="8"/>
      <c r="T262" s="8"/>
      <c r="U262" s="8"/>
      <c r="V262" s="8"/>
      <c r="W262" s="8"/>
      <c r="X262" s="8"/>
      <c r="Y262" s="8"/>
      <c r="Z262" s="8"/>
      <c r="AA262" s="8"/>
      <c r="AB262" s="8"/>
      <c r="AC262" s="8"/>
      <c r="AD262" s="8"/>
      <c r="AE262" s="8"/>
    </row>
    <row r="263" spans="1:31" x14ac:dyDescent="0.25">
      <c r="A263" s="8"/>
      <c r="B263" s="8"/>
      <c r="C263" s="8"/>
      <c r="D263" s="8"/>
      <c r="E263" s="8"/>
      <c r="F263" s="8"/>
      <c r="G263" s="8"/>
      <c r="H263" s="8"/>
      <c r="I263" s="8"/>
      <c r="J263" s="8"/>
      <c r="K263" s="8"/>
      <c r="L263" s="8"/>
      <c r="T263" s="8"/>
      <c r="U263" s="8"/>
      <c r="V263" s="8"/>
      <c r="W263" s="8"/>
      <c r="X263" s="8"/>
      <c r="Y263" s="8"/>
      <c r="Z263" s="8"/>
      <c r="AA263" s="8"/>
      <c r="AB263" s="8"/>
      <c r="AC263" s="8"/>
      <c r="AD263" s="8"/>
      <c r="AE263" s="8"/>
    </row>
    <row r="264" spans="1:31" x14ac:dyDescent="0.25">
      <c r="A264" s="8"/>
      <c r="B264" s="8"/>
      <c r="C264" s="8"/>
      <c r="D264" s="8"/>
      <c r="E264" s="8"/>
      <c r="F264" s="8"/>
      <c r="G264" s="8"/>
      <c r="H264" s="8"/>
      <c r="I264" s="8"/>
      <c r="J264" s="8"/>
      <c r="K264" s="8"/>
      <c r="L264" s="8"/>
      <c r="T264" s="8"/>
      <c r="U264" s="8"/>
      <c r="V264" s="8"/>
      <c r="W264" s="8"/>
      <c r="X264" s="8"/>
      <c r="Y264" s="8"/>
      <c r="Z264" s="8"/>
      <c r="AA264" s="8"/>
      <c r="AB264" s="8"/>
      <c r="AC264" s="8"/>
      <c r="AD264" s="8"/>
      <c r="AE264" s="8"/>
    </row>
    <row r="265" spans="1:31" x14ac:dyDescent="0.25">
      <c r="A265" s="8"/>
      <c r="B265" s="8"/>
      <c r="C265" s="8"/>
      <c r="D265" s="8"/>
      <c r="E265" s="8"/>
      <c r="F265" s="8"/>
      <c r="G265" s="8"/>
      <c r="H265" s="8"/>
      <c r="I265" s="8"/>
      <c r="J265" s="8"/>
      <c r="K265" s="8"/>
      <c r="L265" s="8"/>
      <c r="T265" s="8"/>
      <c r="U265" s="8"/>
      <c r="V265" s="8"/>
      <c r="W265" s="8"/>
      <c r="X265" s="8"/>
      <c r="Y265" s="8"/>
      <c r="Z265" s="8"/>
      <c r="AA265" s="8"/>
      <c r="AB265" s="8"/>
      <c r="AC265" s="8"/>
      <c r="AD265" s="8"/>
      <c r="AE265" s="8"/>
    </row>
    <row r="266" spans="1:31" x14ac:dyDescent="0.25">
      <c r="A266" s="8"/>
      <c r="B266" s="8"/>
      <c r="C266" s="8"/>
      <c r="D266" s="8"/>
      <c r="E266" s="8"/>
      <c r="F266" s="8"/>
      <c r="G266" s="8"/>
      <c r="H266" s="8"/>
      <c r="I266" s="8"/>
      <c r="J266" s="8"/>
      <c r="K266" s="8"/>
      <c r="L266" s="8"/>
      <c r="T266" s="8"/>
      <c r="U266" s="8"/>
      <c r="V266" s="8"/>
      <c r="W266" s="8"/>
      <c r="X266" s="8"/>
      <c r="Y266" s="8"/>
      <c r="Z266" s="8"/>
      <c r="AA266" s="8"/>
      <c r="AB266" s="8"/>
      <c r="AC266" s="8"/>
      <c r="AD266" s="8"/>
      <c r="AE266" s="8"/>
    </row>
    <row r="267" spans="1:31" x14ac:dyDescent="0.25">
      <c r="A267" s="8"/>
      <c r="B267" s="8"/>
      <c r="C267" s="8"/>
      <c r="D267" s="8"/>
      <c r="E267" s="8"/>
      <c r="F267" s="8"/>
      <c r="G267" s="8"/>
      <c r="H267" s="8"/>
      <c r="I267" s="8"/>
      <c r="J267" s="8"/>
      <c r="K267" s="8"/>
      <c r="L267" s="8"/>
      <c r="T267" s="8"/>
      <c r="U267" s="8"/>
      <c r="V267" s="8"/>
      <c r="W267" s="8"/>
      <c r="X267" s="8"/>
      <c r="Y267" s="8"/>
      <c r="Z267" s="8"/>
      <c r="AA267" s="8"/>
      <c r="AB267" s="8"/>
      <c r="AC267" s="8"/>
      <c r="AD267" s="8"/>
      <c r="AE267" s="8"/>
    </row>
    <row r="268" spans="1:31" x14ac:dyDescent="0.25">
      <c r="A268" s="8"/>
      <c r="B268" s="8"/>
      <c r="C268" s="8"/>
      <c r="D268" s="8"/>
      <c r="E268" s="8"/>
      <c r="F268" s="8"/>
      <c r="G268" s="8"/>
      <c r="H268" s="8"/>
      <c r="I268" s="8"/>
      <c r="J268" s="8"/>
      <c r="K268" s="8"/>
      <c r="L268" s="8"/>
      <c r="T268" s="8"/>
      <c r="U268" s="8"/>
      <c r="V268" s="8"/>
      <c r="W268" s="8"/>
      <c r="X268" s="8"/>
      <c r="Y268" s="8"/>
      <c r="Z268" s="8"/>
      <c r="AA268" s="8"/>
      <c r="AB268" s="8"/>
      <c r="AC268" s="8"/>
      <c r="AD268" s="8"/>
      <c r="AE268" s="8"/>
    </row>
    <row r="269" spans="1:31" x14ac:dyDescent="0.25">
      <c r="A269" s="8"/>
      <c r="B269" s="8"/>
      <c r="C269" s="8"/>
      <c r="D269" s="8"/>
      <c r="E269" s="8"/>
      <c r="F269" s="8"/>
      <c r="G269" s="8"/>
      <c r="H269" s="8"/>
      <c r="I269" s="8"/>
      <c r="J269" s="8"/>
      <c r="K269" s="8"/>
      <c r="L269" s="8"/>
      <c r="T269" s="8"/>
      <c r="U269" s="8"/>
      <c r="V269" s="8"/>
      <c r="W269" s="8"/>
      <c r="X269" s="8"/>
      <c r="Y269" s="8"/>
      <c r="Z269" s="8"/>
      <c r="AA269" s="8"/>
      <c r="AB269" s="8"/>
      <c r="AC269" s="8"/>
      <c r="AD269" s="8"/>
      <c r="AE269" s="8"/>
    </row>
    <row r="270" spans="1:31" x14ac:dyDescent="0.25">
      <c r="A270" s="8"/>
      <c r="B270" s="8"/>
      <c r="C270" s="8"/>
      <c r="D270" s="8"/>
      <c r="E270" s="8"/>
      <c r="F270" s="8"/>
      <c r="G270" s="8"/>
      <c r="H270" s="8"/>
      <c r="I270" s="8"/>
      <c r="J270" s="8"/>
      <c r="K270" s="8"/>
      <c r="L270" s="8"/>
      <c r="T270" s="8"/>
      <c r="U270" s="8"/>
      <c r="V270" s="8"/>
      <c r="W270" s="8"/>
      <c r="X270" s="8"/>
      <c r="Y270" s="8"/>
      <c r="Z270" s="8"/>
      <c r="AA270" s="8"/>
      <c r="AB270" s="8"/>
      <c r="AC270" s="8"/>
      <c r="AD270" s="8"/>
      <c r="AE270" s="8"/>
    </row>
    <row r="271" spans="1:31" x14ac:dyDescent="0.25">
      <c r="A271" s="8"/>
      <c r="B271" s="8"/>
      <c r="C271" s="8"/>
      <c r="D271" s="8"/>
      <c r="E271" s="8"/>
      <c r="F271" s="8"/>
      <c r="G271" s="8"/>
      <c r="H271" s="8"/>
      <c r="I271" s="8"/>
      <c r="J271" s="8"/>
      <c r="K271" s="8"/>
      <c r="L271" s="8"/>
      <c r="T271" s="8"/>
      <c r="U271" s="8"/>
      <c r="V271" s="8"/>
      <c r="W271" s="8"/>
      <c r="X271" s="8"/>
      <c r="Y271" s="8"/>
      <c r="Z271" s="8"/>
      <c r="AA271" s="8"/>
      <c r="AB271" s="8"/>
      <c r="AC271" s="8"/>
      <c r="AD271" s="8"/>
      <c r="AE271" s="8"/>
    </row>
    <row r="272" spans="1:31" x14ac:dyDescent="0.25">
      <c r="A272" s="8"/>
      <c r="B272" s="8"/>
      <c r="C272" s="8"/>
      <c r="D272" s="8"/>
      <c r="E272" s="8"/>
      <c r="F272" s="8"/>
      <c r="G272" s="8"/>
      <c r="H272" s="8"/>
      <c r="I272" s="8"/>
      <c r="J272" s="8"/>
      <c r="K272" s="8"/>
      <c r="L272" s="8"/>
      <c r="T272" s="8"/>
      <c r="U272" s="8"/>
      <c r="V272" s="8"/>
      <c r="W272" s="8"/>
      <c r="X272" s="8"/>
      <c r="Y272" s="8"/>
      <c r="Z272" s="8"/>
      <c r="AA272" s="8"/>
      <c r="AB272" s="8"/>
      <c r="AC272" s="8"/>
      <c r="AD272" s="8"/>
      <c r="AE272" s="8"/>
    </row>
    <row r="273" spans="1:31" x14ac:dyDescent="0.25">
      <c r="A273" s="8"/>
      <c r="B273" s="8"/>
      <c r="C273" s="8"/>
      <c r="D273" s="8"/>
      <c r="E273" s="8"/>
      <c r="F273" s="8"/>
      <c r="G273" s="8"/>
      <c r="H273" s="8"/>
      <c r="I273" s="8"/>
      <c r="J273" s="8"/>
      <c r="K273" s="8"/>
      <c r="L273" s="8"/>
      <c r="T273" s="8"/>
      <c r="U273" s="8"/>
      <c r="V273" s="8"/>
      <c r="W273" s="8"/>
      <c r="X273" s="8"/>
      <c r="Y273" s="8"/>
      <c r="Z273" s="8"/>
      <c r="AA273" s="8"/>
      <c r="AB273" s="8"/>
      <c r="AC273" s="8"/>
      <c r="AD273" s="8"/>
      <c r="AE273" s="8"/>
    </row>
    <row r="274" spans="1:31" x14ac:dyDescent="0.25">
      <c r="A274" s="8"/>
      <c r="B274" s="8"/>
      <c r="C274" s="8"/>
      <c r="D274" s="8"/>
      <c r="E274" s="8"/>
      <c r="F274" s="8"/>
      <c r="G274" s="8"/>
      <c r="H274" s="8"/>
      <c r="I274" s="8"/>
      <c r="J274" s="8"/>
      <c r="K274" s="8"/>
      <c r="L274" s="8"/>
      <c r="T274" s="8"/>
      <c r="U274" s="8"/>
      <c r="V274" s="8"/>
      <c r="W274" s="8"/>
      <c r="X274" s="8"/>
      <c r="Y274" s="8"/>
      <c r="Z274" s="8"/>
      <c r="AA274" s="8"/>
      <c r="AB274" s="8"/>
      <c r="AC274" s="8"/>
      <c r="AD274" s="8"/>
      <c r="AE274" s="8"/>
    </row>
    <row r="275" spans="1:31" x14ac:dyDescent="0.25">
      <c r="A275" s="8"/>
      <c r="B275" s="8"/>
      <c r="C275" s="8"/>
      <c r="D275" s="8"/>
      <c r="E275" s="8"/>
      <c r="F275" s="8"/>
      <c r="G275" s="8"/>
      <c r="H275" s="8"/>
      <c r="I275" s="8"/>
      <c r="J275" s="8"/>
      <c r="K275" s="8"/>
      <c r="L275" s="8"/>
      <c r="T275" s="8"/>
      <c r="U275" s="8"/>
      <c r="V275" s="8"/>
      <c r="W275" s="8"/>
      <c r="X275" s="8"/>
      <c r="Y275" s="8"/>
      <c r="Z275" s="8"/>
      <c r="AA275" s="8"/>
      <c r="AB275" s="8"/>
      <c r="AC275" s="8"/>
      <c r="AD275" s="8"/>
      <c r="AE275" s="8"/>
    </row>
    <row r="276" spans="1:31" x14ac:dyDescent="0.25">
      <c r="A276" s="8"/>
      <c r="B276" s="8"/>
      <c r="C276" s="8"/>
      <c r="D276" s="8"/>
      <c r="E276" s="8"/>
      <c r="F276" s="8"/>
      <c r="G276" s="8"/>
      <c r="H276" s="8"/>
      <c r="I276" s="8"/>
      <c r="J276" s="8"/>
      <c r="K276" s="8"/>
      <c r="L276" s="8"/>
      <c r="T276" s="8"/>
      <c r="U276" s="8"/>
      <c r="V276" s="8"/>
      <c r="W276" s="8"/>
      <c r="X276" s="8"/>
      <c r="Y276" s="8"/>
      <c r="Z276" s="8"/>
      <c r="AA276" s="8"/>
      <c r="AB276" s="8"/>
      <c r="AC276" s="8"/>
      <c r="AD276" s="8"/>
      <c r="AE276" s="8"/>
    </row>
    <row r="277" spans="1:31" x14ac:dyDescent="0.25">
      <c r="A277" s="8"/>
      <c r="B277" s="8"/>
      <c r="C277" s="8"/>
      <c r="D277" s="8"/>
      <c r="E277" s="8"/>
      <c r="F277" s="8"/>
      <c r="G277" s="8"/>
      <c r="H277" s="8"/>
      <c r="I277" s="8"/>
      <c r="J277" s="8"/>
      <c r="K277" s="8"/>
      <c r="L277" s="8"/>
      <c r="T277" s="8"/>
      <c r="U277" s="8"/>
      <c r="V277" s="8"/>
      <c r="W277" s="8"/>
      <c r="X277" s="8"/>
      <c r="Y277" s="8"/>
      <c r="Z277" s="8"/>
      <c r="AA277" s="8"/>
      <c r="AB277" s="8"/>
      <c r="AC277" s="8"/>
      <c r="AD277" s="8"/>
      <c r="AE277" s="8"/>
    </row>
    <row r="278" spans="1:31" x14ac:dyDescent="0.25">
      <c r="A278" s="8"/>
      <c r="B278" s="8"/>
      <c r="C278" s="8"/>
      <c r="D278" s="8"/>
      <c r="E278" s="8"/>
      <c r="F278" s="8"/>
      <c r="G278" s="8"/>
      <c r="H278" s="8"/>
      <c r="I278" s="8"/>
      <c r="J278" s="8"/>
      <c r="K278" s="8"/>
      <c r="L278" s="8"/>
      <c r="T278" s="8"/>
      <c r="U278" s="8"/>
      <c r="V278" s="8"/>
      <c r="W278" s="8"/>
      <c r="X278" s="8"/>
      <c r="Y278" s="8"/>
      <c r="Z278" s="8"/>
      <c r="AA278" s="8"/>
      <c r="AB278" s="8"/>
      <c r="AC278" s="8"/>
      <c r="AD278" s="8"/>
      <c r="AE278" s="8"/>
    </row>
    <row r="279" spans="1:31" x14ac:dyDescent="0.25">
      <c r="A279" s="8"/>
      <c r="B279" s="8"/>
      <c r="C279" s="8"/>
      <c r="D279" s="8"/>
      <c r="E279" s="8"/>
      <c r="F279" s="8"/>
      <c r="G279" s="8"/>
      <c r="H279" s="8"/>
      <c r="I279" s="8"/>
      <c r="J279" s="8"/>
      <c r="K279" s="8"/>
      <c r="L279" s="8"/>
      <c r="T279" s="8"/>
      <c r="U279" s="8"/>
      <c r="V279" s="8"/>
      <c r="W279" s="8"/>
      <c r="X279" s="8"/>
      <c r="Y279" s="8"/>
      <c r="Z279" s="8"/>
      <c r="AA279" s="8"/>
      <c r="AB279" s="8"/>
      <c r="AC279" s="8"/>
      <c r="AD279" s="8"/>
      <c r="AE279" s="8"/>
    </row>
    <row r="280" spans="1:31" x14ac:dyDescent="0.25">
      <c r="A280" s="8"/>
      <c r="B280" s="8"/>
      <c r="C280" s="8"/>
      <c r="D280" s="8"/>
      <c r="E280" s="8"/>
      <c r="F280" s="8"/>
      <c r="G280" s="8"/>
      <c r="H280" s="8"/>
      <c r="I280" s="8"/>
      <c r="J280" s="8"/>
      <c r="K280" s="8"/>
      <c r="L280" s="8"/>
      <c r="T280" s="8"/>
      <c r="U280" s="8"/>
      <c r="V280" s="8"/>
      <c r="W280" s="8"/>
      <c r="X280" s="8"/>
      <c r="Y280" s="8"/>
      <c r="Z280" s="8"/>
      <c r="AA280" s="8"/>
      <c r="AB280" s="8"/>
      <c r="AC280" s="8"/>
      <c r="AD280" s="8"/>
      <c r="AE280" s="8"/>
    </row>
    <row r="281" spans="1:31" x14ac:dyDescent="0.25">
      <c r="A281" s="8"/>
      <c r="B281" s="8"/>
      <c r="C281" s="8"/>
      <c r="D281" s="8"/>
      <c r="E281" s="8"/>
      <c r="F281" s="8"/>
      <c r="G281" s="8"/>
      <c r="H281" s="8"/>
      <c r="I281" s="8"/>
      <c r="J281" s="8"/>
      <c r="K281" s="8"/>
      <c r="L281" s="8"/>
      <c r="T281" s="8"/>
      <c r="U281" s="8"/>
      <c r="V281" s="8"/>
      <c r="W281" s="8"/>
      <c r="X281" s="8"/>
      <c r="Y281" s="8"/>
      <c r="Z281" s="8"/>
      <c r="AA281" s="8"/>
      <c r="AB281" s="8"/>
      <c r="AC281" s="8"/>
      <c r="AD281" s="8"/>
      <c r="AE281" s="8"/>
    </row>
    <row r="282" spans="1:31" x14ac:dyDescent="0.25">
      <c r="A282" s="8"/>
      <c r="B282" s="8"/>
      <c r="C282" s="8"/>
      <c r="D282" s="8"/>
      <c r="E282" s="8"/>
      <c r="F282" s="8"/>
      <c r="G282" s="8"/>
      <c r="H282" s="8"/>
      <c r="I282" s="8"/>
      <c r="J282" s="8"/>
      <c r="K282" s="8"/>
      <c r="L282" s="8"/>
      <c r="T282" s="8"/>
      <c r="U282" s="8"/>
      <c r="V282" s="8"/>
      <c r="W282" s="8"/>
      <c r="X282" s="8"/>
      <c r="Y282" s="8"/>
      <c r="Z282" s="8"/>
      <c r="AA282" s="8"/>
      <c r="AB282" s="8"/>
      <c r="AC282" s="8"/>
      <c r="AD282" s="8"/>
      <c r="AE282" s="8"/>
    </row>
    <row r="283" spans="1:31" x14ac:dyDescent="0.25">
      <c r="A283" s="8"/>
      <c r="B283" s="8"/>
      <c r="C283" s="8"/>
      <c r="D283" s="8"/>
      <c r="E283" s="8"/>
      <c r="F283" s="8"/>
      <c r="G283" s="8"/>
      <c r="H283" s="8"/>
      <c r="I283" s="8"/>
      <c r="J283" s="8"/>
      <c r="K283" s="8"/>
      <c r="L283" s="8"/>
      <c r="T283" s="8"/>
      <c r="U283" s="8"/>
      <c r="V283" s="8"/>
      <c r="W283" s="8"/>
      <c r="X283" s="8"/>
      <c r="Y283" s="8"/>
      <c r="Z283" s="8"/>
      <c r="AA283" s="8"/>
      <c r="AB283" s="8"/>
      <c r="AC283" s="8"/>
      <c r="AD283" s="8"/>
      <c r="AE283" s="8"/>
    </row>
    <row r="284" spans="1:31" x14ac:dyDescent="0.25">
      <c r="A284" s="8"/>
      <c r="B284" s="8"/>
      <c r="C284" s="8"/>
      <c r="D284" s="8"/>
      <c r="E284" s="8"/>
      <c r="F284" s="8"/>
      <c r="G284" s="8"/>
      <c r="H284" s="8"/>
      <c r="I284" s="8"/>
      <c r="J284" s="8"/>
      <c r="K284" s="8"/>
      <c r="L284" s="8"/>
      <c r="T284" s="8"/>
      <c r="U284" s="8"/>
      <c r="V284" s="8"/>
      <c r="W284" s="8"/>
      <c r="X284" s="8"/>
      <c r="Y284" s="8"/>
      <c r="Z284" s="8"/>
      <c r="AA284" s="8"/>
      <c r="AB284" s="8"/>
      <c r="AC284" s="8"/>
      <c r="AD284" s="8"/>
      <c r="AE284" s="8"/>
    </row>
    <row r="285" spans="1:31" x14ac:dyDescent="0.25">
      <c r="A285" s="8"/>
      <c r="B285" s="8"/>
      <c r="C285" s="8"/>
      <c r="D285" s="8"/>
      <c r="E285" s="8"/>
      <c r="F285" s="8"/>
      <c r="G285" s="8"/>
      <c r="H285" s="8"/>
      <c r="I285" s="8"/>
      <c r="J285" s="8"/>
      <c r="K285" s="8"/>
      <c r="L285" s="8"/>
      <c r="T285" s="8"/>
      <c r="U285" s="8"/>
      <c r="V285" s="8"/>
      <c r="W285" s="8"/>
      <c r="X285" s="8"/>
      <c r="Y285" s="8"/>
      <c r="Z285" s="8"/>
      <c r="AA285" s="8"/>
      <c r="AB285" s="8"/>
      <c r="AC285" s="8"/>
      <c r="AD285" s="8"/>
      <c r="AE285" s="8"/>
    </row>
    <row r="286" spans="1:31" x14ac:dyDescent="0.25">
      <c r="A286" s="8"/>
      <c r="B286" s="8"/>
      <c r="C286" s="8"/>
      <c r="D286" s="8"/>
      <c r="E286" s="8"/>
      <c r="F286" s="8"/>
      <c r="G286" s="8"/>
      <c r="H286" s="8"/>
      <c r="I286" s="8"/>
      <c r="J286" s="8"/>
      <c r="K286" s="8"/>
      <c r="L286" s="8"/>
      <c r="T286" s="8"/>
      <c r="U286" s="8"/>
      <c r="V286" s="8"/>
      <c r="W286" s="8"/>
      <c r="X286" s="8"/>
      <c r="Y286" s="8"/>
      <c r="Z286" s="8"/>
      <c r="AA286" s="8"/>
      <c r="AB286" s="8"/>
      <c r="AC286" s="8"/>
      <c r="AD286" s="8"/>
      <c r="AE286" s="8"/>
    </row>
    <row r="287" spans="1:31" x14ac:dyDescent="0.25">
      <c r="A287" s="8"/>
      <c r="B287" s="8"/>
      <c r="C287" s="8"/>
      <c r="D287" s="8"/>
      <c r="E287" s="8"/>
      <c r="F287" s="8"/>
      <c r="G287" s="8"/>
      <c r="H287" s="8"/>
      <c r="I287" s="8"/>
      <c r="J287" s="8"/>
      <c r="K287" s="8"/>
      <c r="L287" s="8"/>
      <c r="T287" s="8"/>
      <c r="U287" s="8"/>
      <c r="V287" s="8"/>
      <c r="W287" s="8"/>
      <c r="X287" s="8"/>
      <c r="Y287" s="8"/>
      <c r="Z287" s="8"/>
      <c r="AA287" s="8"/>
      <c r="AB287" s="8"/>
      <c r="AC287" s="8"/>
      <c r="AD287" s="8"/>
      <c r="AE287" s="8"/>
    </row>
    <row r="288" spans="1:31" x14ac:dyDescent="0.25">
      <c r="A288" s="8"/>
      <c r="B288" s="8"/>
      <c r="C288" s="8"/>
      <c r="D288" s="8"/>
      <c r="E288" s="8"/>
      <c r="F288" s="8"/>
      <c r="G288" s="8"/>
      <c r="H288" s="8"/>
      <c r="I288" s="8"/>
      <c r="J288" s="8"/>
      <c r="K288" s="8"/>
      <c r="L288" s="8"/>
      <c r="T288" s="8"/>
      <c r="U288" s="8"/>
      <c r="V288" s="8"/>
      <c r="W288" s="8"/>
      <c r="X288" s="8"/>
      <c r="Y288" s="8"/>
      <c r="Z288" s="8"/>
      <c r="AA288" s="8"/>
      <c r="AB288" s="8"/>
      <c r="AC288" s="8"/>
      <c r="AD288" s="8"/>
      <c r="AE288" s="8"/>
    </row>
    <row r="289" spans="1:31" x14ac:dyDescent="0.25">
      <c r="A289" s="8"/>
      <c r="B289" s="8"/>
      <c r="C289" s="8"/>
      <c r="D289" s="8"/>
      <c r="E289" s="8"/>
      <c r="F289" s="8"/>
      <c r="G289" s="8"/>
      <c r="H289" s="8"/>
      <c r="I289" s="8"/>
      <c r="J289" s="8"/>
      <c r="K289" s="8"/>
      <c r="L289" s="8"/>
      <c r="T289" s="8"/>
      <c r="U289" s="8"/>
      <c r="V289" s="8"/>
      <c r="W289" s="8"/>
      <c r="X289" s="8"/>
      <c r="Y289" s="8"/>
      <c r="Z289" s="8"/>
      <c r="AA289" s="8"/>
      <c r="AB289" s="8"/>
      <c r="AC289" s="8"/>
      <c r="AD289" s="8"/>
      <c r="AE289" s="8"/>
    </row>
    <row r="290" spans="1:31" x14ac:dyDescent="0.25">
      <c r="A290" s="8"/>
      <c r="B290" s="8"/>
      <c r="C290" s="8"/>
      <c r="D290" s="8"/>
      <c r="E290" s="8"/>
      <c r="F290" s="8"/>
      <c r="G290" s="8"/>
      <c r="H290" s="8"/>
      <c r="I290" s="8"/>
      <c r="J290" s="8"/>
      <c r="K290" s="8"/>
      <c r="L290" s="8"/>
      <c r="T290" s="8"/>
      <c r="U290" s="8"/>
      <c r="V290" s="8"/>
      <c r="W290" s="8"/>
      <c r="X290" s="8"/>
      <c r="Y290" s="8"/>
      <c r="Z290" s="8"/>
      <c r="AA290" s="8"/>
      <c r="AB290" s="8"/>
      <c r="AC290" s="8"/>
      <c r="AD290" s="8"/>
      <c r="AE290" s="8"/>
    </row>
    <row r="291" spans="1:31" x14ac:dyDescent="0.25">
      <c r="A291" s="8"/>
      <c r="B291" s="8"/>
      <c r="C291" s="8"/>
      <c r="D291" s="8"/>
      <c r="E291" s="8"/>
      <c r="F291" s="8"/>
      <c r="G291" s="8"/>
      <c r="H291" s="8"/>
      <c r="I291" s="8"/>
      <c r="J291" s="8"/>
      <c r="K291" s="8"/>
      <c r="L291" s="8"/>
      <c r="T291" s="8"/>
      <c r="U291" s="8"/>
      <c r="V291" s="8"/>
      <c r="W291" s="8"/>
      <c r="X291" s="8"/>
      <c r="Y291" s="8"/>
      <c r="Z291" s="8"/>
      <c r="AA291" s="8"/>
      <c r="AB291" s="8"/>
      <c r="AC291" s="8"/>
      <c r="AD291" s="8"/>
      <c r="AE291" s="8"/>
    </row>
    <row r="292" spans="1:31" x14ac:dyDescent="0.25">
      <c r="A292" s="8"/>
      <c r="B292" s="8"/>
      <c r="C292" s="8"/>
      <c r="D292" s="8"/>
      <c r="E292" s="8"/>
      <c r="F292" s="8"/>
      <c r="G292" s="8"/>
      <c r="H292" s="8"/>
      <c r="I292" s="8"/>
      <c r="J292" s="8"/>
      <c r="K292" s="8"/>
      <c r="L292" s="8"/>
      <c r="T292" s="8"/>
      <c r="U292" s="8"/>
      <c r="V292" s="8"/>
      <c r="W292" s="8"/>
      <c r="X292" s="8"/>
      <c r="Y292" s="8"/>
      <c r="Z292" s="8"/>
      <c r="AA292" s="8"/>
      <c r="AB292" s="8"/>
      <c r="AC292" s="8"/>
      <c r="AD292" s="8"/>
      <c r="AE292" s="8"/>
    </row>
    <row r="293" spans="1:31" x14ac:dyDescent="0.25">
      <c r="A293" s="8"/>
      <c r="B293" s="8"/>
      <c r="C293" s="8"/>
      <c r="D293" s="8"/>
      <c r="E293" s="8"/>
      <c r="F293" s="8"/>
      <c r="G293" s="8"/>
      <c r="H293" s="8"/>
      <c r="I293" s="8"/>
      <c r="J293" s="8"/>
      <c r="K293" s="8"/>
      <c r="L293" s="8"/>
      <c r="T293" s="8"/>
      <c r="U293" s="8"/>
      <c r="V293" s="8"/>
      <c r="W293" s="8"/>
      <c r="X293" s="8"/>
      <c r="Y293" s="8"/>
      <c r="Z293" s="8"/>
      <c r="AA293" s="8"/>
      <c r="AB293" s="8"/>
      <c r="AC293" s="8"/>
      <c r="AD293" s="8"/>
      <c r="AE293" s="8"/>
    </row>
    <row r="294" spans="1:31" x14ac:dyDescent="0.25">
      <c r="A294" s="8"/>
      <c r="B294" s="8"/>
      <c r="C294" s="8"/>
      <c r="D294" s="8"/>
      <c r="E294" s="8"/>
      <c r="F294" s="8"/>
      <c r="G294" s="8"/>
      <c r="H294" s="8"/>
      <c r="I294" s="8"/>
      <c r="J294" s="8"/>
      <c r="K294" s="8"/>
      <c r="L294" s="8"/>
      <c r="T294" s="8"/>
      <c r="U294" s="8"/>
      <c r="V294" s="8"/>
      <c r="W294" s="8"/>
      <c r="X294" s="8"/>
      <c r="Y294" s="8"/>
      <c r="Z294" s="8"/>
      <c r="AA294" s="8"/>
      <c r="AB294" s="8"/>
      <c r="AC294" s="8"/>
      <c r="AD294" s="8"/>
      <c r="AE294" s="8"/>
    </row>
    <row r="295" spans="1:31" x14ac:dyDescent="0.25">
      <c r="A295" s="8"/>
      <c r="B295" s="8"/>
      <c r="C295" s="8"/>
      <c r="D295" s="8"/>
      <c r="E295" s="8"/>
      <c r="F295" s="8"/>
      <c r="G295" s="8"/>
      <c r="H295" s="8"/>
      <c r="I295" s="8"/>
      <c r="J295" s="8"/>
      <c r="K295" s="8"/>
      <c r="L295" s="8"/>
      <c r="T295" s="8"/>
      <c r="U295" s="8"/>
      <c r="V295" s="8"/>
      <c r="W295" s="8"/>
      <c r="X295" s="8"/>
      <c r="Y295" s="8"/>
      <c r="Z295" s="8"/>
      <c r="AA295" s="8"/>
      <c r="AB295" s="8"/>
      <c r="AC295" s="8"/>
      <c r="AD295" s="8"/>
      <c r="AE295" s="8"/>
    </row>
    <row r="296" spans="1:31" x14ac:dyDescent="0.25">
      <c r="A296" s="8"/>
      <c r="B296" s="8"/>
      <c r="C296" s="8"/>
      <c r="D296" s="8"/>
      <c r="E296" s="8"/>
      <c r="F296" s="8"/>
      <c r="G296" s="8"/>
      <c r="H296" s="8"/>
      <c r="I296" s="8"/>
      <c r="J296" s="8"/>
      <c r="K296" s="8"/>
      <c r="L296" s="8"/>
      <c r="T296" s="8"/>
      <c r="U296" s="8"/>
      <c r="V296" s="8"/>
      <c r="W296" s="8"/>
      <c r="X296" s="8"/>
      <c r="Y296" s="8"/>
      <c r="Z296" s="8"/>
      <c r="AA296" s="8"/>
      <c r="AB296" s="8"/>
      <c r="AC296" s="8"/>
      <c r="AD296" s="8"/>
      <c r="AE296" s="8"/>
    </row>
    <row r="297" spans="1:31" x14ac:dyDescent="0.25">
      <c r="A297" s="8"/>
      <c r="B297" s="8"/>
      <c r="C297" s="8"/>
      <c r="D297" s="8"/>
      <c r="E297" s="8"/>
      <c r="F297" s="8"/>
      <c r="G297" s="8"/>
      <c r="H297" s="8"/>
      <c r="I297" s="8"/>
      <c r="J297" s="8"/>
      <c r="K297" s="8"/>
      <c r="L297" s="8"/>
      <c r="T297" s="8"/>
      <c r="U297" s="8"/>
      <c r="V297" s="8"/>
      <c r="W297" s="8"/>
      <c r="X297" s="8"/>
      <c r="Y297" s="8"/>
      <c r="Z297" s="8"/>
      <c r="AA297" s="8"/>
      <c r="AB297" s="8"/>
      <c r="AC297" s="8"/>
      <c r="AD297" s="8"/>
      <c r="AE297" s="8"/>
    </row>
    <row r="298" spans="1:31" x14ac:dyDescent="0.25">
      <c r="A298" s="8"/>
      <c r="B298" s="8"/>
      <c r="C298" s="8"/>
      <c r="D298" s="8"/>
      <c r="E298" s="8"/>
      <c r="F298" s="8"/>
      <c r="G298" s="8"/>
      <c r="H298" s="8"/>
      <c r="I298" s="8"/>
      <c r="J298" s="8"/>
      <c r="K298" s="8"/>
      <c r="L298" s="8"/>
      <c r="T298" s="8"/>
      <c r="U298" s="8"/>
      <c r="V298" s="8"/>
      <c r="W298" s="8"/>
      <c r="X298" s="8"/>
      <c r="Y298" s="8"/>
      <c r="Z298" s="8"/>
      <c r="AA298" s="8"/>
      <c r="AB298" s="8"/>
      <c r="AC298" s="8"/>
      <c r="AD298" s="8"/>
      <c r="AE298" s="8"/>
    </row>
    <row r="299" spans="1:31" x14ac:dyDescent="0.25">
      <c r="A299" s="8"/>
      <c r="B299" s="8"/>
      <c r="C299" s="8"/>
      <c r="D299" s="8"/>
      <c r="E299" s="8"/>
      <c r="F299" s="8"/>
      <c r="G299" s="8"/>
      <c r="H299" s="8"/>
      <c r="I299" s="8"/>
      <c r="J299" s="8"/>
      <c r="K299" s="8"/>
      <c r="L299" s="8"/>
      <c r="T299" s="8"/>
      <c r="U299" s="8"/>
      <c r="V299" s="8"/>
      <c r="W299" s="8"/>
      <c r="X299" s="8"/>
      <c r="Y299" s="8"/>
      <c r="Z299" s="8"/>
      <c r="AA299" s="8"/>
      <c r="AB299" s="8"/>
      <c r="AC299" s="8"/>
      <c r="AD299" s="8"/>
      <c r="AE299" s="8"/>
    </row>
    <row r="300" spans="1:31" x14ac:dyDescent="0.25">
      <c r="A300" s="8"/>
      <c r="B300" s="8"/>
      <c r="C300" s="8"/>
      <c r="D300" s="8"/>
      <c r="E300" s="8"/>
      <c r="F300" s="8"/>
      <c r="G300" s="8"/>
      <c r="H300" s="8"/>
      <c r="I300" s="8"/>
      <c r="J300" s="8"/>
      <c r="K300" s="8"/>
      <c r="L300" s="8"/>
      <c r="T300" s="8"/>
      <c r="U300" s="8"/>
      <c r="V300" s="8"/>
      <c r="W300" s="8"/>
      <c r="X300" s="8"/>
      <c r="Y300" s="8"/>
      <c r="Z300" s="8"/>
      <c r="AA300" s="8"/>
      <c r="AB300" s="8"/>
      <c r="AC300" s="8"/>
      <c r="AD300" s="8"/>
      <c r="AE300" s="8"/>
    </row>
    <row r="301" spans="1:31" x14ac:dyDescent="0.25">
      <c r="A301" s="8"/>
      <c r="B301" s="8"/>
      <c r="C301" s="8"/>
      <c r="D301" s="8"/>
      <c r="E301" s="8"/>
      <c r="F301" s="8"/>
      <c r="G301" s="8"/>
      <c r="H301" s="8"/>
      <c r="I301" s="8"/>
      <c r="J301" s="8"/>
      <c r="K301" s="8"/>
      <c r="L301" s="8"/>
      <c r="T301" s="8"/>
      <c r="U301" s="8"/>
      <c r="V301" s="8"/>
      <c r="W301" s="8"/>
      <c r="X301" s="8"/>
      <c r="Y301" s="8"/>
      <c r="Z301" s="8"/>
      <c r="AA301" s="8"/>
      <c r="AB301" s="8"/>
      <c r="AC301" s="8"/>
      <c r="AD301" s="8"/>
      <c r="AE301" s="8"/>
    </row>
    <row r="302" spans="1:31" x14ac:dyDescent="0.25">
      <c r="A302" s="8"/>
      <c r="B302" s="8"/>
      <c r="C302" s="8"/>
      <c r="D302" s="8"/>
      <c r="E302" s="8"/>
      <c r="F302" s="8"/>
      <c r="G302" s="8"/>
      <c r="H302" s="8"/>
      <c r="I302" s="8"/>
      <c r="J302" s="8"/>
      <c r="K302" s="8"/>
      <c r="L302" s="8"/>
      <c r="T302" s="8"/>
      <c r="U302" s="8"/>
      <c r="V302" s="8"/>
      <c r="W302" s="8"/>
      <c r="X302" s="8"/>
      <c r="Y302" s="8"/>
      <c r="Z302" s="8"/>
      <c r="AA302" s="8"/>
      <c r="AB302" s="8"/>
      <c r="AC302" s="8"/>
      <c r="AD302" s="8"/>
      <c r="AE302" s="8"/>
    </row>
    <row r="303" spans="1:31" x14ac:dyDescent="0.25">
      <c r="A303" s="8"/>
      <c r="B303" s="8"/>
      <c r="C303" s="8"/>
      <c r="D303" s="8"/>
      <c r="E303" s="8"/>
      <c r="F303" s="8"/>
      <c r="G303" s="8"/>
      <c r="H303" s="8"/>
      <c r="I303" s="8"/>
      <c r="J303" s="8"/>
      <c r="K303" s="8"/>
      <c r="L303" s="8"/>
      <c r="T303" s="8"/>
      <c r="U303" s="8"/>
      <c r="V303" s="8"/>
      <c r="W303" s="8"/>
      <c r="X303" s="8"/>
      <c r="Y303" s="8"/>
      <c r="Z303" s="8"/>
      <c r="AA303" s="8"/>
      <c r="AB303" s="8"/>
      <c r="AC303" s="8"/>
      <c r="AD303" s="8"/>
      <c r="AE303" s="8"/>
    </row>
    <row r="304" spans="1:31" x14ac:dyDescent="0.25">
      <c r="A304" s="8"/>
      <c r="B304" s="8"/>
      <c r="C304" s="8"/>
      <c r="D304" s="8"/>
      <c r="E304" s="8"/>
      <c r="F304" s="8"/>
      <c r="G304" s="8"/>
      <c r="H304" s="8"/>
      <c r="I304" s="8"/>
      <c r="J304" s="8"/>
      <c r="K304" s="8"/>
      <c r="L304" s="8"/>
      <c r="T304" s="8"/>
      <c r="U304" s="8"/>
      <c r="V304" s="8"/>
      <c r="W304" s="8"/>
      <c r="X304" s="8"/>
      <c r="Y304" s="8"/>
      <c r="Z304" s="8"/>
      <c r="AA304" s="8"/>
      <c r="AB304" s="8"/>
      <c r="AC304" s="8"/>
      <c r="AD304" s="8"/>
      <c r="AE304" s="8"/>
    </row>
    <row r="305" spans="1:31" x14ac:dyDescent="0.25">
      <c r="A305" s="8"/>
      <c r="B305" s="8"/>
      <c r="C305" s="8"/>
      <c r="D305" s="8"/>
      <c r="E305" s="8"/>
      <c r="F305" s="8"/>
      <c r="G305" s="8"/>
      <c r="H305" s="8"/>
      <c r="I305" s="8"/>
      <c r="J305" s="8"/>
      <c r="K305" s="8"/>
      <c r="L305" s="8"/>
      <c r="T305" s="8"/>
      <c r="U305" s="8"/>
      <c r="V305" s="8"/>
      <c r="W305" s="8"/>
      <c r="X305" s="8"/>
      <c r="Y305" s="8"/>
      <c r="Z305" s="8"/>
      <c r="AA305" s="8"/>
      <c r="AB305" s="8"/>
      <c r="AC305" s="8"/>
      <c r="AD305" s="8"/>
      <c r="AE305" s="8"/>
    </row>
    <row r="306" spans="1:31" x14ac:dyDescent="0.25">
      <c r="A306" s="8"/>
      <c r="B306" s="8"/>
      <c r="C306" s="8"/>
      <c r="D306" s="8"/>
      <c r="E306" s="8"/>
      <c r="F306" s="8"/>
      <c r="G306" s="8"/>
      <c r="H306" s="8"/>
      <c r="I306" s="8"/>
      <c r="J306" s="8"/>
      <c r="K306" s="8"/>
      <c r="L306" s="8"/>
      <c r="T306" s="8"/>
      <c r="U306" s="8"/>
      <c r="V306" s="8"/>
      <c r="W306" s="8"/>
      <c r="X306" s="8"/>
      <c r="Y306" s="8"/>
      <c r="Z306" s="8"/>
      <c r="AA306" s="8"/>
      <c r="AB306" s="8"/>
      <c r="AC306" s="8"/>
      <c r="AD306" s="8"/>
      <c r="AE306" s="8"/>
    </row>
    <row r="307" spans="1:31" x14ac:dyDescent="0.25">
      <c r="A307" s="8"/>
      <c r="B307" s="8"/>
      <c r="C307" s="8"/>
      <c r="D307" s="8"/>
      <c r="E307" s="8"/>
      <c r="F307" s="8"/>
      <c r="G307" s="8"/>
      <c r="H307" s="8"/>
      <c r="I307" s="8"/>
      <c r="J307" s="8"/>
      <c r="K307" s="8"/>
      <c r="L307" s="8"/>
      <c r="T307" s="8"/>
      <c r="U307" s="8"/>
      <c r="V307" s="8"/>
      <c r="W307" s="8"/>
      <c r="X307" s="8"/>
      <c r="Y307" s="8"/>
      <c r="Z307" s="8"/>
      <c r="AA307" s="8"/>
      <c r="AB307" s="8"/>
      <c r="AC307" s="8"/>
      <c r="AD307" s="8"/>
      <c r="AE307" s="8"/>
    </row>
    <row r="308" spans="1:31" x14ac:dyDescent="0.25">
      <c r="A308" s="8"/>
      <c r="B308" s="8"/>
      <c r="C308" s="8"/>
      <c r="D308" s="8"/>
      <c r="E308" s="8"/>
      <c r="F308" s="8"/>
      <c r="G308" s="8"/>
      <c r="H308" s="8"/>
      <c r="I308" s="8"/>
      <c r="J308" s="8"/>
      <c r="K308" s="8"/>
      <c r="L308" s="8"/>
      <c r="T308" s="8"/>
      <c r="U308" s="8"/>
      <c r="V308" s="8"/>
      <c r="W308" s="8"/>
      <c r="X308" s="8"/>
      <c r="Y308" s="8"/>
      <c r="Z308" s="8"/>
      <c r="AA308" s="8"/>
      <c r="AB308" s="8"/>
      <c r="AC308" s="8"/>
      <c r="AD308" s="8"/>
      <c r="AE308" s="8"/>
    </row>
    <row r="309" spans="1:31" x14ac:dyDescent="0.25">
      <c r="A309" s="8"/>
      <c r="B309" s="8"/>
      <c r="C309" s="8"/>
      <c r="D309" s="8"/>
      <c r="E309" s="8"/>
      <c r="F309" s="8"/>
      <c r="G309" s="8"/>
      <c r="H309" s="8"/>
      <c r="I309" s="8"/>
      <c r="J309" s="8"/>
      <c r="K309" s="8"/>
      <c r="L309" s="8"/>
      <c r="T309" s="8"/>
      <c r="U309" s="8"/>
      <c r="V309" s="8"/>
      <c r="W309" s="8"/>
      <c r="X309" s="8"/>
      <c r="Y309" s="8"/>
      <c r="Z309" s="8"/>
      <c r="AA309" s="8"/>
      <c r="AB309" s="8"/>
      <c r="AC309" s="8"/>
      <c r="AD309" s="8"/>
      <c r="AE309" s="8"/>
    </row>
    <row r="310" spans="1:31" x14ac:dyDescent="0.25">
      <c r="A310" s="8"/>
      <c r="B310" s="8"/>
      <c r="C310" s="8"/>
      <c r="D310" s="8"/>
      <c r="E310" s="8"/>
      <c r="F310" s="8"/>
      <c r="G310" s="8"/>
      <c r="H310" s="8"/>
      <c r="I310" s="8"/>
      <c r="J310" s="8"/>
      <c r="K310" s="8"/>
      <c r="L310" s="8"/>
      <c r="T310" s="8"/>
      <c r="U310" s="8"/>
      <c r="V310" s="8"/>
      <c r="W310" s="8"/>
      <c r="X310" s="8"/>
      <c r="Y310" s="8"/>
      <c r="Z310" s="8"/>
      <c r="AA310" s="8"/>
      <c r="AB310" s="8"/>
      <c r="AC310" s="8"/>
      <c r="AD310" s="8"/>
      <c r="AE310" s="8"/>
    </row>
    <row r="311" spans="1:31" x14ac:dyDescent="0.25">
      <c r="A311" s="8"/>
      <c r="B311" s="8"/>
      <c r="C311" s="8"/>
      <c r="D311" s="8"/>
      <c r="E311" s="8"/>
      <c r="F311" s="8"/>
      <c r="G311" s="8"/>
      <c r="H311" s="8"/>
      <c r="I311" s="8"/>
      <c r="J311" s="8"/>
      <c r="K311" s="8"/>
      <c r="L311" s="8"/>
      <c r="T311" s="8"/>
      <c r="U311" s="8"/>
      <c r="V311" s="8"/>
      <c r="W311" s="8"/>
      <c r="X311" s="8"/>
      <c r="Y311" s="8"/>
      <c r="Z311" s="8"/>
      <c r="AA311" s="8"/>
      <c r="AB311" s="8"/>
      <c r="AC311" s="8"/>
      <c r="AD311" s="8"/>
      <c r="AE311" s="8"/>
    </row>
    <row r="312" spans="1:31" x14ac:dyDescent="0.25">
      <c r="A312" s="8"/>
      <c r="B312" s="8"/>
      <c r="C312" s="8"/>
      <c r="D312" s="8"/>
      <c r="E312" s="8"/>
      <c r="F312" s="8"/>
      <c r="G312" s="8"/>
      <c r="H312" s="8"/>
      <c r="I312" s="8"/>
      <c r="J312" s="8"/>
      <c r="K312" s="8"/>
      <c r="L312" s="8"/>
      <c r="T312" s="8"/>
      <c r="U312" s="8"/>
      <c r="V312" s="8"/>
      <c r="W312" s="8"/>
      <c r="X312" s="8"/>
      <c r="Y312" s="8"/>
      <c r="Z312" s="8"/>
      <c r="AA312" s="8"/>
      <c r="AB312" s="8"/>
      <c r="AC312" s="8"/>
      <c r="AD312" s="8"/>
      <c r="AE312" s="8"/>
    </row>
    <row r="313" spans="1:31" x14ac:dyDescent="0.25">
      <c r="A313" s="8"/>
      <c r="B313" s="8"/>
      <c r="C313" s="8"/>
      <c r="D313" s="8"/>
      <c r="E313" s="8"/>
      <c r="F313" s="8"/>
      <c r="G313" s="8"/>
      <c r="H313" s="8"/>
      <c r="I313" s="8"/>
      <c r="J313" s="8"/>
      <c r="K313" s="8"/>
      <c r="L313" s="8"/>
      <c r="T313" s="8"/>
      <c r="U313" s="8"/>
      <c r="V313" s="8"/>
      <c r="W313" s="8"/>
      <c r="X313" s="8"/>
      <c r="Y313" s="8"/>
      <c r="Z313" s="8"/>
      <c r="AA313" s="8"/>
      <c r="AB313" s="8"/>
      <c r="AC313" s="8"/>
      <c r="AD313" s="8"/>
      <c r="AE313" s="8"/>
    </row>
    <row r="314" spans="1:31" x14ac:dyDescent="0.25">
      <c r="A314" s="8"/>
      <c r="B314" s="8"/>
      <c r="C314" s="8"/>
      <c r="D314" s="8"/>
      <c r="E314" s="8"/>
      <c r="F314" s="8"/>
      <c r="G314" s="8"/>
      <c r="H314" s="8"/>
      <c r="I314" s="8"/>
      <c r="J314" s="8"/>
      <c r="K314" s="8"/>
      <c r="L314" s="8"/>
      <c r="T314" s="8"/>
      <c r="U314" s="8"/>
      <c r="V314" s="8"/>
      <c r="W314" s="8"/>
      <c r="X314" s="8"/>
      <c r="Y314" s="8"/>
      <c r="Z314" s="8"/>
      <c r="AA314" s="8"/>
      <c r="AB314" s="8"/>
      <c r="AC314" s="8"/>
      <c r="AD314" s="8"/>
      <c r="AE314" s="8"/>
    </row>
    <row r="315" spans="1:31" x14ac:dyDescent="0.25">
      <c r="A315" s="8"/>
      <c r="B315" s="8"/>
      <c r="C315" s="8"/>
      <c r="D315" s="8"/>
      <c r="E315" s="8"/>
      <c r="F315" s="8"/>
      <c r="G315" s="8"/>
      <c r="H315" s="8"/>
      <c r="I315" s="8"/>
      <c r="J315" s="8"/>
      <c r="K315" s="8"/>
      <c r="L315" s="8"/>
      <c r="T315" s="8"/>
      <c r="U315" s="8"/>
      <c r="V315" s="8"/>
      <c r="W315" s="8"/>
      <c r="X315" s="8"/>
      <c r="Y315" s="8"/>
      <c r="Z315" s="8"/>
      <c r="AA315" s="8"/>
      <c r="AB315" s="8"/>
      <c r="AC315" s="8"/>
      <c r="AD315" s="8"/>
      <c r="AE315" s="8"/>
    </row>
    <row r="316" spans="1:31" x14ac:dyDescent="0.25">
      <c r="A316" s="8"/>
      <c r="B316" s="8"/>
      <c r="C316" s="8"/>
      <c r="D316" s="8"/>
      <c r="E316" s="8"/>
      <c r="F316" s="8"/>
      <c r="G316" s="8"/>
      <c r="H316" s="8"/>
      <c r="I316" s="8"/>
      <c r="J316" s="8"/>
      <c r="K316" s="8"/>
      <c r="L316" s="8"/>
      <c r="T316" s="8"/>
      <c r="U316" s="8"/>
      <c r="V316" s="8"/>
      <c r="W316" s="8"/>
      <c r="X316" s="8"/>
      <c r="Y316" s="8"/>
      <c r="Z316" s="8"/>
      <c r="AA316" s="8"/>
      <c r="AB316" s="8"/>
      <c r="AC316" s="8"/>
      <c r="AD316" s="8"/>
      <c r="AE316" s="8"/>
    </row>
    <row r="317" spans="1:31" x14ac:dyDescent="0.25">
      <c r="A317" s="8"/>
      <c r="B317" s="8"/>
      <c r="C317" s="8"/>
      <c r="D317" s="8"/>
      <c r="E317" s="8"/>
      <c r="F317" s="8"/>
      <c r="G317" s="8"/>
      <c r="H317" s="8"/>
      <c r="I317" s="8"/>
      <c r="J317" s="8"/>
      <c r="K317" s="8"/>
      <c r="L317" s="8"/>
      <c r="T317" s="8"/>
      <c r="U317" s="8"/>
      <c r="V317" s="8"/>
      <c r="W317" s="8"/>
      <c r="X317" s="8"/>
      <c r="Y317" s="8"/>
      <c r="Z317" s="8"/>
      <c r="AA317" s="8"/>
      <c r="AB317" s="8"/>
      <c r="AC317" s="8"/>
      <c r="AD317" s="8"/>
      <c r="AE317" s="8"/>
    </row>
    <row r="318" spans="1:31" x14ac:dyDescent="0.25">
      <c r="A318" s="8"/>
      <c r="B318" s="8"/>
      <c r="C318" s="8"/>
      <c r="D318" s="8"/>
      <c r="E318" s="8"/>
      <c r="F318" s="8"/>
      <c r="G318" s="8"/>
      <c r="H318" s="8"/>
      <c r="I318" s="8"/>
      <c r="J318" s="8"/>
      <c r="K318" s="8"/>
      <c r="L318" s="8"/>
      <c r="T318" s="8"/>
      <c r="U318" s="8"/>
      <c r="V318" s="8"/>
      <c r="W318" s="8"/>
      <c r="X318" s="8"/>
      <c r="Y318" s="8"/>
      <c r="Z318" s="8"/>
      <c r="AA318" s="8"/>
      <c r="AB318" s="8"/>
      <c r="AC318" s="8"/>
      <c r="AD318" s="8"/>
      <c r="AE318" s="8"/>
    </row>
    <row r="319" spans="1:31" x14ac:dyDescent="0.25">
      <c r="A319" s="8"/>
      <c r="B319" s="8"/>
      <c r="C319" s="8"/>
      <c r="D319" s="8"/>
      <c r="E319" s="8"/>
      <c r="F319" s="8"/>
      <c r="G319" s="8"/>
      <c r="H319" s="8"/>
      <c r="I319" s="8"/>
      <c r="J319" s="8"/>
      <c r="K319" s="8"/>
      <c r="L319" s="8"/>
      <c r="T319" s="8"/>
      <c r="U319" s="8"/>
      <c r="V319" s="8"/>
      <c r="W319" s="8"/>
      <c r="X319" s="8"/>
      <c r="Y319" s="8"/>
      <c r="Z319" s="8"/>
      <c r="AA319" s="8"/>
      <c r="AB319" s="8"/>
      <c r="AC319" s="8"/>
      <c r="AD319" s="8"/>
      <c r="AE319" s="8"/>
    </row>
    <row r="320" spans="1:31" x14ac:dyDescent="0.25">
      <c r="A320" s="8"/>
      <c r="B320" s="8"/>
      <c r="C320" s="8"/>
      <c r="D320" s="8"/>
      <c r="E320" s="8"/>
      <c r="F320" s="8"/>
      <c r="G320" s="8"/>
      <c r="H320" s="8"/>
      <c r="I320" s="8"/>
      <c r="J320" s="8"/>
      <c r="K320" s="8"/>
      <c r="L320" s="8"/>
      <c r="T320" s="8"/>
      <c r="U320" s="8"/>
      <c r="V320" s="8"/>
      <c r="W320" s="8"/>
      <c r="X320" s="8"/>
      <c r="Y320" s="8"/>
      <c r="Z320" s="8"/>
      <c r="AA320" s="8"/>
      <c r="AB320" s="8"/>
      <c r="AC320" s="8"/>
      <c r="AD320" s="8"/>
      <c r="AE320" s="8"/>
    </row>
    <row r="321" spans="1:31" x14ac:dyDescent="0.25">
      <c r="A321" s="8"/>
      <c r="B321" s="8"/>
      <c r="C321" s="8"/>
      <c r="D321" s="8"/>
      <c r="E321" s="8"/>
      <c r="F321" s="8"/>
      <c r="G321" s="8"/>
      <c r="H321" s="8"/>
      <c r="I321" s="8"/>
      <c r="J321" s="8"/>
      <c r="K321" s="8"/>
      <c r="L321" s="8"/>
      <c r="T321" s="8"/>
      <c r="U321" s="8"/>
      <c r="V321" s="8"/>
      <c r="W321" s="8"/>
      <c r="X321" s="8"/>
      <c r="Y321" s="8"/>
      <c r="Z321" s="8"/>
      <c r="AA321" s="8"/>
      <c r="AB321" s="8"/>
      <c r="AC321" s="8"/>
      <c r="AD321" s="8"/>
      <c r="AE321" s="8"/>
    </row>
    <row r="322" spans="1:31" x14ac:dyDescent="0.25">
      <c r="A322" s="8"/>
      <c r="B322" s="8"/>
      <c r="C322" s="8"/>
      <c r="D322" s="8"/>
      <c r="E322" s="8"/>
      <c r="F322" s="8"/>
      <c r="G322" s="8"/>
      <c r="H322" s="8"/>
      <c r="I322" s="8"/>
      <c r="J322" s="8"/>
      <c r="K322" s="8"/>
      <c r="L322" s="8"/>
      <c r="T322" s="8"/>
      <c r="U322" s="8"/>
      <c r="V322" s="8"/>
      <c r="W322" s="8"/>
      <c r="X322" s="8"/>
      <c r="Y322" s="8"/>
      <c r="Z322" s="8"/>
      <c r="AA322" s="8"/>
      <c r="AB322" s="8"/>
      <c r="AC322" s="8"/>
      <c r="AD322" s="8"/>
      <c r="AE322" s="8"/>
    </row>
    <row r="323" spans="1:31" x14ac:dyDescent="0.25">
      <c r="A323" s="8"/>
      <c r="B323" s="8"/>
      <c r="C323" s="8"/>
      <c r="D323" s="8"/>
      <c r="E323" s="8"/>
      <c r="F323" s="8"/>
      <c r="G323" s="8"/>
      <c r="H323" s="8"/>
      <c r="I323" s="8"/>
      <c r="J323" s="8"/>
      <c r="K323" s="8"/>
      <c r="L323" s="8"/>
      <c r="T323" s="8"/>
      <c r="U323" s="8"/>
      <c r="V323" s="8"/>
      <c r="W323" s="8"/>
      <c r="X323" s="8"/>
      <c r="Y323" s="8"/>
      <c r="Z323" s="8"/>
      <c r="AA323" s="8"/>
      <c r="AB323" s="8"/>
      <c r="AC323" s="8"/>
      <c r="AD323" s="8"/>
      <c r="AE323" s="8"/>
    </row>
    <row r="324" spans="1:31" x14ac:dyDescent="0.25">
      <c r="A324" s="8"/>
      <c r="B324" s="8"/>
      <c r="C324" s="8"/>
      <c r="D324" s="8"/>
      <c r="E324" s="8"/>
      <c r="F324" s="8"/>
      <c r="G324" s="8"/>
      <c r="H324" s="8"/>
      <c r="I324" s="8"/>
      <c r="J324" s="8"/>
      <c r="K324" s="8"/>
      <c r="L324" s="8"/>
      <c r="T324" s="8"/>
      <c r="U324" s="8"/>
      <c r="V324" s="8"/>
      <c r="W324" s="8"/>
      <c r="X324" s="8"/>
      <c r="Y324" s="8"/>
      <c r="Z324" s="8"/>
      <c r="AA324" s="8"/>
      <c r="AB324" s="8"/>
      <c r="AC324" s="8"/>
      <c r="AD324" s="8"/>
      <c r="AE324" s="8"/>
    </row>
    <row r="325" spans="1:31" x14ac:dyDescent="0.25">
      <c r="A325" s="8"/>
      <c r="B325" s="8"/>
      <c r="C325" s="8"/>
      <c r="D325" s="8"/>
      <c r="E325" s="8"/>
      <c r="F325" s="8"/>
      <c r="G325" s="8"/>
      <c r="H325" s="8"/>
      <c r="I325" s="8"/>
      <c r="J325" s="8"/>
      <c r="K325" s="8"/>
      <c r="L325" s="8"/>
      <c r="T325" s="8"/>
      <c r="U325" s="8"/>
      <c r="V325" s="8"/>
      <c r="W325" s="8"/>
      <c r="X325" s="8"/>
      <c r="Y325" s="8"/>
      <c r="Z325" s="8"/>
      <c r="AA325" s="8"/>
      <c r="AB325" s="8"/>
      <c r="AC325" s="8"/>
      <c r="AD325" s="8"/>
      <c r="AE325" s="8"/>
    </row>
    <row r="326" spans="1:31" x14ac:dyDescent="0.25">
      <c r="A326" s="8"/>
      <c r="B326" s="8"/>
      <c r="C326" s="8"/>
      <c r="D326" s="8"/>
      <c r="E326" s="8"/>
      <c r="F326" s="8"/>
      <c r="G326" s="8"/>
      <c r="H326" s="8"/>
      <c r="I326" s="8"/>
      <c r="J326" s="8"/>
      <c r="K326" s="8"/>
      <c r="L326" s="8"/>
      <c r="T326" s="8"/>
      <c r="U326" s="8"/>
      <c r="V326" s="8"/>
      <c r="W326" s="8"/>
      <c r="X326" s="8"/>
      <c r="Y326" s="8"/>
      <c r="Z326" s="8"/>
      <c r="AA326" s="8"/>
      <c r="AB326" s="8"/>
      <c r="AC326" s="8"/>
      <c r="AD326" s="8"/>
      <c r="AE326" s="8"/>
    </row>
    <row r="327" spans="1:31" x14ac:dyDescent="0.25">
      <c r="A327" s="8"/>
      <c r="B327" s="8"/>
      <c r="C327" s="8"/>
      <c r="D327" s="8"/>
      <c r="E327" s="8"/>
      <c r="F327" s="8"/>
      <c r="G327" s="8"/>
      <c r="H327" s="8"/>
      <c r="I327" s="8"/>
      <c r="J327" s="8"/>
      <c r="K327" s="8"/>
      <c r="L327" s="8"/>
      <c r="T327" s="8"/>
      <c r="U327" s="8"/>
      <c r="V327" s="8"/>
      <c r="W327" s="8"/>
      <c r="X327" s="8"/>
      <c r="Y327" s="8"/>
      <c r="Z327" s="8"/>
      <c r="AA327" s="8"/>
      <c r="AB327" s="8"/>
      <c r="AC327" s="8"/>
      <c r="AD327" s="8"/>
      <c r="AE327" s="8"/>
    </row>
    <row r="328" spans="1:31" x14ac:dyDescent="0.25">
      <c r="A328" s="8"/>
      <c r="B328" s="8"/>
      <c r="C328" s="8"/>
      <c r="D328" s="8"/>
      <c r="E328" s="8"/>
      <c r="F328" s="8"/>
      <c r="G328" s="8"/>
      <c r="H328" s="8"/>
      <c r="I328" s="8"/>
      <c r="J328" s="8"/>
      <c r="K328" s="8"/>
      <c r="L328" s="8"/>
      <c r="T328" s="8"/>
      <c r="U328" s="8"/>
      <c r="V328" s="8"/>
      <c r="W328" s="8"/>
      <c r="X328" s="8"/>
      <c r="Y328" s="8"/>
      <c r="Z328" s="8"/>
      <c r="AA328" s="8"/>
      <c r="AB328" s="8"/>
      <c r="AC328" s="8"/>
      <c r="AD328" s="8"/>
      <c r="AE328" s="8"/>
    </row>
    <row r="329" spans="1:31" x14ac:dyDescent="0.25">
      <c r="A329" s="8"/>
      <c r="B329" s="8"/>
      <c r="C329" s="8"/>
      <c r="D329" s="8"/>
      <c r="E329" s="8"/>
      <c r="F329" s="8"/>
      <c r="G329" s="8"/>
      <c r="H329" s="8"/>
      <c r="I329" s="8"/>
      <c r="J329" s="8"/>
      <c r="K329" s="8"/>
      <c r="L329" s="8"/>
      <c r="T329" s="8"/>
      <c r="U329" s="8"/>
      <c r="V329" s="8"/>
      <c r="W329" s="8"/>
      <c r="X329" s="8"/>
      <c r="Y329" s="8"/>
      <c r="Z329" s="8"/>
      <c r="AA329" s="8"/>
      <c r="AB329" s="8"/>
      <c r="AC329" s="8"/>
      <c r="AD329" s="8"/>
      <c r="AE329" s="8"/>
    </row>
    <row r="330" spans="1:31" x14ac:dyDescent="0.25">
      <c r="A330" s="8"/>
      <c r="B330" s="8"/>
      <c r="C330" s="8"/>
      <c r="D330" s="8"/>
      <c r="E330" s="8"/>
      <c r="F330" s="8"/>
      <c r="G330" s="8"/>
      <c r="H330" s="8"/>
      <c r="I330" s="8"/>
      <c r="J330" s="8"/>
      <c r="K330" s="8"/>
      <c r="L330" s="8"/>
      <c r="T330" s="8"/>
      <c r="U330" s="8"/>
      <c r="V330" s="8"/>
      <c r="W330" s="8"/>
      <c r="X330" s="8"/>
      <c r="Y330" s="8"/>
      <c r="Z330" s="8"/>
      <c r="AA330" s="8"/>
      <c r="AB330" s="8"/>
      <c r="AC330" s="8"/>
      <c r="AD330" s="8"/>
      <c r="AE330" s="8"/>
    </row>
    <row r="331" spans="1:31" x14ac:dyDescent="0.25">
      <c r="A331" s="8"/>
      <c r="B331" s="8"/>
      <c r="C331" s="8"/>
      <c r="D331" s="8"/>
      <c r="E331" s="8"/>
      <c r="F331" s="8"/>
      <c r="G331" s="8"/>
      <c r="H331" s="8"/>
      <c r="I331" s="8"/>
      <c r="J331" s="8"/>
      <c r="K331" s="8"/>
      <c r="L331" s="8"/>
      <c r="T331" s="8"/>
      <c r="U331" s="8"/>
      <c r="V331" s="8"/>
      <c r="W331" s="8"/>
      <c r="X331" s="8"/>
      <c r="Y331" s="8"/>
      <c r="Z331" s="8"/>
      <c r="AA331" s="8"/>
      <c r="AB331" s="8"/>
      <c r="AC331" s="8"/>
      <c r="AD331" s="8"/>
      <c r="AE331" s="8"/>
    </row>
    <row r="332" spans="1:31" x14ac:dyDescent="0.25">
      <c r="A332" s="8"/>
      <c r="B332" s="8"/>
      <c r="C332" s="8"/>
      <c r="D332" s="8"/>
      <c r="E332" s="8"/>
      <c r="F332" s="8"/>
      <c r="G332" s="8"/>
      <c r="H332" s="8"/>
      <c r="I332" s="8"/>
      <c r="J332" s="8"/>
      <c r="K332" s="8"/>
      <c r="L332" s="8"/>
      <c r="T332" s="8"/>
      <c r="U332" s="8"/>
      <c r="V332" s="8"/>
      <c r="W332" s="8"/>
      <c r="X332" s="8"/>
      <c r="Y332" s="8"/>
      <c r="Z332" s="8"/>
      <c r="AA332" s="8"/>
      <c r="AB332" s="8"/>
      <c r="AC332" s="8"/>
      <c r="AD332" s="8"/>
      <c r="AE332" s="8"/>
    </row>
    <row r="333" spans="1:31" x14ac:dyDescent="0.25">
      <c r="A333" s="8"/>
      <c r="B333" s="8"/>
      <c r="C333" s="8"/>
      <c r="D333" s="8"/>
      <c r="E333" s="8"/>
      <c r="F333" s="8"/>
      <c r="G333" s="8"/>
      <c r="H333" s="8"/>
      <c r="I333" s="8"/>
      <c r="J333" s="8"/>
      <c r="K333" s="8"/>
      <c r="L333" s="8"/>
      <c r="T333" s="8"/>
      <c r="U333" s="8"/>
      <c r="V333" s="8"/>
      <c r="W333" s="8"/>
      <c r="X333" s="8"/>
      <c r="Y333" s="8"/>
      <c r="Z333" s="8"/>
      <c r="AA333" s="8"/>
      <c r="AB333" s="8"/>
      <c r="AC333" s="8"/>
      <c r="AD333" s="8"/>
      <c r="AE333" s="8"/>
    </row>
    <row r="334" spans="1:31" x14ac:dyDescent="0.25">
      <c r="A334" s="8"/>
      <c r="B334" s="8"/>
      <c r="C334" s="8"/>
      <c r="D334" s="8"/>
      <c r="E334" s="8"/>
      <c r="F334" s="8"/>
      <c r="G334" s="8"/>
      <c r="H334" s="8"/>
      <c r="I334" s="8"/>
      <c r="J334" s="8"/>
      <c r="K334" s="8"/>
      <c r="L334" s="8"/>
      <c r="T334" s="8"/>
      <c r="U334" s="8"/>
      <c r="V334" s="8"/>
      <c r="W334" s="8"/>
      <c r="X334" s="8"/>
      <c r="Y334" s="8"/>
      <c r="Z334" s="8"/>
      <c r="AA334" s="8"/>
      <c r="AB334" s="8"/>
      <c r="AC334" s="8"/>
      <c r="AD334" s="8"/>
      <c r="AE334" s="8"/>
    </row>
    <row r="335" spans="1:31" x14ac:dyDescent="0.25">
      <c r="A335" s="8"/>
      <c r="B335" s="8"/>
      <c r="C335" s="8"/>
      <c r="D335" s="8"/>
      <c r="E335" s="8"/>
      <c r="F335" s="8"/>
      <c r="G335" s="8"/>
      <c r="H335" s="8"/>
      <c r="I335" s="8"/>
      <c r="J335" s="8"/>
      <c r="K335" s="8"/>
      <c r="L335" s="8"/>
      <c r="T335" s="8"/>
      <c r="U335" s="8"/>
      <c r="V335" s="8"/>
      <c r="W335" s="8"/>
      <c r="X335" s="8"/>
      <c r="Y335" s="8"/>
      <c r="Z335" s="8"/>
      <c r="AA335" s="8"/>
      <c r="AB335" s="8"/>
      <c r="AC335" s="8"/>
      <c r="AD335" s="8"/>
      <c r="AE335" s="8"/>
    </row>
    <row r="336" spans="1:31" x14ac:dyDescent="0.25">
      <c r="A336" s="8"/>
      <c r="B336" s="8"/>
      <c r="C336" s="8"/>
      <c r="D336" s="8"/>
      <c r="E336" s="8"/>
      <c r="F336" s="8"/>
      <c r="G336" s="8"/>
      <c r="H336" s="8"/>
      <c r="I336" s="8"/>
      <c r="J336" s="8"/>
      <c r="K336" s="8"/>
      <c r="L336" s="8"/>
      <c r="T336" s="8"/>
      <c r="U336" s="8"/>
      <c r="V336" s="8"/>
      <c r="W336" s="8"/>
      <c r="X336" s="8"/>
      <c r="Y336" s="8"/>
      <c r="Z336" s="8"/>
      <c r="AA336" s="8"/>
      <c r="AB336" s="8"/>
      <c r="AC336" s="8"/>
      <c r="AD336" s="8"/>
      <c r="AE336" s="8"/>
    </row>
    <row r="337" spans="1:31" x14ac:dyDescent="0.25">
      <c r="A337" s="8"/>
      <c r="B337" s="8"/>
      <c r="C337" s="8"/>
      <c r="D337" s="8"/>
      <c r="E337" s="8"/>
      <c r="F337" s="8"/>
      <c r="G337" s="8"/>
      <c r="H337" s="8"/>
      <c r="I337" s="8"/>
      <c r="J337" s="8"/>
      <c r="K337" s="8"/>
      <c r="L337" s="8"/>
      <c r="T337" s="8"/>
      <c r="U337" s="8"/>
      <c r="V337" s="8"/>
      <c r="W337" s="8"/>
      <c r="X337" s="8"/>
      <c r="Y337" s="8"/>
      <c r="Z337" s="8"/>
      <c r="AA337" s="8"/>
      <c r="AB337" s="8"/>
      <c r="AC337" s="8"/>
      <c r="AD337" s="8"/>
      <c r="AE337" s="8"/>
    </row>
    <row r="338" spans="1:31" x14ac:dyDescent="0.25">
      <c r="A338" s="8"/>
      <c r="B338" s="8"/>
      <c r="C338" s="8"/>
      <c r="D338" s="8"/>
      <c r="E338" s="8"/>
      <c r="F338" s="8"/>
      <c r="G338" s="8"/>
      <c r="H338" s="8"/>
      <c r="I338" s="8"/>
      <c r="J338" s="8"/>
      <c r="K338" s="8"/>
      <c r="L338" s="8"/>
      <c r="T338" s="8"/>
      <c r="U338" s="8"/>
      <c r="V338" s="8"/>
      <c r="W338" s="8"/>
      <c r="X338" s="8"/>
      <c r="Y338" s="8"/>
      <c r="Z338" s="8"/>
      <c r="AA338" s="8"/>
      <c r="AB338" s="8"/>
      <c r="AC338" s="8"/>
      <c r="AD338" s="8"/>
      <c r="AE338" s="8"/>
    </row>
    <row r="339" spans="1:31" x14ac:dyDescent="0.25">
      <c r="A339" s="8"/>
      <c r="B339" s="8"/>
      <c r="C339" s="8"/>
      <c r="D339" s="8"/>
      <c r="E339" s="8"/>
      <c r="F339" s="8"/>
      <c r="G339" s="8"/>
      <c r="H339" s="8"/>
      <c r="I339" s="8"/>
      <c r="J339" s="8"/>
      <c r="K339" s="8"/>
      <c r="L339" s="8"/>
      <c r="T339" s="8"/>
      <c r="U339" s="8"/>
      <c r="V339" s="8"/>
      <c r="W339" s="8"/>
      <c r="X339" s="8"/>
      <c r="Y339" s="8"/>
      <c r="Z339" s="8"/>
      <c r="AA339" s="8"/>
      <c r="AB339" s="8"/>
      <c r="AC339" s="8"/>
      <c r="AD339" s="8"/>
      <c r="AE339" s="8"/>
    </row>
    <row r="340" spans="1:31" x14ac:dyDescent="0.25">
      <c r="A340" s="8"/>
      <c r="B340" s="8"/>
      <c r="C340" s="8"/>
      <c r="D340" s="8"/>
      <c r="E340" s="8"/>
      <c r="F340" s="8"/>
      <c r="G340" s="8"/>
      <c r="H340" s="8"/>
      <c r="I340" s="8"/>
      <c r="J340" s="8"/>
      <c r="K340" s="8"/>
      <c r="L340" s="8"/>
      <c r="T340" s="8"/>
      <c r="U340" s="8"/>
      <c r="V340" s="8"/>
      <c r="W340" s="8"/>
      <c r="X340" s="8"/>
      <c r="Y340" s="8"/>
      <c r="Z340" s="8"/>
      <c r="AA340" s="8"/>
      <c r="AB340" s="8"/>
      <c r="AC340" s="8"/>
      <c r="AD340" s="8"/>
      <c r="AE340" s="8"/>
    </row>
    <row r="341" spans="1:31" x14ac:dyDescent="0.25">
      <c r="A341" s="8"/>
      <c r="B341" s="8"/>
      <c r="C341" s="8"/>
      <c r="D341" s="8"/>
      <c r="E341" s="8"/>
      <c r="F341" s="8"/>
      <c r="G341" s="8"/>
      <c r="H341" s="8"/>
      <c r="I341" s="8"/>
      <c r="J341" s="8"/>
      <c r="K341" s="8"/>
      <c r="L341" s="8"/>
      <c r="T341" s="8"/>
      <c r="U341" s="8"/>
      <c r="V341" s="8"/>
      <c r="W341" s="8"/>
      <c r="X341" s="8"/>
      <c r="Y341" s="8"/>
      <c r="Z341" s="8"/>
      <c r="AA341" s="8"/>
      <c r="AB341" s="8"/>
      <c r="AC341" s="8"/>
      <c r="AD341" s="8"/>
      <c r="AE341" s="8"/>
    </row>
    <row r="342" spans="1:31" x14ac:dyDescent="0.25">
      <c r="A342" s="8"/>
      <c r="B342" s="8"/>
      <c r="C342" s="8"/>
      <c r="D342" s="8"/>
      <c r="E342" s="8"/>
      <c r="F342" s="8"/>
      <c r="G342" s="8"/>
      <c r="H342" s="8"/>
      <c r="I342" s="8"/>
      <c r="J342" s="8"/>
      <c r="K342" s="8"/>
      <c r="L342" s="8"/>
      <c r="T342" s="8"/>
      <c r="U342" s="8"/>
      <c r="V342" s="8"/>
      <c r="W342" s="8"/>
      <c r="X342" s="8"/>
      <c r="Y342" s="8"/>
      <c r="Z342" s="8"/>
      <c r="AA342" s="8"/>
      <c r="AB342" s="8"/>
      <c r="AC342" s="8"/>
      <c r="AD342" s="8"/>
      <c r="AE342" s="8"/>
    </row>
    <row r="343" spans="1:31" x14ac:dyDescent="0.25">
      <c r="A343" s="8"/>
      <c r="B343" s="8"/>
      <c r="C343" s="8"/>
      <c r="D343" s="8"/>
      <c r="E343" s="8"/>
      <c r="F343" s="8"/>
      <c r="G343" s="8"/>
      <c r="H343" s="8"/>
      <c r="I343" s="8"/>
      <c r="J343" s="8"/>
      <c r="K343" s="8"/>
      <c r="L343" s="8"/>
      <c r="T343" s="8"/>
      <c r="U343" s="8"/>
      <c r="V343" s="8"/>
      <c r="W343" s="8"/>
      <c r="X343" s="8"/>
      <c r="Y343" s="8"/>
      <c r="Z343" s="8"/>
      <c r="AA343" s="8"/>
      <c r="AB343" s="8"/>
      <c r="AC343" s="8"/>
      <c r="AD343" s="8"/>
      <c r="AE343" s="8"/>
    </row>
    <row r="344" spans="1:31" x14ac:dyDescent="0.25">
      <c r="A344" s="8"/>
      <c r="B344" s="8"/>
      <c r="C344" s="8"/>
      <c r="D344" s="8"/>
      <c r="E344" s="8"/>
      <c r="F344" s="8"/>
      <c r="G344" s="8"/>
      <c r="H344" s="8"/>
      <c r="I344" s="8"/>
      <c r="J344" s="8"/>
      <c r="K344" s="8"/>
      <c r="L344" s="8"/>
      <c r="T344" s="8"/>
      <c r="U344" s="8"/>
      <c r="V344" s="8"/>
      <c r="W344" s="8"/>
      <c r="X344" s="8"/>
      <c r="Y344" s="8"/>
      <c r="Z344" s="8"/>
      <c r="AA344" s="8"/>
      <c r="AB344" s="8"/>
      <c r="AC344" s="8"/>
      <c r="AD344" s="8"/>
      <c r="AE344" s="8"/>
    </row>
    <row r="345" spans="1:31" x14ac:dyDescent="0.25">
      <c r="A345" s="8"/>
      <c r="B345" s="8"/>
      <c r="C345" s="8"/>
      <c r="D345" s="8"/>
      <c r="E345" s="8"/>
      <c r="F345" s="8"/>
      <c r="G345" s="8"/>
      <c r="H345" s="8"/>
      <c r="I345" s="8"/>
      <c r="J345" s="8"/>
      <c r="K345" s="8"/>
      <c r="L345" s="8"/>
      <c r="T345" s="8"/>
      <c r="U345" s="8"/>
      <c r="V345" s="8"/>
      <c r="W345" s="8"/>
      <c r="X345" s="8"/>
      <c r="Y345" s="8"/>
      <c r="Z345" s="8"/>
      <c r="AA345" s="8"/>
      <c r="AB345" s="8"/>
      <c r="AC345" s="8"/>
      <c r="AD345" s="8"/>
      <c r="AE345" s="8"/>
    </row>
    <row r="346" spans="1:31" x14ac:dyDescent="0.25">
      <c r="A346" s="8"/>
      <c r="B346" s="8"/>
      <c r="C346" s="8"/>
      <c r="D346" s="8"/>
      <c r="E346" s="8"/>
      <c r="F346" s="8"/>
      <c r="G346" s="8"/>
      <c r="H346" s="8"/>
      <c r="I346" s="8"/>
      <c r="J346" s="8"/>
      <c r="K346" s="8"/>
      <c r="L346" s="8"/>
      <c r="T346" s="8"/>
      <c r="U346" s="8"/>
      <c r="V346" s="8"/>
      <c r="W346" s="8"/>
      <c r="X346" s="8"/>
      <c r="Y346" s="8"/>
      <c r="Z346" s="8"/>
      <c r="AA346" s="8"/>
      <c r="AB346" s="8"/>
      <c r="AC346" s="8"/>
      <c r="AD346" s="8"/>
      <c r="AE346" s="8"/>
    </row>
    <row r="347" spans="1:31" x14ac:dyDescent="0.25">
      <c r="A347" s="8"/>
      <c r="B347" s="8"/>
      <c r="C347" s="8"/>
      <c r="D347" s="8"/>
      <c r="E347" s="8"/>
      <c r="F347" s="8"/>
      <c r="G347" s="8"/>
      <c r="H347" s="8"/>
      <c r="I347" s="8"/>
      <c r="J347" s="8"/>
      <c r="K347" s="8"/>
      <c r="L347" s="8"/>
      <c r="T347" s="8"/>
      <c r="U347" s="8"/>
      <c r="V347" s="8"/>
      <c r="W347" s="8"/>
      <c r="X347" s="8"/>
      <c r="Y347" s="8"/>
      <c r="Z347" s="8"/>
      <c r="AA347" s="8"/>
      <c r="AB347" s="8"/>
      <c r="AC347" s="8"/>
      <c r="AD347" s="8"/>
      <c r="AE347" s="8"/>
    </row>
    <row r="348" spans="1:31" x14ac:dyDescent="0.25">
      <c r="A348" s="8"/>
      <c r="B348" s="8"/>
      <c r="C348" s="8"/>
      <c r="D348" s="8"/>
      <c r="E348" s="8"/>
      <c r="F348" s="8"/>
      <c r="G348" s="8"/>
      <c r="H348" s="8"/>
      <c r="I348" s="8"/>
      <c r="J348" s="8"/>
      <c r="K348" s="8"/>
      <c r="L348" s="8"/>
      <c r="T348" s="8"/>
      <c r="U348" s="8"/>
      <c r="V348" s="8"/>
      <c r="W348" s="8"/>
      <c r="X348" s="8"/>
      <c r="Y348" s="8"/>
      <c r="Z348" s="8"/>
      <c r="AA348" s="8"/>
      <c r="AB348" s="8"/>
      <c r="AC348" s="8"/>
      <c r="AD348" s="8"/>
      <c r="AE348" s="8"/>
    </row>
    <row r="349" spans="1:31" x14ac:dyDescent="0.25">
      <c r="A349" s="8"/>
      <c r="B349" s="8"/>
      <c r="C349" s="8"/>
      <c r="D349" s="8"/>
      <c r="E349" s="8"/>
      <c r="F349" s="8"/>
      <c r="G349" s="8"/>
      <c r="H349" s="8"/>
      <c r="I349" s="8"/>
      <c r="J349" s="8"/>
      <c r="K349" s="8"/>
      <c r="L349" s="8"/>
      <c r="T349" s="8"/>
      <c r="U349" s="8"/>
      <c r="V349" s="8"/>
      <c r="W349" s="8"/>
      <c r="X349" s="8"/>
      <c r="Y349" s="8"/>
      <c r="Z349" s="8"/>
      <c r="AA349" s="8"/>
      <c r="AB349" s="8"/>
      <c r="AC349" s="8"/>
      <c r="AD349" s="8"/>
      <c r="AE349" s="8"/>
    </row>
    <row r="350" spans="1:31" x14ac:dyDescent="0.25">
      <c r="A350" s="8"/>
      <c r="B350" s="8"/>
      <c r="C350" s="8"/>
      <c r="D350" s="8"/>
      <c r="E350" s="8"/>
      <c r="F350" s="8"/>
      <c r="G350" s="8"/>
      <c r="H350" s="8"/>
      <c r="I350" s="8"/>
      <c r="J350" s="8"/>
      <c r="K350" s="8"/>
      <c r="L350" s="8"/>
      <c r="T350" s="8"/>
      <c r="U350" s="8"/>
      <c r="V350" s="8"/>
      <c r="W350" s="8"/>
      <c r="X350" s="8"/>
      <c r="Y350" s="8"/>
      <c r="Z350" s="8"/>
      <c r="AA350" s="8"/>
      <c r="AB350" s="8"/>
      <c r="AC350" s="8"/>
      <c r="AD350" s="8"/>
      <c r="AE350" s="8"/>
    </row>
    <row r="351" spans="1:31" x14ac:dyDescent="0.25">
      <c r="A351" s="8"/>
      <c r="B351" s="8"/>
      <c r="C351" s="8"/>
      <c r="D351" s="8"/>
      <c r="E351" s="8"/>
      <c r="F351" s="8"/>
      <c r="G351" s="8"/>
      <c r="H351" s="8"/>
      <c r="I351" s="8"/>
      <c r="J351" s="8"/>
      <c r="K351" s="8"/>
      <c r="L351" s="8"/>
      <c r="T351" s="8"/>
      <c r="U351" s="8"/>
      <c r="V351" s="8"/>
      <c r="W351" s="8"/>
      <c r="X351" s="8"/>
      <c r="Y351" s="8"/>
      <c r="Z351" s="8"/>
      <c r="AA351" s="8"/>
      <c r="AB351" s="8"/>
      <c r="AC351" s="8"/>
      <c r="AD351" s="8"/>
      <c r="AE351" s="8"/>
    </row>
    <row r="352" spans="1:31" x14ac:dyDescent="0.25">
      <c r="A352" s="8"/>
      <c r="B352" s="8"/>
      <c r="C352" s="8"/>
      <c r="D352" s="8"/>
      <c r="E352" s="8"/>
      <c r="F352" s="8"/>
      <c r="G352" s="8"/>
      <c r="H352" s="8"/>
      <c r="I352" s="8"/>
      <c r="J352" s="8"/>
      <c r="K352" s="8"/>
      <c r="L352" s="8"/>
      <c r="T352" s="8"/>
      <c r="U352" s="8"/>
      <c r="V352" s="8"/>
      <c r="W352" s="8"/>
      <c r="X352" s="8"/>
      <c r="Y352" s="8"/>
      <c r="Z352" s="8"/>
      <c r="AA352" s="8"/>
      <c r="AB352" s="8"/>
      <c r="AC352" s="8"/>
      <c r="AD352" s="8"/>
      <c r="AE352" s="8"/>
    </row>
    <row r="353" spans="1:31" x14ac:dyDescent="0.25">
      <c r="A353" s="8"/>
      <c r="B353" s="8"/>
      <c r="C353" s="8"/>
      <c r="D353" s="8"/>
      <c r="E353" s="8"/>
      <c r="F353" s="8"/>
      <c r="G353" s="8"/>
      <c r="H353" s="8"/>
      <c r="I353" s="8"/>
      <c r="J353" s="8"/>
      <c r="K353" s="8"/>
      <c r="L353" s="8"/>
      <c r="T353" s="8"/>
      <c r="U353" s="8"/>
      <c r="V353" s="8"/>
      <c r="W353" s="8"/>
      <c r="X353" s="8"/>
      <c r="Y353" s="8"/>
      <c r="Z353" s="8"/>
      <c r="AA353" s="8"/>
      <c r="AB353" s="8"/>
      <c r="AC353" s="8"/>
      <c r="AD353" s="8"/>
      <c r="AE353" s="8"/>
    </row>
    <row r="354" spans="1:31" x14ac:dyDescent="0.25">
      <c r="A354" s="8"/>
      <c r="B354" s="8"/>
      <c r="C354" s="8"/>
      <c r="D354" s="8"/>
      <c r="E354" s="8"/>
      <c r="F354" s="8"/>
      <c r="G354" s="8"/>
      <c r="H354" s="8"/>
      <c r="I354" s="8"/>
      <c r="J354" s="8"/>
      <c r="K354" s="8"/>
      <c r="L354" s="8"/>
      <c r="T354" s="8"/>
      <c r="U354" s="8"/>
      <c r="V354" s="8"/>
      <c r="W354" s="8"/>
      <c r="X354" s="8"/>
      <c r="Y354" s="8"/>
      <c r="Z354" s="8"/>
      <c r="AA354" s="8"/>
      <c r="AB354" s="8"/>
      <c r="AC354" s="8"/>
      <c r="AD354" s="8"/>
      <c r="AE354" s="8"/>
    </row>
    <row r="355" spans="1:31" x14ac:dyDescent="0.25">
      <c r="A355" s="8"/>
      <c r="B355" s="8"/>
      <c r="C355" s="8"/>
      <c r="D355" s="8"/>
      <c r="E355" s="8"/>
      <c r="F355" s="8"/>
      <c r="G355" s="8"/>
      <c r="H355" s="8"/>
      <c r="I355" s="8"/>
      <c r="J355" s="8"/>
      <c r="K355" s="8"/>
      <c r="L355" s="8"/>
      <c r="T355" s="8"/>
      <c r="U355" s="8"/>
      <c r="V355" s="8"/>
      <c r="W355" s="8"/>
      <c r="X355" s="8"/>
      <c r="Y355" s="8"/>
      <c r="Z355" s="8"/>
      <c r="AA355" s="8"/>
      <c r="AB355" s="8"/>
      <c r="AC355" s="8"/>
      <c r="AD355" s="8"/>
      <c r="AE355" s="8"/>
    </row>
    <row r="356" spans="1:31" x14ac:dyDescent="0.25">
      <c r="A356" s="8"/>
      <c r="B356" s="8"/>
      <c r="C356" s="8"/>
      <c r="D356" s="8"/>
      <c r="E356" s="8"/>
      <c r="F356" s="8"/>
      <c r="G356" s="8"/>
      <c r="H356" s="8"/>
      <c r="I356" s="8"/>
      <c r="J356" s="8"/>
      <c r="K356" s="8"/>
      <c r="L356" s="8"/>
      <c r="T356" s="8"/>
      <c r="U356" s="8"/>
      <c r="V356" s="8"/>
      <c r="W356" s="8"/>
      <c r="X356" s="8"/>
      <c r="Y356" s="8"/>
      <c r="Z356" s="8"/>
      <c r="AA356" s="8"/>
      <c r="AB356" s="8"/>
      <c r="AC356" s="8"/>
      <c r="AD356" s="8"/>
      <c r="AE356" s="8"/>
    </row>
    <row r="357" spans="1:31" x14ac:dyDescent="0.25">
      <c r="A357" s="8"/>
      <c r="B357" s="8"/>
      <c r="C357" s="8"/>
      <c r="D357" s="8"/>
      <c r="E357" s="8"/>
      <c r="F357" s="8"/>
      <c r="G357" s="8"/>
      <c r="H357" s="8"/>
      <c r="I357" s="8"/>
      <c r="J357" s="8"/>
      <c r="K357" s="8"/>
      <c r="L357" s="8"/>
      <c r="T357" s="8"/>
      <c r="U357" s="8"/>
      <c r="V357" s="8"/>
      <c r="W357" s="8"/>
      <c r="X357" s="8"/>
      <c r="Y357" s="8"/>
      <c r="Z357" s="8"/>
      <c r="AA357" s="8"/>
      <c r="AB357" s="8"/>
      <c r="AC357" s="8"/>
      <c r="AD357" s="8"/>
      <c r="AE357" s="8"/>
    </row>
    <row r="358" spans="1:31" x14ac:dyDescent="0.25">
      <c r="A358" s="8"/>
      <c r="B358" s="8"/>
      <c r="C358" s="8"/>
      <c r="D358" s="8"/>
      <c r="E358" s="8"/>
      <c r="F358" s="8"/>
      <c r="G358" s="8"/>
      <c r="H358" s="8"/>
      <c r="I358" s="8"/>
      <c r="J358" s="8"/>
      <c r="K358" s="8"/>
      <c r="L358" s="8"/>
      <c r="T358" s="8"/>
      <c r="U358" s="8"/>
      <c r="V358" s="8"/>
      <c r="W358" s="8"/>
      <c r="X358" s="8"/>
      <c r="Y358" s="8"/>
      <c r="Z358" s="8"/>
      <c r="AA358" s="8"/>
      <c r="AB358" s="8"/>
      <c r="AC358" s="8"/>
      <c r="AD358" s="8"/>
      <c r="AE358" s="8"/>
    </row>
    <row r="359" spans="1:31" x14ac:dyDescent="0.25">
      <c r="A359" s="8"/>
      <c r="B359" s="8"/>
      <c r="C359" s="8"/>
      <c r="D359" s="8"/>
      <c r="E359" s="8"/>
      <c r="F359" s="8"/>
      <c r="G359" s="8"/>
      <c r="H359" s="8"/>
      <c r="I359" s="8"/>
      <c r="J359" s="8"/>
      <c r="K359" s="8"/>
      <c r="L359" s="8"/>
      <c r="T359" s="8"/>
      <c r="U359" s="8"/>
      <c r="V359" s="8"/>
      <c r="W359" s="8"/>
      <c r="X359" s="8"/>
      <c r="Y359" s="8"/>
      <c r="Z359" s="8"/>
      <c r="AA359" s="8"/>
      <c r="AB359" s="8"/>
      <c r="AC359" s="8"/>
      <c r="AD359" s="8"/>
      <c r="AE359" s="8"/>
    </row>
    <row r="360" spans="1:31" x14ac:dyDescent="0.25">
      <c r="A360" s="8"/>
      <c r="B360" s="8"/>
      <c r="C360" s="8"/>
      <c r="D360" s="8"/>
      <c r="E360" s="8"/>
      <c r="F360" s="8"/>
      <c r="G360" s="8"/>
      <c r="H360" s="8"/>
      <c r="I360" s="8"/>
      <c r="J360" s="8"/>
      <c r="K360" s="8"/>
      <c r="L360" s="8"/>
      <c r="T360" s="8"/>
      <c r="U360" s="8"/>
      <c r="V360" s="8"/>
      <c r="W360" s="8"/>
      <c r="X360" s="8"/>
      <c r="Y360" s="8"/>
      <c r="Z360" s="8"/>
      <c r="AA360" s="8"/>
      <c r="AB360" s="8"/>
      <c r="AC360" s="8"/>
      <c r="AD360" s="8"/>
      <c r="AE360" s="8"/>
    </row>
    <row r="361" spans="1:31" x14ac:dyDescent="0.25">
      <c r="A361" s="8"/>
      <c r="B361" s="8"/>
      <c r="C361" s="8"/>
      <c r="D361" s="8"/>
      <c r="E361" s="8"/>
      <c r="F361" s="8"/>
      <c r="G361" s="8"/>
      <c r="H361" s="8"/>
      <c r="I361" s="8"/>
      <c r="J361" s="8"/>
      <c r="K361" s="8"/>
      <c r="L361" s="8"/>
      <c r="T361" s="8"/>
      <c r="U361" s="8"/>
      <c r="V361" s="8"/>
      <c r="W361" s="8"/>
      <c r="X361" s="8"/>
      <c r="Y361" s="8"/>
      <c r="Z361" s="8"/>
      <c r="AA361" s="8"/>
      <c r="AB361" s="8"/>
      <c r="AC361" s="8"/>
      <c r="AD361" s="8"/>
      <c r="AE361" s="8"/>
    </row>
    <row r="362" spans="1:31" x14ac:dyDescent="0.25">
      <c r="A362" s="8"/>
      <c r="B362" s="8"/>
      <c r="C362" s="8"/>
      <c r="D362" s="8"/>
      <c r="E362" s="8"/>
      <c r="F362" s="8"/>
      <c r="G362" s="8"/>
      <c r="H362" s="8"/>
      <c r="I362" s="8"/>
      <c r="J362" s="8"/>
      <c r="K362" s="8"/>
      <c r="L362" s="8"/>
      <c r="T362" s="8"/>
      <c r="U362" s="8"/>
      <c r="V362" s="8"/>
      <c r="W362" s="8"/>
      <c r="X362" s="8"/>
      <c r="Y362" s="8"/>
      <c r="Z362" s="8"/>
      <c r="AA362" s="8"/>
      <c r="AB362" s="8"/>
      <c r="AC362" s="8"/>
      <c r="AD362" s="8"/>
      <c r="AE362" s="8"/>
    </row>
    <row r="363" spans="1:31" x14ac:dyDescent="0.25">
      <c r="A363" s="8"/>
      <c r="B363" s="8"/>
      <c r="C363" s="8"/>
      <c r="D363" s="8"/>
      <c r="E363" s="8"/>
      <c r="F363" s="8"/>
      <c r="G363" s="8"/>
      <c r="H363" s="8"/>
      <c r="I363" s="8"/>
      <c r="J363" s="8"/>
      <c r="K363" s="8"/>
      <c r="L363" s="8"/>
      <c r="T363" s="8"/>
      <c r="U363" s="8"/>
      <c r="V363" s="8"/>
      <c r="W363" s="8"/>
      <c r="X363" s="8"/>
      <c r="Y363" s="8"/>
      <c r="Z363" s="8"/>
      <c r="AA363" s="8"/>
      <c r="AB363" s="8"/>
      <c r="AC363" s="8"/>
      <c r="AD363" s="8"/>
      <c r="AE363" s="8"/>
    </row>
    <row r="364" spans="1:31" x14ac:dyDescent="0.25">
      <c r="A364" s="8"/>
      <c r="B364" s="8"/>
      <c r="C364" s="8"/>
      <c r="D364" s="8"/>
      <c r="E364" s="8"/>
      <c r="F364" s="8"/>
      <c r="G364" s="8"/>
      <c r="H364" s="8"/>
      <c r="I364" s="8"/>
      <c r="J364" s="8"/>
      <c r="K364" s="8"/>
      <c r="L364" s="8"/>
      <c r="T364" s="8"/>
      <c r="U364" s="8"/>
      <c r="V364" s="8"/>
      <c r="W364" s="8"/>
      <c r="X364" s="8"/>
      <c r="Y364" s="8"/>
      <c r="Z364" s="8"/>
      <c r="AA364" s="8"/>
      <c r="AB364" s="8"/>
      <c r="AC364" s="8"/>
      <c r="AD364" s="8"/>
      <c r="AE364" s="8"/>
    </row>
    <row r="365" spans="1:31" x14ac:dyDescent="0.25">
      <c r="A365" s="8"/>
      <c r="B365" s="8"/>
      <c r="C365" s="8"/>
      <c r="D365" s="8"/>
      <c r="E365" s="8"/>
      <c r="F365" s="8"/>
      <c r="G365" s="8"/>
      <c r="H365" s="8"/>
      <c r="I365" s="8"/>
      <c r="J365" s="8"/>
      <c r="K365" s="8"/>
      <c r="L365" s="8"/>
      <c r="T365" s="8"/>
      <c r="U365" s="8"/>
      <c r="V365" s="8"/>
      <c r="W365" s="8"/>
      <c r="X365" s="8"/>
      <c r="Y365" s="8"/>
      <c r="Z365" s="8"/>
      <c r="AA365" s="8"/>
      <c r="AB365" s="8"/>
      <c r="AC365" s="8"/>
      <c r="AD365" s="8"/>
      <c r="AE365" s="8"/>
    </row>
    <row r="366" spans="1:31" x14ac:dyDescent="0.25">
      <c r="A366" s="8"/>
      <c r="B366" s="8"/>
      <c r="C366" s="8"/>
      <c r="D366" s="8"/>
      <c r="E366" s="8"/>
      <c r="F366" s="8"/>
      <c r="G366" s="8"/>
      <c r="H366" s="8"/>
      <c r="I366" s="8"/>
      <c r="J366" s="8"/>
      <c r="K366" s="8"/>
      <c r="L366" s="8"/>
      <c r="T366" s="8"/>
      <c r="U366" s="8"/>
      <c r="V366" s="8"/>
      <c r="W366" s="8"/>
      <c r="X366" s="8"/>
      <c r="Y366" s="8"/>
      <c r="Z366" s="8"/>
      <c r="AA366" s="8"/>
      <c r="AB366" s="8"/>
      <c r="AC366" s="8"/>
      <c r="AD366" s="8"/>
      <c r="AE366" s="8"/>
    </row>
    <row r="367" spans="1:31" x14ac:dyDescent="0.25">
      <c r="A367" s="8"/>
      <c r="B367" s="8"/>
      <c r="C367" s="8"/>
      <c r="D367" s="8"/>
      <c r="E367" s="8"/>
      <c r="F367" s="8"/>
      <c r="G367" s="8"/>
      <c r="H367" s="8"/>
      <c r="I367" s="8"/>
      <c r="J367" s="8"/>
      <c r="K367" s="8"/>
      <c r="L367" s="8"/>
      <c r="T367" s="8"/>
      <c r="U367" s="8"/>
      <c r="V367" s="8"/>
      <c r="W367" s="8"/>
      <c r="X367" s="8"/>
      <c r="Y367" s="8"/>
      <c r="Z367" s="8"/>
      <c r="AA367" s="8"/>
      <c r="AB367" s="8"/>
      <c r="AC367" s="8"/>
      <c r="AD367" s="8"/>
      <c r="AE367" s="8"/>
    </row>
    <row r="368" spans="1:31" x14ac:dyDescent="0.25">
      <c r="A368" s="8"/>
      <c r="B368" s="8"/>
      <c r="C368" s="8"/>
      <c r="D368" s="8"/>
      <c r="E368" s="8"/>
      <c r="F368" s="8"/>
      <c r="G368" s="8"/>
      <c r="H368" s="8"/>
      <c r="I368" s="8"/>
      <c r="J368" s="8"/>
      <c r="K368" s="8"/>
      <c r="L368" s="8"/>
      <c r="T368" s="8"/>
      <c r="U368" s="8"/>
      <c r="V368" s="8"/>
      <c r="W368" s="8"/>
      <c r="X368" s="8"/>
      <c r="Y368" s="8"/>
      <c r="Z368" s="8"/>
      <c r="AA368" s="8"/>
      <c r="AB368" s="8"/>
      <c r="AC368" s="8"/>
      <c r="AD368" s="8"/>
      <c r="AE368" s="8"/>
    </row>
    <row r="369" spans="1:31" x14ac:dyDescent="0.25">
      <c r="A369" s="8"/>
      <c r="B369" s="8"/>
      <c r="C369" s="8"/>
      <c r="D369" s="8"/>
      <c r="E369" s="8"/>
      <c r="F369" s="8"/>
      <c r="G369" s="8"/>
      <c r="H369" s="8"/>
      <c r="I369" s="8"/>
      <c r="J369" s="8"/>
      <c r="K369" s="8"/>
      <c r="L369" s="8"/>
      <c r="T369" s="8"/>
      <c r="U369" s="8"/>
      <c r="V369" s="8"/>
      <c r="W369" s="8"/>
      <c r="X369" s="8"/>
      <c r="Y369" s="8"/>
      <c r="Z369" s="8"/>
      <c r="AA369" s="8"/>
      <c r="AB369" s="8"/>
      <c r="AC369" s="8"/>
      <c r="AD369" s="8"/>
      <c r="AE369" s="8"/>
    </row>
    <row r="370" spans="1:31" x14ac:dyDescent="0.25">
      <c r="A370" s="8"/>
      <c r="B370" s="8"/>
      <c r="C370" s="8"/>
      <c r="D370" s="8"/>
      <c r="E370" s="8"/>
      <c r="F370" s="8"/>
      <c r="G370" s="8"/>
      <c r="H370" s="8"/>
      <c r="I370" s="8"/>
      <c r="J370" s="8"/>
      <c r="K370" s="8"/>
      <c r="L370" s="8"/>
      <c r="T370" s="8"/>
      <c r="U370" s="8"/>
      <c r="V370" s="8"/>
      <c r="W370" s="8"/>
      <c r="X370" s="8"/>
      <c r="Y370" s="8"/>
      <c r="Z370" s="8"/>
      <c r="AA370" s="8"/>
      <c r="AB370" s="8"/>
      <c r="AC370" s="8"/>
      <c r="AD370" s="8"/>
      <c r="AE370" s="8"/>
    </row>
    <row r="371" spans="1:31" x14ac:dyDescent="0.25">
      <c r="A371" s="8"/>
      <c r="B371" s="8"/>
      <c r="C371" s="8"/>
      <c r="D371" s="8"/>
      <c r="E371" s="8"/>
      <c r="F371" s="8"/>
      <c r="G371" s="8"/>
      <c r="H371" s="8"/>
      <c r="I371" s="8"/>
      <c r="J371" s="8"/>
      <c r="K371" s="8"/>
      <c r="L371" s="8"/>
      <c r="T371" s="8"/>
      <c r="U371" s="8"/>
      <c r="V371" s="8"/>
      <c r="W371" s="8"/>
      <c r="X371" s="8"/>
      <c r="Y371" s="8"/>
      <c r="Z371" s="8"/>
      <c r="AA371" s="8"/>
      <c r="AB371" s="8"/>
      <c r="AC371" s="8"/>
      <c r="AD371" s="8"/>
      <c r="AE371" s="8"/>
    </row>
    <row r="372" spans="1:31" x14ac:dyDescent="0.25">
      <c r="A372" s="8"/>
      <c r="B372" s="8"/>
      <c r="C372" s="8"/>
      <c r="D372" s="8"/>
      <c r="E372" s="8"/>
      <c r="F372" s="8"/>
      <c r="G372" s="8"/>
      <c r="H372" s="8"/>
      <c r="I372" s="8"/>
      <c r="J372" s="8"/>
      <c r="K372" s="8"/>
      <c r="L372" s="8"/>
      <c r="T372" s="8"/>
      <c r="U372" s="8"/>
      <c r="V372" s="8"/>
      <c r="W372" s="8"/>
      <c r="X372" s="8"/>
      <c r="Y372" s="8"/>
      <c r="Z372" s="8"/>
      <c r="AA372" s="8"/>
      <c r="AB372" s="8"/>
      <c r="AC372" s="8"/>
      <c r="AD372" s="8"/>
      <c r="AE372" s="8"/>
    </row>
    <row r="373" spans="1:31" x14ac:dyDescent="0.25">
      <c r="A373" s="8"/>
      <c r="B373" s="8"/>
      <c r="C373" s="8"/>
      <c r="D373" s="8"/>
      <c r="E373" s="8"/>
      <c r="F373" s="8"/>
      <c r="G373" s="8"/>
      <c r="H373" s="8"/>
      <c r="I373" s="8"/>
      <c r="J373" s="8"/>
      <c r="K373" s="8"/>
      <c r="L373" s="8"/>
      <c r="T373" s="8"/>
      <c r="U373" s="8"/>
      <c r="V373" s="8"/>
      <c r="W373" s="8"/>
      <c r="X373" s="8"/>
      <c r="Y373" s="8"/>
      <c r="Z373" s="8"/>
      <c r="AA373" s="8"/>
      <c r="AB373" s="8"/>
      <c r="AC373" s="8"/>
      <c r="AD373" s="8"/>
      <c r="AE373" s="8"/>
    </row>
    <row r="374" spans="1:31" x14ac:dyDescent="0.25">
      <c r="A374" s="8"/>
      <c r="B374" s="8"/>
      <c r="C374" s="8"/>
      <c r="D374" s="8"/>
      <c r="E374" s="8"/>
      <c r="F374" s="8"/>
      <c r="G374" s="8"/>
      <c r="H374" s="8"/>
      <c r="I374" s="8"/>
      <c r="J374" s="8"/>
      <c r="K374" s="8"/>
      <c r="L374" s="8"/>
      <c r="T374" s="8"/>
      <c r="U374" s="8"/>
      <c r="V374" s="8"/>
      <c r="W374" s="8"/>
      <c r="X374" s="8"/>
      <c r="Y374" s="8"/>
      <c r="Z374" s="8"/>
      <c r="AA374" s="8"/>
      <c r="AB374" s="8"/>
      <c r="AC374" s="8"/>
      <c r="AD374" s="8"/>
      <c r="AE374" s="8"/>
    </row>
    <row r="375" spans="1:31" x14ac:dyDescent="0.25">
      <c r="A375" s="8"/>
      <c r="B375" s="8"/>
      <c r="C375" s="8"/>
      <c r="D375" s="8"/>
      <c r="E375" s="8"/>
      <c r="F375" s="8"/>
      <c r="G375" s="8"/>
      <c r="H375" s="8"/>
      <c r="I375" s="8"/>
      <c r="J375" s="8"/>
      <c r="K375" s="8"/>
      <c r="L375" s="8"/>
      <c r="T375" s="8"/>
      <c r="U375" s="8"/>
      <c r="V375" s="8"/>
      <c r="W375" s="8"/>
      <c r="X375" s="8"/>
      <c r="Y375" s="8"/>
      <c r="Z375" s="8"/>
      <c r="AA375" s="8"/>
      <c r="AB375" s="8"/>
      <c r="AC375" s="8"/>
      <c r="AD375" s="8"/>
      <c r="AE375" s="8"/>
    </row>
    <row r="376" spans="1:31" x14ac:dyDescent="0.25">
      <c r="A376" s="8"/>
      <c r="B376" s="8"/>
      <c r="C376" s="8"/>
      <c r="D376" s="8"/>
      <c r="E376" s="8"/>
      <c r="F376" s="8"/>
      <c r="G376" s="8"/>
      <c r="H376" s="8"/>
      <c r="I376" s="8"/>
      <c r="J376" s="8"/>
      <c r="K376" s="8"/>
      <c r="L376" s="8"/>
      <c r="T376" s="8"/>
      <c r="U376" s="8"/>
      <c r="V376" s="8"/>
      <c r="W376" s="8"/>
      <c r="X376" s="8"/>
      <c r="Y376" s="8"/>
      <c r="Z376" s="8"/>
      <c r="AA376" s="8"/>
      <c r="AB376" s="8"/>
      <c r="AC376" s="8"/>
      <c r="AD376" s="8"/>
      <c r="AE376" s="8"/>
    </row>
    <row r="377" spans="1:31" x14ac:dyDescent="0.25">
      <c r="A377" s="8"/>
      <c r="B377" s="8"/>
      <c r="C377" s="8"/>
      <c r="D377" s="8"/>
      <c r="E377" s="8"/>
      <c r="F377" s="8"/>
      <c r="G377" s="8"/>
      <c r="H377" s="8"/>
      <c r="I377" s="8"/>
      <c r="J377" s="8"/>
      <c r="K377" s="8"/>
      <c r="L377" s="8"/>
      <c r="T377" s="8"/>
      <c r="U377" s="8"/>
      <c r="V377" s="8"/>
      <c r="W377" s="8"/>
      <c r="X377" s="8"/>
      <c r="Y377" s="8"/>
      <c r="Z377" s="8"/>
      <c r="AA377" s="8"/>
      <c r="AB377" s="8"/>
      <c r="AC377" s="8"/>
      <c r="AD377" s="8"/>
      <c r="AE377" s="8"/>
    </row>
    <row r="378" spans="1:31" x14ac:dyDescent="0.25">
      <c r="A378" s="8"/>
      <c r="B378" s="8"/>
      <c r="C378" s="8"/>
      <c r="D378" s="8"/>
      <c r="E378" s="8"/>
      <c r="F378" s="8"/>
      <c r="G378" s="8"/>
      <c r="H378" s="8"/>
      <c r="I378" s="8"/>
      <c r="J378" s="8"/>
      <c r="K378" s="8"/>
      <c r="L378" s="8"/>
      <c r="T378" s="8"/>
      <c r="U378" s="8"/>
      <c r="V378" s="8"/>
      <c r="W378" s="8"/>
      <c r="X378" s="8"/>
      <c r="Y378" s="8"/>
      <c r="Z378" s="8"/>
      <c r="AA378" s="8"/>
      <c r="AB378" s="8"/>
      <c r="AC378" s="8"/>
      <c r="AD378" s="8"/>
      <c r="AE378" s="8"/>
    </row>
    <row r="379" spans="1:31" x14ac:dyDescent="0.25">
      <c r="A379" s="8"/>
      <c r="B379" s="8"/>
      <c r="C379" s="8"/>
      <c r="D379" s="8"/>
      <c r="E379" s="8"/>
      <c r="F379" s="8"/>
      <c r="G379" s="8"/>
      <c r="H379" s="8"/>
      <c r="I379" s="8"/>
      <c r="J379" s="8"/>
      <c r="K379" s="8"/>
      <c r="L379" s="8"/>
      <c r="T379" s="8"/>
      <c r="U379" s="8"/>
      <c r="V379" s="8"/>
      <c r="W379" s="8"/>
      <c r="X379" s="8"/>
      <c r="Y379" s="8"/>
      <c r="Z379" s="8"/>
      <c r="AA379" s="8"/>
      <c r="AB379" s="8"/>
      <c r="AC379" s="8"/>
      <c r="AD379" s="8"/>
      <c r="AE379" s="8"/>
    </row>
    <row r="380" spans="1:31" x14ac:dyDescent="0.25">
      <c r="A380" s="8"/>
      <c r="B380" s="8"/>
      <c r="C380" s="8"/>
      <c r="D380" s="8"/>
      <c r="E380" s="8"/>
      <c r="F380" s="8"/>
      <c r="G380" s="8"/>
      <c r="H380" s="8"/>
      <c r="I380" s="8"/>
      <c r="J380" s="8"/>
      <c r="K380" s="8"/>
      <c r="L380" s="8"/>
      <c r="T380" s="8"/>
      <c r="U380" s="8"/>
      <c r="V380" s="8"/>
      <c r="W380" s="8"/>
      <c r="X380" s="8"/>
      <c r="Y380" s="8"/>
      <c r="Z380" s="8"/>
      <c r="AA380" s="8"/>
      <c r="AB380" s="8"/>
      <c r="AC380" s="8"/>
      <c r="AD380" s="8"/>
      <c r="AE380" s="8"/>
    </row>
    <row r="381" spans="1:31" x14ac:dyDescent="0.25">
      <c r="A381" s="8"/>
      <c r="B381" s="8"/>
      <c r="C381" s="8"/>
      <c r="D381" s="8"/>
      <c r="E381" s="8"/>
      <c r="F381" s="8"/>
      <c r="G381" s="8"/>
      <c r="H381" s="8"/>
      <c r="I381" s="8"/>
      <c r="J381" s="8"/>
      <c r="K381" s="8"/>
      <c r="L381" s="8"/>
      <c r="T381" s="8"/>
      <c r="U381" s="8"/>
      <c r="V381" s="8"/>
      <c r="W381" s="8"/>
      <c r="X381" s="8"/>
      <c r="Y381" s="8"/>
      <c r="Z381" s="8"/>
      <c r="AA381" s="8"/>
      <c r="AB381" s="8"/>
      <c r="AC381" s="8"/>
      <c r="AD381" s="8"/>
      <c r="AE381" s="8"/>
    </row>
    <row r="382" spans="1:31" x14ac:dyDescent="0.25">
      <c r="A382" s="8"/>
      <c r="B382" s="8"/>
      <c r="C382" s="8"/>
      <c r="D382" s="8"/>
      <c r="E382" s="8"/>
      <c r="F382" s="8"/>
      <c r="G382" s="8"/>
      <c r="H382" s="8"/>
      <c r="I382" s="8"/>
      <c r="J382" s="8"/>
      <c r="K382" s="8"/>
      <c r="L382" s="8"/>
      <c r="T382" s="8"/>
      <c r="U382" s="8"/>
      <c r="V382" s="8"/>
      <c r="W382" s="8"/>
      <c r="X382" s="8"/>
      <c r="Y382" s="8"/>
      <c r="Z382" s="8"/>
      <c r="AA382" s="8"/>
      <c r="AB382" s="8"/>
      <c r="AC382" s="8"/>
      <c r="AD382" s="8"/>
      <c r="AE382" s="8"/>
    </row>
    <row r="383" spans="1:31" x14ac:dyDescent="0.25">
      <c r="A383" s="8"/>
      <c r="B383" s="8"/>
      <c r="C383" s="8"/>
      <c r="D383" s="8"/>
      <c r="E383" s="8"/>
      <c r="F383" s="8"/>
      <c r="G383" s="8"/>
      <c r="H383" s="8"/>
      <c r="I383" s="8"/>
      <c r="J383" s="8"/>
      <c r="K383" s="8"/>
      <c r="L383" s="8"/>
      <c r="T383" s="8"/>
      <c r="U383" s="8"/>
      <c r="V383" s="8"/>
      <c r="W383" s="8"/>
      <c r="X383" s="8"/>
      <c r="Y383" s="8"/>
      <c r="Z383" s="8"/>
      <c r="AA383" s="8"/>
      <c r="AB383" s="8"/>
      <c r="AC383" s="8"/>
      <c r="AD383" s="8"/>
      <c r="AE383" s="8"/>
    </row>
    <row r="384" spans="1:31" x14ac:dyDescent="0.25">
      <c r="A384" s="8"/>
      <c r="B384" s="8"/>
      <c r="C384" s="8"/>
      <c r="D384" s="8"/>
      <c r="E384" s="8"/>
      <c r="F384" s="8"/>
      <c r="G384" s="8"/>
      <c r="H384" s="8"/>
      <c r="I384" s="8"/>
      <c r="J384" s="8"/>
      <c r="K384" s="8"/>
      <c r="L384" s="8"/>
      <c r="T384" s="8"/>
      <c r="U384" s="8"/>
      <c r="V384" s="8"/>
      <c r="W384" s="8"/>
      <c r="X384" s="8"/>
      <c r="Y384" s="8"/>
      <c r="Z384" s="8"/>
      <c r="AA384" s="8"/>
      <c r="AB384" s="8"/>
      <c r="AC384" s="8"/>
      <c r="AD384" s="8"/>
      <c r="AE384" s="8"/>
    </row>
    <row r="385" spans="1:31" x14ac:dyDescent="0.25">
      <c r="A385" s="8"/>
      <c r="B385" s="8"/>
      <c r="C385" s="8"/>
      <c r="D385" s="8"/>
      <c r="E385" s="8"/>
      <c r="F385" s="8"/>
      <c r="G385" s="8"/>
      <c r="H385" s="8"/>
      <c r="I385" s="8"/>
      <c r="J385" s="8"/>
      <c r="K385" s="8"/>
      <c r="L385" s="8"/>
      <c r="T385" s="8"/>
      <c r="U385" s="8"/>
      <c r="V385" s="8"/>
      <c r="W385" s="8"/>
      <c r="X385" s="8"/>
      <c r="Y385" s="8"/>
      <c r="Z385" s="8"/>
      <c r="AA385" s="8"/>
      <c r="AB385" s="8"/>
      <c r="AC385" s="8"/>
      <c r="AD385" s="8"/>
      <c r="AE385" s="8"/>
    </row>
    <row r="386" spans="1:31" x14ac:dyDescent="0.25">
      <c r="A386" s="8"/>
      <c r="B386" s="8"/>
      <c r="C386" s="8"/>
      <c r="D386" s="8"/>
      <c r="E386" s="8"/>
      <c r="F386" s="8"/>
      <c r="G386" s="8"/>
      <c r="H386" s="8"/>
      <c r="I386" s="8"/>
      <c r="J386" s="8"/>
      <c r="K386" s="8"/>
      <c r="L386" s="8"/>
      <c r="T386" s="8"/>
      <c r="U386" s="8"/>
      <c r="V386" s="8"/>
      <c r="W386" s="8"/>
      <c r="X386" s="8"/>
      <c r="Y386" s="8"/>
      <c r="Z386" s="8"/>
      <c r="AA386" s="8"/>
      <c r="AB386" s="8"/>
      <c r="AC386" s="8"/>
      <c r="AD386" s="8"/>
      <c r="AE386" s="8"/>
    </row>
    <row r="387" spans="1:31" x14ac:dyDescent="0.25">
      <c r="A387" s="8"/>
      <c r="B387" s="8"/>
      <c r="C387" s="8"/>
      <c r="D387" s="8"/>
      <c r="E387" s="8"/>
      <c r="F387" s="8"/>
      <c r="G387" s="8"/>
      <c r="H387" s="8"/>
      <c r="I387" s="8"/>
      <c r="J387" s="8"/>
      <c r="K387" s="8"/>
      <c r="L387" s="8"/>
      <c r="T387" s="8"/>
      <c r="U387" s="8"/>
      <c r="V387" s="8"/>
      <c r="W387" s="8"/>
      <c r="X387" s="8"/>
      <c r="Y387" s="8"/>
      <c r="Z387" s="8"/>
      <c r="AA387" s="8"/>
      <c r="AB387" s="8"/>
      <c r="AC387" s="8"/>
      <c r="AD387" s="8"/>
      <c r="AE387" s="8"/>
    </row>
    <row r="388" spans="1:31" x14ac:dyDescent="0.25">
      <c r="A388" s="8"/>
      <c r="B388" s="8"/>
      <c r="C388" s="8"/>
      <c r="D388" s="8"/>
      <c r="E388" s="8"/>
      <c r="F388" s="8"/>
      <c r="G388" s="8"/>
      <c r="H388" s="8"/>
      <c r="I388" s="8"/>
      <c r="J388" s="8"/>
      <c r="K388" s="8"/>
      <c r="L388" s="8"/>
      <c r="T388" s="8"/>
      <c r="U388" s="8"/>
      <c r="V388" s="8"/>
      <c r="W388" s="8"/>
      <c r="X388" s="8"/>
      <c r="Y388" s="8"/>
      <c r="Z388" s="8"/>
      <c r="AA388" s="8"/>
      <c r="AB388" s="8"/>
      <c r="AC388" s="8"/>
      <c r="AD388" s="8"/>
      <c r="AE388" s="8"/>
    </row>
    <row r="389" spans="1:31" x14ac:dyDescent="0.25">
      <c r="A389" s="8"/>
      <c r="B389" s="8"/>
      <c r="C389" s="8"/>
      <c r="D389" s="8"/>
      <c r="E389" s="8"/>
      <c r="F389" s="8"/>
      <c r="G389" s="8"/>
      <c r="H389" s="8"/>
      <c r="I389" s="8"/>
      <c r="J389" s="8"/>
      <c r="K389" s="8"/>
      <c r="L389" s="8"/>
      <c r="T389" s="8"/>
      <c r="U389" s="8"/>
      <c r="V389" s="8"/>
      <c r="W389" s="8"/>
      <c r="X389" s="8"/>
      <c r="Y389" s="8"/>
      <c r="Z389" s="8"/>
      <c r="AA389" s="8"/>
      <c r="AB389" s="8"/>
      <c r="AC389" s="8"/>
      <c r="AD389" s="8"/>
      <c r="AE389" s="8"/>
    </row>
    <row r="390" spans="1:31" x14ac:dyDescent="0.25">
      <c r="A390" s="8"/>
      <c r="B390" s="8"/>
      <c r="C390" s="8"/>
      <c r="D390" s="8"/>
      <c r="E390" s="8"/>
      <c r="F390" s="8"/>
      <c r="G390" s="8"/>
      <c r="H390" s="8"/>
      <c r="I390" s="8"/>
      <c r="J390" s="8"/>
      <c r="K390" s="8"/>
      <c r="L390" s="8"/>
      <c r="T390" s="8"/>
      <c r="U390" s="8"/>
      <c r="V390" s="8"/>
      <c r="W390" s="8"/>
      <c r="X390" s="8"/>
      <c r="Y390" s="8"/>
      <c r="Z390" s="8"/>
      <c r="AA390" s="8"/>
      <c r="AB390" s="8"/>
      <c r="AC390" s="8"/>
      <c r="AD390" s="8"/>
      <c r="AE390" s="8"/>
    </row>
    <row r="391" spans="1:31" x14ac:dyDescent="0.25">
      <c r="A391" s="8"/>
      <c r="B391" s="8"/>
      <c r="C391" s="8"/>
      <c r="D391" s="8"/>
      <c r="E391" s="8"/>
      <c r="F391" s="8"/>
      <c r="G391" s="8"/>
      <c r="H391" s="8"/>
      <c r="I391" s="8"/>
      <c r="J391" s="8"/>
      <c r="K391" s="8"/>
      <c r="L391" s="8"/>
      <c r="T391" s="8"/>
      <c r="U391" s="8"/>
      <c r="V391" s="8"/>
      <c r="W391" s="8"/>
      <c r="X391" s="8"/>
      <c r="Y391" s="8"/>
      <c r="Z391" s="8"/>
      <c r="AA391" s="8"/>
      <c r="AB391" s="8"/>
      <c r="AC391" s="8"/>
      <c r="AD391" s="8"/>
      <c r="AE391" s="8"/>
    </row>
    <row r="392" spans="1:31" x14ac:dyDescent="0.25">
      <c r="A392" s="8"/>
      <c r="B392" s="8"/>
      <c r="C392" s="8"/>
      <c r="D392" s="8"/>
      <c r="E392" s="8"/>
      <c r="F392" s="8"/>
      <c r="G392" s="8"/>
      <c r="H392" s="8"/>
      <c r="I392" s="8"/>
      <c r="J392" s="8"/>
      <c r="K392" s="8"/>
      <c r="L392" s="8"/>
      <c r="T392" s="8"/>
      <c r="U392" s="8"/>
      <c r="V392" s="8"/>
      <c r="W392" s="8"/>
      <c r="X392" s="8"/>
      <c r="Y392" s="8"/>
      <c r="Z392" s="8"/>
      <c r="AA392" s="8"/>
      <c r="AB392" s="8"/>
      <c r="AC392" s="8"/>
      <c r="AD392" s="8"/>
      <c r="AE392" s="8"/>
    </row>
    <row r="393" spans="1:31" x14ac:dyDescent="0.25">
      <c r="A393" s="8"/>
      <c r="B393" s="8"/>
      <c r="C393" s="8"/>
      <c r="D393" s="8"/>
      <c r="E393" s="8"/>
      <c r="F393" s="8"/>
      <c r="G393" s="8"/>
      <c r="H393" s="8"/>
      <c r="I393" s="8"/>
      <c r="J393" s="8"/>
      <c r="K393" s="8"/>
      <c r="L393" s="8"/>
      <c r="T393" s="8"/>
      <c r="U393" s="8"/>
      <c r="V393" s="8"/>
      <c r="W393" s="8"/>
      <c r="X393" s="8"/>
      <c r="Y393" s="8"/>
      <c r="Z393" s="8"/>
      <c r="AA393" s="8"/>
      <c r="AB393" s="8"/>
      <c r="AC393" s="8"/>
      <c r="AD393" s="8"/>
      <c r="AE393" s="8"/>
    </row>
    <row r="394" spans="1:31" x14ac:dyDescent="0.25">
      <c r="A394" s="8"/>
      <c r="B394" s="8"/>
      <c r="C394" s="8"/>
      <c r="D394" s="8"/>
      <c r="E394" s="8"/>
      <c r="F394" s="8"/>
      <c r="G394" s="8"/>
      <c r="H394" s="8"/>
      <c r="I394" s="8"/>
      <c r="J394" s="8"/>
      <c r="K394" s="8"/>
      <c r="L394" s="8"/>
      <c r="T394" s="8"/>
      <c r="U394" s="8"/>
      <c r="V394" s="8"/>
      <c r="W394" s="8"/>
      <c r="X394" s="8"/>
      <c r="Y394" s="8"/>
      <c r="Z394" s="8"/>
      <c r="AA394" s="8"/>
      <c r="AB394" s="8"/>
      <c r="AC394" s="8"/>
      <c r="AD394" s="8"/>
      <c r="AE394" s="8"/>
    </row>
    <row r="395" spans="1:31" x14ac:dyDescent="0.25">
      <c r="A395" s="8"/>
      <c r="B395" s="8"/>
      <c r="C395" s="8"/>
      <c r="D395" s="8"/>
      <c r="E395" s="8"/>
      <c r="F395" s="8"/>
      <c r="G395" s="8"/>
      <c r="H395" s="8"/>
      <c r="I395" s="8"/>
      <c r="J395" s="8"/>
      <c r="K395" s="8"/>
      <c r="L395" s="8"/>
      <c r="T395" s="8"/>
      <c r="U395" s="8"/>
      <c r="V395" s="8"/>
      <c r="W395" s="8"/>
      <c r="X395" s="8"/>
      <c r="Y395" s="8"/>
      <c r="Z395" s="8"/>
      <c r="AA395" s="8"/>
      <c r="AB395" s="8"/>
      <c r="AC395" s="8"/>
      <c r="AD395" s="8"/>
      <c r="AE395" s="8"/>
    </row>
    <row r="396" spans="1:31" x14ac:dyDescent="0.25">
      <c r="A396" s="8"/>
      <c r="B396" s="8"/>
      <c r="C396" s="8"/>
      <c r="D396" s="8"/>
      <c r="E396" s="8"/>
      <c r="F396" s="8"/>
      <c r="G396" s="8"/>
      <c r="H396" s="8"/>
      <c r="I396" s="8"/>
      <c r="J396" s="8"/>
      <c r="K396" s="8"/>
      <c r="L396" s="8"/>
      <c r="T396" s="8"/>
      <c r="U396" s="8"/>
      <c r="V396" s="8"/>
      <c r="W396" s="8"/>
      <c r="X396" s="8"/>
      <c r="Y396" s="8"/>
      <c r="Z396" s="8"/>
      <c r="AA396" s="8"/>
      <c r="AB396" s="8"/>
      <c r="AC396" s="8"/>
      <c r="AD396" s="8"/>
      <c r="AE396" s="8"/>
    </row>
    <row r="397" spans="1:31" x14ac:dyDescent="0.25">
      <c r="A397" s="8"/>
      <c r="B397" s="8"/>
      <c r="C397" s="8"/>
      <c r="D397" s="8"/>
      <c r="E397" s="8"/>
      <c r="F397" s="8"/>
      <c r="G397" s="8"/>
      <c r="H397" s="8"/>
      <c r="I397" s="8"/>
      <c r="J397" s="8"/>
      <c r="K397" s="8"/>
      <c r="L397" s="8"/>
      <c r="T397" s="8"/>
      <c r="U397" s="8"/>
      <c r="V397" s="8"/>
      <c r="W397" s="8"/>
      <c r="X397" s="8"/>
      <c r="Y397" s="8"/>
      <c r="Z397" s="8"/>
      <c r="AA397" s="8"/>
      <c r="AB397" s="8"/>
      <c r="AC397" s="8"/>
      <c r="AD397" s="8"/>
      <c r="AE397" s="8"/>
    </row>
    <row r="398" spans="1:31" x14ac:dyDescent="0.25">
      <c r="A398" s="8"/>
      <c r="B398" s="8"/>
      <c r="C398" s="8"/>
      <c r="D398" s="8"/>
      <c r="E398" s="8"/>
      <c r="F398" s="8"/>
      <c r="G398" s="8"/>
      <c r="H398" s="8"/>
      <c r="I398" s="8"/>
      <c r="J398" s="8"/>
      <c r="K398" s="8"/>
      <c r="L398" s="8"/>
      <c r="T398" s="8"/>
      <c r="U398" s="8"/>
      <c r="V398" s="8"/>
      <c r="W398" s="8"/>
      <c r="X398" s="8"/>
      <c r="Y398" s="8"/>
      <c r="Z398" s="8"/>
      <c r="AA398" s="8"/>
      <c r="AB398" s="8"/>
      <c r="AC398" s="8"/>
      <c r="AD398" s="8"/>
      <c r="AE398" s="8"/>
    </row>
    <row r="399" spans="1:31" x14ac:dyDescent="0.25">
      <c r="A399" s="8"/>
      <c r="B399" s="8"/>
      <c r="C399" s="8"/>
      <c r="D399" s="8"/>
      <c r="E399" s="8"/>
      <c r="F399" s="8"/>
      <c r="G399" s="8"/>
      <c r="H399" s="8"/>
      <c r="I399" s="8"/>
      <c r="J399" s="8"/>
      <c r="K399" s="8"/>
      <c r="L399" s="8"/>
      <c r="T399" s="8"/>
      <c r="U399" s="8"/>
      <c r="V399" s="8"/>
      <c r="W399" s="8"/>
      <c r="X399" s="8"/>
      <c r="Y399" s="8"/>
      <c r="Z399" s="8"/>
      <c r="AA399" s="8"/>
      <c r="AB399" s="8"/>
      <c r="AC399" s="8"/>
      <c r="AD399" s="8"/>
      <c r="AE399" s="8"/>
    </row>
    <row r="400" spans="1:31" x14ac:dyDescent="0.25">
      <c r="A400" s="8"/>
      <c r="B400" s="8"/>
      <c r="C400" s="8"/>
      <c r="D400" s="8"/>
      <c r="E400" s="8"/>
      <c r="F400" s="8"/>
      <c r="G400" s="8"/>
      <c r="H400" s="8"/>
      <c r="I400" s="8"/>
      <c r="J400" s="8"/>
      <c r="K400" s="8"/>
      <c r="L400" s="8"/>
      <c r="T400" s="8"/>
      <c r="U400" s="8"/>
      <c r="V400" s="8"/>
      <c r="W400" s="8"/>
      <c r="X400" s="8"/>
      <c r="Y400" s="8"/>
      <c r="Z400" s="8"/>
      <c r="AA400" s="8"/>
      <c r="AB400" s="8"/>
      <c r="AC400" s="8"/>
      <c r="AD400" s="8"/>
      <c r="AE400" s="8"/>
    </row>
    <row r="401" spans="1:31" x14ac:dyDescent="0.25">
      <c r="A401" s="8"/>
      <c r="B401" s="8"/>
      <c r="C401" s="8"/>
      <c r="D401" s="8"/>
      <c r="E401" s="8"/>
      <c r="F401" s="8"/>
      <c r="G401" s="8"/>
      <c r="H401" s="8"/>
      <c r="I401" s="8"/>
      <c r="J401" s="8"/>
      <c r="K401" s="8"/>
      <c r="L401" s="8"/>
      <c r="T401" s="8"/>
      <c r="U401" s="8"/>
      <c r="V401" s="8"/>
      <c r="W401" s="8"/>
      <c r="X401" s="8"/>
      <c r="Y401" s="8"/>
      <c r="Z401" s="8"/>
      <c r="AA401" s="8"/>
      <c r="AB401" s="8"/>
      <c r="AC401" s="8"/>
      <c r="AD401" s="8"/>
      <c r="AE401" s="8"/>
    </row>
    <row r="402" spans="1:31" x14ac:dyDescent="0.25">
      <c r="A402" s="8"/>
      <c r="B402" s="8"/>
      <c r="C402" s="8"/>
      <c r="D402" s="8"/>
      <c r="E402" s="8"/>
      <c r="F402" s="8"/>
      <c r="G402" s="8"/>
      <c r="H402" s="8"/>
      <c r="I402" s="8"/>
      <c r="J402" s="8"/>
      <c r="K402" s="8"/>
      <c r="L402" s="8"/>
      <c r="T402" s="8"/>
      <c r="U402" s="8"/>
      <c r="V402" s="8"/>
      <c r="W402" s="8"/>
      <c r="X402" s="8"/>
      <c r="Y402" s="8"/>
      <c r="Z402" s="8"/>
      <c r="AA402" s="8"/>
      <c r="AB402" s="8"/>
      <c r="AC402" s="8"/>
      <c r="AD402" s="8"/>
      <c r="AE402" s="8"/>
    </row>
    <row r="403" spans="1:31" x14ac:dyDescent="0.25">
      <c r="A403" s="8"/>
      <c r="B403" s="8"/>
      <c r="C403" s="8"/>
      <c r="D403" s="8"/>
      <c r="E403" s="8"/>
      <c r="F403" s="8"/>
      <c r="G403" s="8"/>
      <c r="H403" s="8"/>
      <c r="I403" s="8"/>
      <c r="J403" s="8"/>
      <c r="K403" s="8"/>
      <c r="L403" s="8"/>
      <c r="T403" s="8"/>
      <c r="U403" s="8"/>
      <c r="V403" s="8"/>
      <c r="W403" s="8"/>
      <c r="X403" s="8"/>
      <c r="Y403" s="8"/>
      <c r="Z403" s="8"/>
      <c r="AA403" s="8"/>
      <c r="AB403" s="8"/>
      <c r="AC403" s="8"/>
      <c r="AD403" s="8"/>
      <c r="AE403" s="8"/>
    </row>
    <row r="404" spans="1:31" x14ac:dyDescent="0.25">
      <c r="A404" s="8"/>
      <c r="B404" s="8"/>
      <c r="C404" s="8"/>
      <c r="D404" s="8"/>
      <c r="E404" s="8"/>
      <c r="F404" s="8"/>
      <c r="G404" s="8"/>
      <c r="H404" s="8"/>
      <c r="I404" s="8"/>
      <c r="J404" s="8"/>
      <c r="K404" s="8"/>
      <c r="L404" s="8"/>
      <c r="T404" s="8"/>
      <c r="U404" s="8"/>
      <c r="V404" s="8"/>
      <c r="W404" s="8"/>
      <c r="X404" s="8"/>
      <c r="Y404" s="8"/>
      <c r="Z404" s="8"/>
      <c r="AA404" s="8"/>
      <c r="AB404" s="8"/>
      <c r="AC404" s="8"/>
      <c r="AD404" s="8"/>
      <c r="AE404" s="8"/>
    </row>
    <row r="405" spans="1:31" x14ac:dyDescent="0.25">
      <c r="A405" s="8"/>
      <c r="B405" s="8"/>
      <c r="C405" s="8"/>
      <c r="D405" s="8"/>
      <c r="E405" s="8"/>
      <c r="F405" s="8"/>
      <c r="G405" s="8"/>
      <c r="H405" s="8"/>
      <c r="I405" s="8"/>
      <c r="J405" s="8"/>
      <c r="K405" s="8"/>
      <c r="L405" s="8"/>
      <c r="T405" s="8"/>
      <c r="U405" s="8"/>
      <c r="V405" s="8"/>
      <c r="W405" s="8"/>
      <c r="X405" s="8"/>
      <c r="Y405" s="8"/>
      <c r="Z405" s="8"/>
      <c r="AA405" s="8"/>
      <c r="AB405" s="8"/>
      <c r="AC405" s="8"/>
      <c r="AD405" s="8"/>
      <c r="AE405" s="8"/>
    </row>
    <row r="406" spans="1:31" x14ac:dyDescent="0.25">
      <c r="A406" s="8"/>
      <c r="B406" s="8"/>
      <c r="C406" s="8"/>
      <c r="D406" s="8"/>
      <c r="E406" s="8"/>
      <c r="F406" s="8"/>
      <c r="G406" s="8"/>
      <c r="H406" s="8"/>
      <c r="I406" s="8"/>
      <c r="J406" s="8"/>
      <c r="K406" s="8"/>
      <c r="L406" s="8"/>
      <c r="T406" s="8"/>
      <c r="U406" s="8"/>
      <c r="V406" s="8"/>
      <c r="W406" s="8"/>
      <c r="X406" s="8"/>
      <c r="Y406" s="8"/>
      <c r="Z406" s="8"/>
      <c r="AA406" s="8"/>
      <c r="AB406" s="8"/>
      <c r="AC406" s="8"/>
      <c r="AD406" s="8"/>
      <c r="AE406" s="8"/>
    </row>
    <row r="407" spans="1:31" x14ac:dyDescent="0.25">
      <c r="A407" s="8"/>
      <c r="B407" s="8"/>
      <c r="C407" s="8"/>
      <c r="D407" s="8"/>
      <c r="E407" s="8"/>
      <c r="F407" s="8"/>
      <c r="G407" s="8"/>
      <c r="H407" s="8"/>
      <c r="I407" s="8"/>
      <c r="J407" s="8"/>
      <c r="K407" s="8"/>
      <c r="L407" s="8"/>
      <c r="T407" s="8"/>
      <c r="U407" s="8"/>
      <c r="V407" s="8"/>
      <c r="W407" s="8"/>
      <c r="X407" s="8"/>
      <c r="Y407" s="8"/>
      <c r="Z407" s="8"/>
      <c r="AA407" s="8"/>
      <c r="AB407" s="8"/>
      <c r="AC407" s="8"/>
      <c r="AD407" s="8"/>
      <c r="AE407" s="8"/>
    </row>
    <row r="408" spans="1:31" x14ac:dyDescent="0.25">
      <c r="A408" s="8"/>
      <c r="B408" s="8"/>
      <c r="C408" s="8"/>
      <c r="D408" s="8"/>
      <c r="E408" s="8"/>
      <c r="F408" s="8"/>
      <c r="G408" s="8"/>
      <c r="H408" s="8"/>
      <c r="I408" s="8"/>
      <c r="J408" s="8"/>
      <c r="K408" s="8"/>
      <c r="L408" s="8"/>
      <c r="T408" s="8"/>
      <c r="U408" s="8"/>
      <c r="V408" s="8"/>
      <c r="W408" s="8"/>
      <c r="X408" s="8"/>
      <c r="Y408" s="8"/>
      <c r="Z408" s="8"/>
      <c r="AA408" s="8"/>
      <c r="AB408" s="8"/>
      <c r="AC408" s="8"/>
      <c r="AD408" s="8"/>
      <c r="AE408" s="8"/>
    </row>
    <row r="409" spans="1:31" x14ac:dyDescent="0.25">
      <c r="A409" s="8"/>
      <c r="B409" s="8"/>
      <c r="C409" s="8"/>
      <c r="D409" s="8"/>
      <c r="E409" s="8"/>
      <c r="F409" s="8"/>
      <c r="G409" s="8"/>
      <c r="H409" s="8"/>
      <c r="I409" s="8"/>
      <c r="J409" s="8"/>
      <c r="K409" s="8"/>
      <c r="L409" s="8"/>
      <c r="T409" s="8"/>
      <c r="U409" s="8"/>
      <c r="V409" s="8"/>
      <c r="W409" s="8"/>
      <c r="X409" s="8"/>
      <c r="Y409" s="8"/>
      <c r="Z409" s="8"/>
      <c r="AA409" s="8"/>
      <c r="AB409" s="8"/>
      <c r="AC409" s="8"/>
      <c r="AD409" s="8"/>
      <c r="AE409" s="8"/>
    </row>
    <row r="410" spans="1:31" x14ac:dyDescent="0.25">
      <c r="A410" s="8"/>
      <c r="B410" s="8"/>
      <c r="C410" s="8"/>
      <c r="D410" s="8"/>
      <c r="E410" s="8"/>
      <c r="F410" s="8"/>
      <c r="G410" s="8"/>
      <c r="H410" s="8"/>
      <c r="I410" s="8"/>
      <c r="J410" s="8"/>
      <c r="K410" s="8"/>
      <c r="L410" s="8"/>
      <c r="T410" s="8"/>
      <c r="U410" s="8"/>
      <c r="V410" s="8"/>
      <c r="W410" s="8"/>
      <c r="X410" s="8"/>
      <c r="Y410" s="8"/>
      <c r="Z410" s="8"/>
      <c r="AA410" s="8"/>
      <c r="AB410" s="8"/>
      <c r="AC410" s="8"/>
      <c r="AD410" s="8"/>
      <c r="AE410" s="8"/>
    </row>
    <row r="411" spans="1:31" x14ac:dyDescent="0.25">
      <c r="A411" s="8"/>
      <c r="B411" s="8"/>
      <c r="C411" s="8"/>
      <c r="D411" s="8"/>
      <c r="E411" s="8"/>
      <c r="F411" s="8"/>
      <c r="G411" s="8"/>
      <c r="H411" s="8"/>
      <c r="I411" s="8"/>
      <c r="J411" s="8"/>
      <c r="K411" s="8"/>
      <c r="L411" s="8"/>
      <c r="T411" s="8"/>
      <c r="U411" s="8"/>
      <c r="V411" s="8"/>
      <c r="W411" s="8"/>
      <c r="X411" s="8"/>
      <c r="Y411" s="8"/>
      <c r="Z411" s="8"/>
      <c r="AA411" s="8"/>
      <c r="AB411" s="8"/>
      <c r="AC411" s="8"/>
      <c r="AD411" s="8"/>
      <c r="AE411" s="8"/>
    </row>
    <row r="412" spans="1:31" x14ac:dyDescent="0.25">
      <c r="A412" s="8"/>
      <c r="B412" s="8"/>
      <c r="C412" s="8"/>
      <c r="D412" s="8"/>
      <c r="E412" s="8"/>
      <c r="F412" s="8"/>
      <c r="G412" s="8"/>
      <c r="H412" s="8"/>
      <c r="I412" s="8"/>
      <c r="J412" s="8"/>
      <c r="K412" s="8"/>
      <c r="L412" s="8"/>
      <c r="T412" s="8"/>
      <c r="U412" s="8"/>
      <c r="V412" s="8"/>
      <c r="W412" s="8"/>
      <c r="X412" s="8"/>
      <c r="Y412" s="8"/>
      <c r="Z412" s="8"/>
      <c r="AA412" s="8"/>
      <c r="AB412" s="8"/>
      <c r="AC412" s="8"/>
      <c r="AD412" s="8"/>
      <c r="AE412" s="8"/>
    </row>
    <row r="413" spans="1:31" x14ac:dyDescent="0.25">
      <c r="A413" s="8"/>
      <c r="B413" s="8"/>
      <c r="C413" s="8"/>
      <c r="D413" s="8"/>
      <c r="E413" s="8"/>
      <c r="F413" s="8"/>
      <c r="G413" s="8"/>
      <c r="H413" s="8"/>
      <c r="I413" s="8"/>
      <c r="J413" s="8"/>
      <c r="K413" s="8"/>
      <c r="L413" s="8"/>
      <c r="T413" s="8"/>
      <c r="U413" s="8"/>
      <c r="V413" s="8"/>
      <c r="W413" s="8"/>
      <c r="X413" s="8"/>
      <c r="Y413" s="8"/>
      <c r="Z413" s="8"/>
      <c r="AA413" s="8"/>
      <c r="AB413" s="8"/>
      <c r="AC413" s="8"/>
      <c r="AD413" s="8"/>
      <c r="AE413" s="8"/>
    </row>
    <row r="414" spans="1:31" x14ac:dyDescent="0.25">
      <c r="A414" s="8"/>
      <c r="B414" s="8"/>
      <c r="C414" s="8"/>
      <c r="D414" s="8"/>
      <c r="E414" s="8"/>
      <c r="F414" s="8"/>
      <c r="G414" s="8"/>
      <c r="H414" s="8"/>
      <c r="I414" s="8"/>
      <c r="J414" s="8"/>
      <c r="K414" s="8"/>
      <c r="L414" s="8"/>
      <c r="T414" s="8"/>
      <c r="U414" s="8"/>
      <c r="V414" s="8"/>
      <c r="W414" s="8"/>
      <c r="X414" s="8"/>
      <c r="Y414" s="8"/>
      <c r="Z414" s="8"/>
      <c r="AA414" s="8"/>
      <c r="AB414" s="8"/>
      <c r="AC414" s="8"/>
      <c r="AD414" s="8"/>
      <c r="AE414" s="8"/>
    </row>
    <row r="415" spans="1:31" x14ac:dyDescent="0.25">
      <c r="A415" s="8"/>
      <c r="B415" s="8"/>
      <c r="C415" s="8"/>
      <c r="D415" s="8"/>
      <c r="E415" s="8"/>
      <c r="F415" s="8"/>
      <c r="G415" s="8"/>
      <c r="H415" s="8"/>
      <c r="I415" s="8"/>
      <c r="J415" s="8"/>
      <c r="K415" s="8"/>
      <c r="L415" s="8"/>
      <c r="T415" s="8"/>
      <c r="U415" s="8"/>
      <c r="V415" s="8"/>
      <c r="W415" s="8"/>
      <c r="X415" s="8"/>
      <c r="Y415" s="8"/>
      <c r="Z415" s="8"/>
      <c r="AA415" s="8"/>
      <c r="AB415" s="8"/>
      <c r="AC415" s="8"/>
      <c r="AD415" s="8"/>
      <c r="AE415" s="8"/>
    </row>
    <row r="416" spans="1:31" x14ac:dyDescent="0.25">
      <c r="A416" s="8"/>
      <c r="B416" s="8"/>
      <c r="C416" s="8"/>
      <c r="D416" s="8"/>
      <c r="E416" s="8"/>
      <c r="F416" s="8"/>
      <c r="G416" s="8"/>
      <c r="H416" s="8"/>
      <c r="I416" s="8"/>
      <c r="J416" s="8"/>
      <c r="K416" s="8"/>
      <c r="L416" s="8"/>
      <c r="T416" s="8"/>
      <c r="U416" s="8"/>
      <c r="V416" s="8"/>
      <c r="W416" s="8"/>
      <c r="X416" s="8"/>
      <c r="Y416" s="8"/>
      <c r="Z416" s="8"/>
      <c r="AA416" s="8"/>
      <c r="AB416" s="8"/>
      <c r="AC416" s="8"/>
      <c r="AD416" s="8"/>
      <c r="AE416" s="8"/>
    </row>
    <row r="417" spans="1:31" x14ac:dyDescent="0.25">
      <c r="A417" s="8"/>
      <c r="B417" s="8"/>
      <c r="C417" s="8"/>
      <c r="D417" s="8"/>
      <c r="E417" s="8"/>
      <c r="F417" s="8"/>
      <c r="G417" s="8"/>
      <c r="H417" s="8"/>
      <c r="I417" s="8"/>
      <c r="J417" s="8"/>
      <c r="K417" s="8"/>
      <c r="L417" s="8"/>
      <c r="T417" s="8"/>
      <c r="U417" s="8"/>
      <c r="V417" s="8"/>
      <c r="W417" s="8"/>
      <c r="X417" s="8"/>
      <c r="Y417" s="8"/>
      <c r="Z417" s="8"/>
      <c r="AA417" s="8"/>
      <c r="AB417" s="8"/>
      <c r="AC417" s="8"/>
      <c r="AD417" s="8"/>
      <c r="AE417" s="8"/>
    </row>
    <row r="418" spans="1:31" x14ac:dyDescent="0.25">
      <c r="A418" s="8"/>
      <c r="B418" s="8"/>
      <c r="C418" s="8"/>
      <c r="D418" s="8"/>
      <c r="E418" s="8"/>
      <c r="F418" s="8"/>
      <c r="G418" s="8"/>
      <c r="H418" s="8"/>
      <c r="I418" s="8"/>
      <c r="J418" s="8"/>
      <c r="K418" s="8"/>
      <c r="L418" s="8"/>
      <c r="T418" s="8"/>
      <c r="U418" s="8"/>
      <c r="V418" s="8"/>
      <c r="W418" s="8"/>
      <c r="X418" s="8"/>
      <c r="Y418" s="8"/>
      <c r="Z418" s="8"/>
      <c r="AA418" s="8"/>
      <c r="AB418" s="8"/>
      <c r="AC418" s="8"/>
      <c r="AD418" s="8"/>
      <c r="AE418" s="8"/>
    </row>
    <row r="419" spans="1:31" x14ac:dyDescent="0.25">
      <c r="A419" s="8"/>
      <c r="B419" s="8"/>
      <c r="C419" s="8"/>
      <c r="D419" s="8"/>
      <c r="E419" s="8"/>
      <c r="F419" s="8"/>
      <c r="G419" s="8"/>
      <c r="H419" s="8"/>
      <c r="I419" s="8"/>
      <c r="J419" s="8"/>
      <c r="K419" s="8"/>
      <c r="L419" s="8"/>
      <c r="T419" s="8"/>
      <c r="U419" s="8"/>
      <c r="V419" s="8"/>
      <c r="W419" s="8"/>
      <c r="X419" s="8"/>
      <c r="Y419" s="8"/>
      <c r="Z419" s="8"/>
      <c r="AA419" s="8"/>
      <c r="AB419" s="8"/>
      <c r="AC419" s="8"/>
      <c r="AD419" s="8"/>
      <c r="AE419" s="8"/>
    </row>
    <row r="420" spans="1:31" x14ac:dyDescent="0.25">
      <c r="A420" s="8"/>
      <c r="B420" s="8"/>
      <c r="C420" s="8"/>
      <c r="D420" s="8"/>
      <c r="E420" s="8"/>
      <c r="F420" s="8"/>
      <c r="G420" s="8"/>
      <c r="H420" s="8"/>
      <c r="I420" s="8"/>
      <c r="J420" s="8"/>
      <c r="K420" s="8"/>
      <c r="L420" s="8"/>
      <c r="T420" s="8"/>
      <c r="U420" s="8"/>
      <c r="V420" s="8"/>
      <c r="W420" s="8"/>
      <c r="X420" s="8"/>
      <c r="Y420" s="8"/>
      <c r="Z420" s="8"/>
      <c r="AA420" s="8"/>
      <c r="AB420" s="8"/>
      <c r="AC420" s="8"/>
      <c r="AD420" s="8"/>
      <c r="AE420" s="8"/>
    </row>
    <row r="421" spans="1:31" x14ac:dyDescent="0.25">
      <c r="A421" s="8"/>
      <c r="B421" s="8"/>
      <c r="C421" s="8"/>
      <c r="D421" s="8"/>
      <c r="E421" s="8"/>
      <c r="F421" s="8"/>
      <c r="G421" s="8"/>
      <c r="H421" s="8"/>
      <c r="I421" s="8"/>
      <c r="J421" s="8"/>
      <c r="K421" s="8"/>
      <c r="L421" s="8"/>
      <c r="T421" s="8"/>
      <c r="U421" s="8"/>
      <c r="V421" s="8"/>
      <c r="W421" s="8"/>
      <c r="X421" s="8"/>
      <c r="Y421" s="8"/>
      <c r="Z421" s="8"/>
      <c r="AA421" s="8"/>
      <c r="AB421" s="8"/>
      <c r="AC421" s="8"/>
      <c r="AD421" s="8"/>
      <c r="AE421" s="8"/>
    </row>
    <row r="422" spans="1:31" x14ac:dyDescent="0.25">
      <c r="A422" s="8"/>
      <c r="B422" s="8"/>
      <c r="C422" s="8"/>
      <c r="D422" s="8"/>
      <c r="E422" s="8"/>
      <c r="F422" s="8"/>
      <c r="G422" s="8"/>
      <c r="H422" s="8"/>
      <c r="I422" s="8"/>
      <c r="J422" s="8"/>
      <c r="K422" s="8"/>
      <c r="L422" s="8"/>
      <c r="T422" s="8"/>
      <c r="U422" s="8"/>
      <c r="V422" s="8"/>
      <c r="W422" s="8"/>
      <c r="X422" s="8"/>
      <c r="Y422" s="8"/>
      <c r="Z422" s="8"/>
      <c r="AA422" s="8"/>
      <c r="AB422" s="8"/>
      <c r="AC422" s="8"/>
      <c r="AD422" s="8"/>
      <c r="AE422" s="8"/>
    </row>
    <row r="423" spans="1:31" x14ac:dyDescent="0.25">
      <c r="A423" s="8"/>
      <c r="B423" s="8"/>
      <c r="C423" s="8"/>
      <c r="D423" s="8"/>
      <c r="E423" s="8"/>
      <c r="F423" s="8"/>
      <c r="G423" s="8"/>
      <c r="H423" s="8"/>
      <c r="I423" s="8"/>
      <c r="J423" s="8"/>
      <c r="K423" s="8"/>
      <c r="L423" s="8"/>
      <c r="T423" s="8"/>
      <c r="U423" s="8"/>
      <c r="V423" s="8"/>
      <c r="W423" s="8"/>
      <c r="X423" s="8"/>
      <c r="Y423" s="8"/>
      <c r="Z423" s="8"/>
      <c r="AA423" s="8"/>
      <c r="AB423" s="8"/>
      <c r="AC423" s="8"/>
      <c r="AD423" s="8"/>
      <c r="AE423" s="8"/>
    </row>
    <row r="424" spans="1:31" x14ac:dyDescent="0.25">
      <c r="A424" s="8"/>
      <c r="B424" s="8"/>
      <c r="C424" s="8"/>
      <c r="D424" s="8"/>
      <c r="E424" s="8"/>
      <c r="F424" s="8"/>
      <c r="G424" s="8"/>
      <c r="H424" s="8"/>
      <c r="I424" s="8"/>
      <c r="J424" s="8"/>
      <c r="K424" s="8"/>
      <c r="L424" s="8"/>
      <c r="T424" s="8"/>
      <c r="U424" s="8"/>
      <c r="V424" s="8"/>
      <c r="W424" s="8"/>
      <c r="X424" s="8"/>
      <c r="Y424" s="8"/>
      <c r="Z424" s="8"/>
      <c r="AA424" s="8"/>
      <c r="AB424" s="8"/>
      <c r="AC424" s="8"/>
      <c r="AD424" s="8"/>
      <c r="AE424" s="8"/>
    </row>
    <row r="425" spans="1:31" x14ac:dyDescent="0.25">
      <c r="A425" s="8"/>
      <c r="B425" s="8"/>
      <c r="C425" s="8"/>
      <c r="D425" s="8"/>
      <c r="E425" s="8"/>
      <c r="F425" s="8"/>
      <c r="G425" s="8"/>
      <c r="H425" s="8"/>
      <c r="I425" s="8"/>
      <c r="J425" s="8"/>
      <c r="K425" s="8"/>
      <c r="L425" s="8"/>
      <c r="T425" s="8"/>
      <c r="U425" s="8"/>
      <c r="V425" s="8"/>
      <c r="W425" s="8"/>
      <c r="X425" s="8"/>
      <c r="Y425" s="8"/>
      <c r="Z425" s="8"/>
      <c r="AA425" s="8"/>
      <c r="AB425" s="8"/>
      <c r="AC425" s="8"/>
      <c r="AD425" s="8"/>
      <c r="AE425" s="8"/>
    </row>
    <row r="426" spans="1:31" x14ac:dyDescent="0.25">
      <c r="A426" s="8"/>
      <c r="B426" s="8"/>
      <c r="C426" s="8"/>
      <c r="D426" s="8"/>
      <c r="E426" s="8"/>
      <c r="F426" s="8"/>
      <c r="G426" s="8"/>
      <c r="H426" s="8"/>
      <c r="I426" s="8"/>
      <c r="J426" s="8"/>
      <c r="K426" s="8"/>
      <c r="L426" s="8"/>
      <c r="T426" s="8"/>
      <c r="U426" s="8"/>
      <c r="V426" s="8"/>
      <c r="W426" s="8"/>
      <c r="X426" s="8"/>
      <c r="Y426" s="8"/>
      <c r="Z426" s="8"/>
      <c r="AA426" s="8"/>
      <c r="AB426" s="8"/>
      <c r="AC426" s="8"/>
      <c r="AD426" s="8"/>
      <c r="AE426" s="8"/>
    </row>
    <row r="427" spans="1:31" x14ac:dyDescent="0.25">
      <c r="A427" s="8"/>
      <c r="B427" s="8"/>
      <c r="C427" s="8"/>
      <c r="D427" s="8"/>
      <c r="E427" s="8"/>
      <c r="F427" s="8"/>
      <c r="G427" s="8"/>
      <c r="H427" s="8"/>
      <c r="I427" s="8"/>
      <c r="J427" s="8"/>
      <c r="K427" s="8"/>
      <c r="L427" s="8"/>
      <c r="T427" s="8"/>
      <c r="U427" s="8"/>
      <c r="V427" s="8"/>
      <c r="W427" s="8"/>
      <c r="X427" s="8"/>
      <c r="Y427" s="8"/>
      <c r="Z427" s="8"/>
      <c r="AA427" s="8"/>
      <c r="AB427" s="8"/>
      <c r="AC427" s="8"/>
      <c r="AD427" s="8"/>
      <c r="AE427" s="8"/>
    </row>
    <row r="428" spans="1:31" x14ac:dyDescent="0.25">
      <c r="A428" s="8"/>
      <c r="B428" s="8"/>
      <c r="C428" s="8"/>
      <c r="D428" s="8"/>
      <c r="E428" s="8"/>
      <c r="F428" s="8"/>
      <c r="G428" s="8"/>
      <c r="H428" s="8"/>
      <c r="I428" s="8"/>
      <c r="J428" s="8"/>
      <c r="K428" s="8"/>
      <c r="L428" s="8"/>
      <c r="T428" s="8"/>
      <c r="U428" s="8"/>
      <c r="V428" s="8"/>
      <c r="W428" s="8"/>
      <c r="X428" s="8"/>
      <c r="Y428" s="8"/>
      <c r="Z428" s="8"/>
      <c r="AA428" s="8"/>
      <c r="AB428" s="8"/>
      <c r="AC428" s="8"/>
      <c r="AD428" s="8"/>
      <c r="AE428" s="8"/>
    </row>
    <row r="429" spans="1:31" x14ac:dyDescent="0.25">
      <c r="A429" s="8"/>
      <c r="B429" s="8"/>
      <c r="C429" s="8"/>
      <c r="D429" s="8"/>
      <c r="E429" s="8"/>
      <c r="F429" s="8"/>
      <c r="G429" s="8"/>
      <c r="H429" s="8"/>
      <c r="I429" s="8"/>
      <c r="J429" s="8"/>
      <c r="K429" s="8"/>
      <c r="L429" s="8"/>
      <c r="T429" s="8"/>
      <c r="U429" s="8"/>
      <c r="V429" s="8"/>
      <c r="W429" s="8"/>
      <c r="X429" s="8"/>
      <c r="Y429" s="8"/>
      <c r="Z429" s="8"/>
      <c r="AA429" s="8"/>
      <c r="AB429" s="8"/>
      <c r="AC429" s="8"/>
      <c r="AD429" s="8"/>
      <c r="AE429" s="8"/>
    </row>
    <row r="430" spans="1:31" x14ac:dyDescent="0.25">
      <c r="A430" s="8"/>
      <c r="B430" s="8"/>
      <c r="C430" s="8"/>
      <c r="D430" s="8"/>
      <c r="E430" s="8"/>
      <c r="F430" s="8"/>
      <c r="G430" s="8"/>
      <c r="H430" s="8"/>
      <c r="I430" s="8"/>
      <c r="J430" s="8"/>
      <c r="K430" s="8"/>
      <c r="L430" s="8"/>
      <c r="T430" s="8"/>
      <c r="U430" s="8"/>
      <c r="V430" s="8"/>
      <c r="W430" s="8"/>
      <c r="X430" s="8"/>
      <c r="Y430" s="8"/>
      <c r="Z430" s="8"/>
      <c r="AA430" s="8"/>
      <c r="AB430" s="8"/>
      <c r="AC430" s="8"/>
      <c r="AD430" s="8"/>
      <c r="AE430" s="8"/>
    </row>
    <row r="431" spans="1:31" x14ac:dyDescent="0.25">
      <c r="A431" s="8"/>
      <c r="B431" s="8"/>
      <c r="C431" s="8"/>
      <c r="D431" s="8"/>
      <c r="E431" s="8"/>
      <c r="F431" s="8"/>
      <c r="G431" s="8"/>
      <c r="H431" s="8"/>
      <c r="I431" s="8"/>
      <c r="J431" s="8"/>
      <c r="K431" s="8"/>
      <c r="L431" s="8"/>
      <c r="T431" s="8"/>
      <c r="U431" s="8"/>
      <c r="V431" s="8"/>
      <c r="W431" s="8"/>
      <c r="X431" s="8"/>
      <c r="Y431" s="8"/>
      <c r="Z431" s="8"/>
      <c r="AA431" s="8"/>
      <c r="AB431" s="8"/>
      <c r="AC431" s="8"/>
      <c r="AD431" s="8"/>
      <c r="AE431" s="8"/>
    </row>
    <row r="432" spans="1:31" x14ac:dyDescent="0.25">
      <c r="A432" s="8"/>
      <c r="B432" s="8"/>
      <c r="C432" s="8"/>
      <c r="D432" s="8"/>
      <c r="E432" s="8"/>
      <c r="F432" s="8"/>
      <c r="G432" s="8"/>
      <c r="H432" s="8"/>
      <c r="I432" s="8"/>
      <c r="J432" s="8"/>
      <c r="K432" s="8"/>
      <c r="L432" s="8"/>
      <c r="T432" s="8"/>
      <c r="U432" s="8"/>
      <c r="V432" s="8"/>
      <c r="W432" s="8"/>
      <c r="X432" s="8"/>
      <c r="Y432" s="8"/>
      <c r="Z432" s="8"/>
      <c r="AA432" s="8"/>
      <c r="AB432" s="8"/>
      <c r="AC432" s="8"/>
      <c r="AD432" s="8"/>
      <c r="AE432" s="8"/>
    </row>
    <row r="433" spans="1:31" x14ac:dyDescent="0.25">
      <c r="A433" s="8"/>
      <c r="B433" s="8"/>
      <c r="C433" s="8"/>
      <c r="D433" s="8"/>
      <c r="E433" s="8"/>
      <c r="F433" s="8"/>
      <c r="G433" s="8"/>
      <c r="H433" s="8"/>
      <c r="I433" s="8"/>
      <c r="J433" s="8"/>
      <c r="K433" s="8"/>
      <c r="L433" s="8"/>
      <c r="T433" s="8"/>
      <c r="U433" s="8"/>
      <c r="V433" s="8"/>
      <c r="W433" s="8"/>
      <c r="X433" s="8"/>
      <c r="Y433" s="8"/>
      <c r="Z433" s="8"/>
      <c r="AA433" s="8"/>
      <c r="AB433" s="8"/>
      <c r="AC433" s="8"/>
      <c r="AD433" s="8"/>
      <c r="AE433" s="8"/>
    </row>
    <row r="434" spans="1:31" x14ac:dyDescent="0.25">
      <c r="A434" s="8"/>
      <c r="B434" s="8"/>
      <c r="C434" s="8"/>
      <c r="D434" s="8"/>
      <c r="E434" s="8"/>
      <c r="F434" s="8"/>
      <c r="G434" s="8"/>
      <c r="H434" s="8"/>
      <c r="I434" s="8"/>
      <c r="J434" s="8"/>
      <c r="K434" s="8"/>
      <c r="L434" s="8"/>
      <c r="T434" s="8"/>
      <c r="U434" s="8"/>
      <c r="V434" s="8"/>
      <c r="W434" s="8"/>
      <c r="X434" s="8"/>
      <c r="Y434" s="8"/>
      <c r="Z434" s="8"/>
      <c r="AA434" s="8"/>
      <c r="AB434" s="8"/>
      <c r="AC434" s="8"/>
      <c r="AD434" s="8"/>
      <c r="AE434" s="8"/>
    </row>
    <row r="435" spans="1:31" x14ac:dyDescent="0.25">
      <c r="A435" s="8"/>
      <c r="B435" s="8"/>
      <c r="C435" s="8"/>
      <c r="D435" s="8"/>
      <c r="E435" s="8"/>
      <c r="F435" s="8"/>
      <c r="G435" s="8"/>
      <c r="H435" s="8"/>
      <c r="I435" s="8"/>
      <c r="J435" s="8"/>
      <c r="K435" s="8"/>
      <c r="L435" s="8"/>
      <c r="T435" s="8"/>
      <c r="U435" s="8"/>
      <c r="V435" s="8"/>
      <c r="W435" s="8"/>
      <c r="X435" s="8"/>
      <c r="Y435" s="8"/>
      <c r="Z435" s="8"/>
      <c r="AA435" s="8"/>
      <c r="AB435" s="8"/>
      <c r="AC435" s="8"/>
      <c r="AD435" s="8"/>
      <c r="AE435" s="8"/>
    </row>
    <row r="436" spans="1:31" x14ac:dyDescent="0.25">
      <c r="A436" s="8"/>
      <c r="B436" s="8"/>
      <c r="C436" s="8"/>
      <c r="D436" s="8"/>
      <c r="E436" s="8"/>
      <c r="F436" s="8"/>
      <c r="G436" s="8"/>
      <c r="H436" s="8"/>
      <c r="I436" s="8"/>
      <c r="J436" s="8"/>
      <c r="K436" s="8"/>
      <c r="L436" s="8"/>
      <c r="T436" s="8"/>
      <c r="U436" s="8"/>
      <c r="V436" s="8"/>
      <c r="W436" s="8"/>
      <c r="X436" s="8"/>
      <c r="Y436" s="8"/>
      <c r="Z436" s="8"/>
      <c r="AA436" s="8"/>
      <c r="AB436" s="8"/>
      <c r="AC436" s="8"/>
      <c r="AD436" s="8"/>
      <c r="AE436" s="8"/>
    </row>
    <row r="437" spans="1:31" x14ac:dyDescent="0.25">
      <c r="A437" s="8"/>
      <c r="B437" s="8"/>
      <c r="C437" s="8"/>
      <c r="D437" s="8"/>
      <c r="E437" s="8"/>
      <c r="F437" s="8"/>
      <c r="G437" s="8"/>
      <c r="H437" s="8"/>
      <c r="I437" s="8"/>
      <c r="J437" s="8"/>
      <c r="K437" s="8"/>
      <c r="L437" s="8"/>
      <c r="T437" s="8"/>
      <c r="U437" s="8"/>
      <c r="V437" s="8"/>
      <c r="W437" s="8"/>
      <c r="X437" s="8"/>
      <c r="Y437" s="8"/>
      <c r="Z437" s="8"/>
      <c r="AA437" s="8"/>
      <c r="AB437" s="8"/>
      <c r="AC437" s="8"/>
      <c r="AD437" s="8"/>
      <c r="AE437" s="8"/>
    </row>
    <row r="438" spans="1:31" x14ac:dyDescent="0.25">
      <c r="A438" s="8"/>
      <c r="B438" s="8"/>
      <c r="C438" s="8"/>
      <c r="D438" s="8"/>
      <c r="E438" s="8"/>
      <c r="F438" s="8"/>
      <c r="G438" s="8"/>
      <c r="H438" s="8"/>
      <c r="I438" s="8"/>
      <c r="J438" s="8"/>
      <c r="K438" s="8"/>
      <c r="L438" s="8"/>
      <c r="T438" s="8"/>
      <c r="U438" s="8"/>
      <c r="V438" s="8"/>
      <c r="W438" s="8"/>
      <c r="X438" s="8"/>
      <c r="Y438" s="8"/>
      <c r="Z438" s="8"/>
      <c r="AA438" s="8"/>
      <c r="AB438" s="8"/>
      <c r="AC438" s="8"/>
      <c r="AD438" s="8"/>
      <c r="AE438" s="8"/>
    </row>
    <row r="439" spans="1:31" x14ac:dyDescent="0.25">
      <c r="A439" s="8"/>
      <c r="B439" s="8"/>
      <c r="C439" s="8"/>
      <c r="D439" s="8"/>
      <c r="E439" s="8"/>
      <c r="F439" s="8"/>
      <c r="G439" s="8"/>
      <c r="H439" s="8"/>
      <c r="I439" s="8"/>
      <c r="J439" s="8"/>
      <c r="K439" s="8"/>
      <c r="L439" s="8"/>
      <c r="T439" s="8"/>
      <c r="U439" s="8"/>
      <c r="V439" s="8"/>
      <c r="W439" s="8"/>
      <c r="X439" s="8"/>
      <c r="Y439" s="8"/>
      <c r="Z439" s="8"/>
      <c r="AA439" s="8"/>
      <c r="AB439" s="8"/>
      <c r="AC439" s="8"/>
      <c r="AD439" s="8"/>
      <c r="AE439" s="8"/>
    </row>
    <row r="440" spans="1:31" x14ac:dyDescent="0.25">
      <c r="A440" s="8"/>
      <c r="B440" s="8"/>
      <c r="C440" s="8"/>
      <c r="D440" s="8"/>
      <c r="E440" s="8"/>
      <c r="F440" s="8"/>
      <c r="G440" s="8"/>
      <c r="H440" s="8"/>
      <c r="I440" s="8"/>
      <c r="J440" s="8"/>
      <c r="K440" s="8"/>
      <c r="L440" s="8"/>
      <c r="T440" s="8"/>
      <c r="U440" s="8"/>
      <c r="V440" s="8"/>
      <c r="W440" s="8"/>
      <c r="X440" s="8"/>
      <c r="Y440" s="8"/>
      <c r="Z440" s="8"/>
      <c r="AA440" s="8"/>
      <c r="AB440" s="8"/>
      <c r="AC440" s="8"/>
      <c r="AD440" s="8"/>
      <c r="AE440" s="8"/>
    </row>
    <row r="441" spans="1:31" x14ac:dyDescent="0.25">
      <c r="A441" s="8"/>
      <c r="B441" s="8"/>
      <c r="C441" s="8"/>
      <c r="D441" s="8"/>
      <c r="E441" s="8"/>
      <c r="F441" s="8"/>
      <c r="G441" s="8"/>
      <c r="H441" s="8"/>
      <c r="I441" s="8"/>
      <c r="J441" s="8"/>
      <c r="K441" s="8"/>
      <c r="L441" s="8"/>
      <c r="T441" s="8"/>
      <c r="U441" s="8"/>
      <c r="V441" s="8"/>
      <c r="W441" s="8"/>
      <c r="X441" s="8"/>
      <c r="Y441" s="8"/>
      <c r="Z441" s="8"/>
      <c r="AA441" s="8"/>
      <c r="AB441" s="8"/>
      <c r="AC441" s="8"/>
      <c r="AD441" s="8"/>
      <c r="AE441" s="8"/>
    </row>
    <row r="442" spans="1:31" x14ac:dyDescent="0.25">
      <c r="A442" s="8"/>
      <c r="B442" s="8"/>
      <c r="C442" s="8"/>
      <c r="D442" s="8"/>
      <c r="E442" s="8"/>
      <c r="F442" s="8"/>
      <c r="G442" s="8"/>
      <c r="H442" s="8"/>
      <c r="I442" s="8"/>
      <c r="J442" s="8"/>
      <c r="K442" s="8"/>
      <c r="L442" s="8"/>
      <c r="T442" s="8"/>
      <c r="U442" s="8"/>
      <c r="V442" s="8"/>
      <c r="W442" s="8"/>
      <c r="X442" s="8"/>
      <c r="Y442" s="8"/>
      <c r="Z442" s="8"/>
      <c r="AA442" s="8"/>
      <c r="AB442" s="8"/>
      <c r="AC442" s="8"/>
      <c r="AD442" s="8"/>
      <c r="AE442" s="8"/>
    </row>
    <row r="443" spans="1:31" x14ac:dyDescent="0.25">
      <c r="A443" s="8"/>
      <c r="B443" s="8"/>
      <c r="C443" s="8"/>
      <c r="D443" s="8"/>
      <c r="E443" s="8"/>
      <c r="F443" s="8"/>
      <c r="G443" s="8"/>
      <c r="H443" s="8"/>
      <c r="I443" s="8"/>
      <c r="J443" s="8"/>
      <c r="K443" s="8"/>
      <c r="L443" s="8"/>
      <c r="T443" s="8"/>
      <c r="U443" s="8"/>
      <c r="V443" s="8"/>
      <c r="W443" s="8"/>
      <c r="X443" s="8"/>
      <c r="Y443" s="8"/>
      <c r="Z443" s="8"/>
      <c r="AA443" s="8"/>
      <c r="AB443" s="8"/>
      <c r="AC443" s="8"/>
      <c r="AD443" s="8"/>
      <c r="AE443" s="8"/>
    </row>
    <row r="444" spans="1:31" x14ac:dyDescent="0.25">
      <c r="A444" s="8"/>
      <c r="B444" s="8"/>
      <c r="C444" s="8"/>
      <c r="D444" s="8"/>
      <c r="E444" s="8"/>
      <c r="F444" s="8"/>
      <c r="G444" s="8"/>
      <c r="H444" s="8"/>
      <c r="I444" s="8"/>
      <c r="J444" s="8"/>
      <c r="K444" s="8"/>
      <c r="L444" s="8"/>
      <c r="T444" s="8"/>
      <c r="U444" s="8"/>
      <c r="V444" s="8"/>
      <c r="W444" s="8"/>
      <c r="X444" s="8"/>
      <c r="Y444" s="8"/>
      <c r="Z444" s="8"/>
      <c r="AA444" s="8"/>
      <c r="AB444" s="8"/>
      <c r="AC444" s="8"/>
      <c r="AD444" s="8"/>
      <c r="AE444" s="8"/>
    </row>
    <row r="445" spans="1:31" x14ac:dyDescent="0.25">
      <c r="A445" s="8"/>
      <c r="B445" s="8"/>
      <c r="C445" s="8"/>
      <c r="D445" s="8"/>
      <c r="E445" s="8"/>
      <c r="F445" s="8"/>
      <c r="G445" s="8"/>
      <c r="H445" s="8"/>
      <c r="I445" s="8"/>
      <c r="J445" s="8"/>
      <c r="K445" s="8"/>
      <c r="L445" s="8"/>
      <c r="T445" s="8"/>
      <c r="U445" s="8"/>
      <c r="V445" s="8"/>
      <c r="W445" s="8"/>
      <c r="X445" s="8"/>
      <c r="Y445" s="8"/>
      <c r="Z445" s="8"/>
      <c r="AA445" s="8"/>
      <c r="AB445" s="8"/>
      <c r="AC445" s="8"/>
      <c r="AD445" s="8"/>
      <c r="AE445" s="8"/>
    </row>
    <row r="446" spans="1:31" x14ac:dyDescent="0.25">
      <c r="A446" s="8"/>
      <c r="B446" s="8"/>
      <c r="C446" s="8"/>
      <c r="D446" s="8"/>
      <c r="E446" s="8"/>
      <c r="F446" s="8"/>
      <c r="G446" s="8"/>
      <c r="H446" s="8"/>
      <c r="I446" s="8"/>
      <c r="J446" s="8"/>
      <c r="K446" s="8"/>
      <c r="L446" s="8"/>
      <c r="T446" s="8"/>
      <c r="U446" s="8"/>
      <c r="V446" s="8"/>
      <c r="W446" s="8"/>
      <c r="X446" s="8"/>
      <c r="Y446" s="8"/>
      <c r="Z446" s="8"/>
      <c r="AA446" s="8"/>
      <c r="AB446" s="8"/>
      <c r="AC446" s="8"/>
      <c r="AD446" s="8"/>
      <c r="AE446" s="8"/>
    </row>
    <row r="447" spans="1:31" x14ac:dyDescent="0.25">
      <c r="A447" s="8"/>
      <c r="B447" s="8"/>
      <c r="C447" s="8"/>
      <c r="D447" s="8"/>
      <c r="E447" s="8"/>
      <c r="F447" s="8"/>
      <c r="G447" s="8"/>
      <c r="H447" s="8"/>
      <c r="I447" s="8"/>
      <c r="J447" s="8"/>
      <c r="K447" s="8"/>
      <c r="L447" s="8"/>
      <c r="T447" s="8"/>
      <c r="U447" s="8"/>
      <c r="V447" s="8"/>
      <c r="W447" s="8"/>
      <c r="X447" s="8"/>
      <c r="Y447" s="8"/>
      <c r="Z447" s="8"/>
      <c r="AA447" s="8"/>
      <c r="AB447" s="8"/>
      <c r="AC447" s="8"/>
      <c r="AD447" s="8"/>
      <c r="AE447" s="8"/>
    </row>
    <row r="448" spans="1:31" x14ac:dyDescent="0.25">
      <c r="A448" s="8"/>
      <c r="B448" s="8"/>
      <c r="C448" s="8"/>
      <c r="D448" s="8"/>
      <c r="E448" s="8"/>
      <c r="F448" s="8"/>
      <c r="G448" s="8"/>
      <c r="H448" s="8"/>
      <c r="I448" s="8"/>
      <c r="J448" s="8"/>
      <c r="K448" s="8"/>
      <c r="L448" s="8"/>
      <c r="T448" s="8"/>
      <c r="U448" s="8"/>
      <c r="V448" s="8"/>
      <c r="W448" s="8"/>
      <c r="X448" s="8"/>
      <c r="Y448" s="8"/>
      <c r="Z448" s="8"/>
      <c r="AA448" s="8"/>
      <c r="AB448" s="8"/>
      <c r="AC448" s="8"/>
      <c r="AD448" s="8"/>
      <c r="AE448" s="8"/>
    </row>
    <row r="449" spans="1:31" x14ac:dyDescent="0.25">
      <c r="A449" s="8"/>
      <c r="B449" s="8"/>
      <c r="C449" s="8"/>
      <c r="D449" s="8"/>
      <c r="E449" s="8"/>
      <c r="F449" s="8"/>
      <c r="G449" s="8"/>
      <c r="H449" s="8"/>
      <c r="I449" s="8"/>
      <c r="J449" s="8"/>
      <c r="K449" s="8"/>
      <c r="L449" s="8"/>
      <c r="T449" s="8"/>
      <c r="U449" s="8"/>
      <c r="V449" s="8"/>
      <c r="W449" s="8"/>
      <c r="X449" s="8"/>
      <c r="Y449" s="8"/>
      <c r="Z449" s="8"/>
      <c r="AA449" s="8"/>
      <c r="AB449" s="8"/>
      <c r="AC449" s="8"/>
      <c r="AD449" s="8"/>
      <c r="AE449" s="8"/>
    </row>
    <row r="450" spans="1:31" x14ac:dyDescent="0.25">
      <c r="A450" s="8"/>
      <c r="B450" s="8"/>
      <c r="C450" s="8"/>
      <c r="D450" s="8"/>
      <c r="E450" s="8"/>
      <c r="F450" s="8"/>
      <c r="G450" s="8"/>
      <c r="H450" s="8"/>
      <c r="I450" s="8"/>
      <c r="J450" s="8"/>
      <c r="K450" s="8"/>
      <c r="L450" s="8"/>
      <c r="T450" s="8"/>
      <c r="U450" s="8"/>
      <c r="V450" s="8"/>
      <c r="W450" s="8"/>
      <c r="X450" s="8"/>
      <c r="Y450" s="8"/>
      <c r="Z450" s="8"/>
      <c r="AA450" s="8"/>
      <c r="AB450" s="8"/>
      <c r="AC450" s="8"/>
      <c r="AD450" s="8"/>
      <c r="AE450" s="8"/>
    </row>
    <row r="451" spans="1:31" x14ac:dyDescent="0.25">
      <c r="A451" s="8"/>
      <c r="B451" s="8"/>
      <c r="C451" s="8"/>
      <c r="D451" s="8"/>
      <c r="E451" s="8"/>
      <c r="F451" s="8"/>
      <c r="G451" s="8"/>
      <c r="H451" s="8"/>
      <c r="I451" s="8"/>
      <c r="J451" s="8"/>
      <c r="K451" s="8"/>
      <c r="L451" s="8"/>
      <c r="T451" s="8"/>
      <c r="U451" s="8"/>
      <c r="V451" s="8"/>
      <c r="W451" s="8"/>
      <c r="X451" s="8"/>
      <c r="Y451" s="8"/>
      <c r="Z451" s="8"/>
      <c r="AA451" s="8"/>
      <c r="AB451" s="8"/>
      <c r="AC451" s="8"/>
      <c r="AD451" s="8"/>
      <c r="AE451" s="8"/>
    </row>
    <row r="452" spans="1:31" x14ac:dyDescent="0.25">
      <c r="A452" s="8"/>
      <c r="B452" s="8"/>
      <c r="C452" s="8"/>
      <c r="D452" s="8"/>
      <c r="E452" s="8"/>
      <c r="F452" s="8"/>
      <c r="G452" s="8"/>
      <c r="H452" s="8"/>
      <c r="I452" s="8"/>
      <c r="J452" s="8"/>
      <c r="K452" s="8"/>
      <c r="L452" s="8"/>
      <c r="T452" s="8"/>
      <c r="U452" s="8"/>
      <c r="V452" s="8"/>
      <c r="W452" s="8"/>
      <c r="X452" s="8"/>
      <c r="Y452" s="8"/>
      <c r="Z452" s="8"/>
      <c r="AA452" s="8"/>
      <c r="AB452" s="8"/>
      <c r="AC452" s="8"/>
      <c r="AD452" s="8"/>
      <c r="AE452" s="8"/>
    </row>
    <row r="453" spans="1:31" x14ac:dyDescent="0.25">
      <c r="A453" s="8"/>
      <c r="B453" s="8"/>
      <c r="C453" s="8"/>
      <c r="D453" s="8"/>
      <c r="E453" s="8"/>
      <c r="F453" s="8"/>
      <c r="G453" s="8"/>
      <c r="H453" s="8"/>
      <c r="I453" s="8"/>
      <c r="J453" s="8"/>
      <c r="K453" s="8"/>
      <c r="L453" s="8"/>
      <c r="T453" s="8"/>
      <c r="U453" s="8"/>
      <c r="V453" s="8"/>
      <c r="W453" s="8"/>
      <c r="X453" s="8"/>
      <c r="Y453" s="8"/>
      <c r="Z453" s="8"/>
      <c r="AA453" s="8"/>
      <c r="AB453" s="8"/>
      <c r="AC453" s="8"/>
      <c r="AD453" s="8"/>
      <c r="AE453" s="8"/>
    </row>
    <row r="454" spans="1:31" x14ac:dyDescent="0.25">
      <c r="A454" s="8"/>
      <c r="B454" s="8"/>
      <c r="C454" s="8"/>
      <c r="D454" s="8"/>
      <c r="E454" s="8"/>
      <c r="F454" s="8"/>
      <c r="G454" s="8"/>
      <c r="H454" s="8"/>
      <c r="I454" s="8"/>
      <c r="J454" s="8"/>
      <c r="K454" s="8"/>
      <c r="L454" s="8"/>
      <c r="T454" s="8"/>
      <c r="U454" s="8"/>
      <c r="V454" s="8"/>
      <c r="W454" s="8"/>
      <c r="X454" s="8"/>
      <c r="Y454" s="8"/>
      <c r="Z454" s="8"/>
      <c r="AA454" s="8"/>
      <c r="AB454" s="8"/>
      <c r="AC454" s="8"/>
      <c r="AD454" s="8"/>
      <c r="AE454" s="8"/>
    </row>
    <row r="455" spans="1:31" x14ac:dyDescent="0.25">
      <c r="A455" s="8"/>
      <c r="B455" s="8"/>
      <c r="C455" s="8"/>
      <c r="D455" s="8"/>
      <c r="E455" s="8"/>
      <c r="F455" s="8"/>
      <c r="G455" s="8"/>
      <c r="H455" s="8"/>
      <c r="I455" s="8"/>
      <c r="J455" s="8"/>
      <c r="K455" s="8"/>
      <c r="L455" s="8"/>
      <c r="T455" s="8"/>
      <c r="U455" s="8"/>
      <c r="V455" s="8"/>
      <c r="W455" s="8"/>
      <c r="X455" s="8"/>
      <c r="Y455" s="8"/>
      <c r="Z455" s="8"/>
      <c r="AA455" s="8"/>
      <c r="AB455" s="8"/>
      <c r="AC455" s="8"/>
      <c r="AD455" s="8"/>
      <c r="AE455" s="8"/>
    </row>
    <row r="456" spans="1:31" x14ac:dyDescent="0.25">
      <c r="A456" s="8"/>
      <c r="B456" s="8"/>
      <c r="C456" s="8"/>
      <c r="D456" s="8"/>
      <c r="E456" s="8"/>
      <c r="F456" s="8"/>
      <c r="G456" s="8"/>
      <c r="H456" s="8"/>
      <c r="I456" s="8"/>
      <c r="J456" s="8"/>
      <c r="K456" s="8"/>
      <c r="L456" s="8"/>
      <c r="T456" s="8"/>
      <c r="U456" s="8"/>
      <c r="V456" s="8"/>
      <c r="W456" s="8"/>
      <c r="X456" s="8"/>
      <c r="Y456" s="8"/>
      <c r="Z456" s="8"/>
      <c r="AA456" s="8"/>
      <c r="AB456" s="8"/>
      <c r="AC456" s="8"/>
      <c r="AD456" s="8"/>
      <c r="AE456" s="8"/>
    </row>
    <row r="457" spans="1:31" x14ac:dyDescent="0.25">
      <c r="A457" s="8"/>
      <c r="B457" s="8"/>
      <c r="C457" s="8"/>
      <c r="D457" s="8"/>
      <c r="E457" s="8"/>
      <c r="F457" s="8"/>
      <c r="G457" s="8"/>
      <c r="H457" s="8"/>
      <c r="I457" s="8"/>
      <c r="J457" s="8"/>
      <c r="K457" s="8"/>
      <c r="L457" s="8"/>
      <c r="T457" s="8"/>
      <c r="U457" s="8"/>
      <c r="V457" s="8"/>
      <c r="W457" s="8"/>
      <c r="X457" s="8"/>
      <c r="Y457" s="8"/>
      <c r="Z457" s="8"/>
      <c r="AA457" s="8"/>
      <c r="AB457" s="8"/>
      <c r="AC457" s="8"/>
      <c r="AD457" s="8"/>
      <c r="AE457" s="8"/>
    </row>
    <row r="458" spans="1:31" x14ac:dyDescent="0.25">
      <c r="A458" s="8"/>
      <c r="B458" s="8"/>
      <c r="C458" s="8"/>
      <c r="D458" s="8"/>
      <c r="E458" s="8"/>
      <c r="F458" s="8"/>
      <c r="G458" s="8"/>
      <c r="H458" s="8"/>
      <c r="I458" s="8"/>
      <c r="J458" s="8"/>
      <c r="K458" s="8"/>
      <c r="L458" s="8"/>
      <c r="T458" s="8"/>
      <c r="U458" s="8"/>
      <c r="V458" s="8"/>
      <c r="W458" s="8"/>
      <c r="X458" s="8"/>
      <c r="Y458" s="8"/>
      <c r="Z458" s="8"/>
      <c r="AA458" s="8"/>
      <c r="AB458" s="8"/>
      <c r="AC458" s="8"/>
      <c r="AD458" s="8"/>
      <c r="AE458" s="8"/>
    </row>
    <row r="459" spans="1:31" x14ac:dyDescent="0.25">
      <c r="A459" s="8"/>
      <c r="B459" s="8"/>
      <c r="C459" s="8"/>
      <c r="D459" s="8"/>
      <c r="E459" s="8"/>
      <c r="F459" s="8"/>
      <c r="G459" s="8"/>
      <c r="H459" s="8"/>
      <c r="I459" s="8"/>
      <c r="J459" s="8"/>
      <c r="K459" s="8"/>
      <c r="L459" s="8"/>
      <c r="T459" s="8"/>
      <c r="U459" s="8"/>
      <c r="V459" s="8"/>
      <c r="W459" s="8"/>
      <c r="X459" s="8"/>
      <c r="Y459" s="8"/>
      <c r="Z459" s="8"/>
      <c r="AA459" s="8"/>
      <c r="AB459" s="8"/>
      <c r="AC459" s="8"/>
      <c r="AD459" s="8"/>
      <c r="AE459" s="8"/>
    </row>
    <row r="460" spans="1:31" x14ac:dyDescent="0.25">
      <c r="A460" s="8"/>
      <c r="B460" s="8"/>
      <c r="C460" s="8"/>
      <c r="D460" s="8"/>
      <c r="E460" s="8"/>
      <c r="F460" s="8"/>
      <c r="G460" s="8"/>
      <c r="H460" s="8"/>
      <c r="I460" s="8"/>
      <c r="J460" s="8"/>
      <c r="K460" s="8"/>
      <c r="L460" s="8"/>
      <c r="T460" s="8"/>
      <c r="U460" s="8"/>
      <c r="V460" s="8"/>
      <c r="W460" s="8"/>
      <c r="X460" s="8"/>
      <c r="Y460" s="8"/>
      <c r="Z460" s="8"/>
      <c r="AA460" s="8"/>
      <c r="AB460" s="8"/>
      <c r="AC460" s="8"/>
      <c r="AD460" s="8"/>
      <c r="AE460" s="8"/>
    </row>
    <row r="461" spans="1:31" x14ac:dyDescent="0.25">
      <c r="A461" s="8"/>
      <c r="B461" s="8"/>
      <c r="C461" s="8"/>
      <c r="D461" s="8"/>
      <c r="E461" s="8"/>
      <c r="F461" s="8"/>
      <c r="G461" s="8"/>
      <c r="H461" s="8"/>
      <c r="I461" s="8"/>
      <c r="J461" s="8"/>
      <c r="K461" s="8"/>
      <c r="L461" s="8"/>
      <c r="T461" s="8"/>
      <c r="U461" s="8"/>
      <c r="V461" s="8"/>
      <c r="W461" s="8"/>
      <c r="X461" s="8"/>
      <c r="Y461" s="8"/>
      <c r="Z461" s="8"/>
      <c r="AA461" s="8"/>
      <c r="AB461" s="8"/>
      <c r="AC461" s="8"/>
      <c r="AD461" s="8"/>
      <c r="AE461" s="8"/>
    </row>
    <row r="462" spans="1:31" x14ac:dyDescent="0.25">
      <c r="A462" s="8"/>
      <c r="B462" s="8"/>
      <c r="C462" s="8"/>
      <c r="D462" s="8"/>
      <c r="E462" s="8"/>
      <c r="F462" s="8"/>
      <c r="G462" s="8"/>
      <c r="H462" s="8"/>
      <c r="I462" s="8"/>
      <c r="J462" s="8"/>
      <c r="K462" s="8"/>
      <c r="L462" s="8"/>
      <c r="T462" s="8"/>
      <c r="U462" s="8"/>
      <c r="V462" s="8"/>
      <c r="W462" s="8"/>
      <c r="X462" s="8"/>
      <c r="Y462" s="8"/>
      <c r="Z462" s="8"/>
      <c r="AA462" s="8"/>
      <c r="AB462" s="8"/>
      <c r="AC462" s="8"/>
      <c r="AD462" s="8"/>
      <c r="AE462" s="8"/>
    </row>
    <row r="463" spans="1:31" x14ac:dyDescent="0.25">
      <c r="A463" s="8"/>
      <c r="B463" s="8"/>
      <c r="C463" s="8"/>
      <c r="D463" s="8"/>
      <c r="E463" s="8"/>
      <c r="F463" s="8"/>
      <c r="G463" s="8"/>
      <c r="H463" s="8"/>
      <c r="I463" s="8"/>
      <c r="J463" s="8"/>
      <c r="K463" s="8"/>
      <c r="L463" s="8"/>
      <c r="T463" s="8"/>
      <c r="U463" s="8"/>
      <c r="V463" s="8"/>
      <c r="W463" s="8"/>
      <c r="X463" s="8"/>
      <c r="Y463" s="8"/>
      <c r="Z463" s="8"/>
      <c r="AA463" s="8"/>
      <c r="AB463" s="8"/>
      <c r="AC463" s="8"/>
      <c r="AD463" s="8"/>
      <c r="AE463" s="8"/>
    </row>
    <row r="464" spans="1:31" x14ac:dyDescent="0.25">
      <c r="A464" s="8"/>
      <c r="B464" s="8"/>
      <c r="C464" s="8"/>
      <c r="D464" s="8"/>
      <c r="E464" s="8"/>
      <c r="F464" s="8"/>
      <c r="G464" s="8"/>
      <c r="H464" s="8"/>
      <c r="I464" s="8"/>
      <c r="J464" s="8"/>
      <c r="K464" s="8"/>
      <c r="L464" s="8"/>
      <c r="T464" s="8"/>
      <c r="U464" s="8"/>
      <c r="V464" s="8"/>
      <c r="W464" s="8"/>
      <c r="X464" s="8"/>
      <c r="Y464" s="8"/>
      <c r="Z464" s="8"/>
      <c r="AA464" s="8"/>
      <c r="AB464" s="8"/>
      <c r="AC464" s="8"/>
      <c r="AD464" s="8"/>
      <c r="AE464" s="8"/>
    </row>
    <row r="465" spans="1:31" x14ac:dyDescent="0.25">
      <c r="A465" s="8"/>
      <c r="B465" s="8"/>
      <c r="C465" s="8"/>
      <c r="D465" s="8"/>
      <c r="E465" s="8"/>
      <c r="F465" s="8"/>
      <c r="G465" s="8"/>
      <c r="H465" s="8"/>
      <c r="I465" s="8"/>
      <c r="J465" s="8"/>
      <c r="K465" s="8"/>
      <c r="L465" s="8"/>
      <c r="T465" s="8"/>
      <c r="U465" s="8"/>
      <c r="V465" s="8"/>
      <c r="W465" s="8"/>
      <c r="X465" s="8"/>
      <c r="Y465" s="8"/>
      <c r="Z465" s="8"/>
      <c r="AA465" s="8"/>
      <c r="AB465" s="8"/>
      <c r="AC465" s="8"/>
      <c r="AD465" s="8"/>
      <c r="AE465" s="8"/>
    </row>
    <row r="466" spans="1:31" x14ac:dyDescent="0.25">
      <c r="A466" s="8"/>
      <c r="B466" s="8"/>
      <c r="C466" s="8"/>
      <c r="D466" s="8"/>
      <c r="E466" s="8"/>
      <c r="F466" s="8"/>
      <c r="G466" s="8"/>
      <c r="H466" s="8"/>
      <c r="I466" s="8"/>
      <c r="J466" s="8"/>
      <c r="K466" s="8"/>
      <c r="L466" s="8"/>
      <c r="T466" s="8"/>
      <c r="U466" s="8"/>
      <c r="V466" s="8"/>
      <c r="W466" s="8"/>
      <c r="X466" s="8"/>
      <c r="Y466" s="8"/>
      <c r="Z466" s="8"/>
      <c r="AA466" s="8"/>
      <c r="AB466" s="8"/>
      <c r="AC466" s="8"/>
      <c r="AD466" s="8"/>
      <c r="AE466" s="8"/>
    </row>
    <row r="467" spans="1:31" x14ac:dyDescent="0.25">
      <c r="A467" s="8"/>
      <c r="B467" s="8"/>
      <c r="C467" s="8"/>
      <c r="D467" s="8"/>
      <c r="E467" s="8"/>
      <c r="F467" s="8"/>
      <c r="G467" s="8"/>
      <c r="H467" s="8"/>
      <c r="I467" s="8"/>
      <c r="J467" s="8"/>
      <c r="K467" s="8"/>
      <c r="L467" s="8"/>
      <c r="T467" s="8"/>
      <c r="U467" s="8"/>
      <c r="V467" s="8"/>
      <c r="W467" s="8"/>
      <c r="X467" s="8"/>
      <c r="Y467" s="8"/>
      <c r="Z467" s="8"/>
      <c r="AA467" s="8"/>
      <c r="AB467" s="8"/>
      <c r="AC467" s="8"/>
      <c r="AD467" s="8"/>
      <c r="AE467" s="8"/>
    </row>
    <row r="468" spans="1:31" x14ac:dyDescent="0.25">
      <c r="A468" s="8"/>
      <c r="B468" s="8"/>
      <c r="C468" s="8"/>
      <c r="D468" s="8"/>
      <c r="E468" s="8"/>
      <c r="F468" s="8"/>
      <c r="G468" s="8"/>
      <c r="H468" s="8"/>
      <c r="I468" s="8"/>
      <c r="J468" s="8"/>
      <c r="K468" s="8"/>
      <c r="L468" s="8"/>
      <c r="T468" s="8"/>
      <c r="U468" s="8"/>
      <c r="V468" s="8"/>
      <c r="W468" s="8"/>
      <c r="X468" s="8"/>
      <c r="Y468" s="8"/>
      <c r="Z468" s="8"/>
      <c r="AA468" s="8"/>
      <c r="AB468" s="8"/>
      <c r="AC468" s="8"/>
      <c r="AD468" s="8"/>
      <c r="AE468" s="8"/>
    </row>
    <row r="469" spans="1:31" x14ac:dyDescent="0.25">
      <c r="A469" s="8"/>
      <c r="B469" s="8"/>
      <c r="C469" s="8"/>
      <c r="D469" s="8"/>
      <c r="E469" s="8"/>
      <c r="F469" s="8"/>
      <c r="G469" s="8"/>
      <c r="H469" s="8"/>
      <c r="I469" s="8"/>
      <c r="J469" s="8"/>
      <c r="K469" s="8"/>
      <c r="L469" s="8"/>
      <c r="T469" s="8"/>
      <c r="U469" s="8"/>
      <c r="V469" s="8"/>
      <c r="W469" s="8"/>
      <c r="X469" s="8"/>
      <c r="Y469" s="8"/>
      <c r="Z469" s="8"/>
      <c r="AA469" s="8"/>
      <c r="AB469" s="8"/>
      <c r="AC469" s="8"/>
      <c r="AD469" s="8"/>
      <c r="AE469" s="8"/>
    </row>
    <row r="470" spans="1:31" x14ac:dyDescent="0.25">
      <c r="A470" s="8"/>
      <c r="B470" s="8"/>
      <c r="C470" s="8"/>
      <c r="D470" s="8"/>
      <c r="E470" s="8"/>
      <c r="F470" s="8"/>
      <c r="G470" s="8"/>
      <c r="H470" s="8"/>
      <c r="I470" s="8"/>
      <c r="J470" s="8"/>
      <c r="K470" s="8"/>
      <c r="L470" s="8"/>
      <c r="T470" s="8"/>
      <c r="U470" s="8"/>
      <c r="V470" s="8"/>
      <c r="W470" s="8"/>
      <c r="X470" s="8"/>
      <c r="Y470" s="8"/>
      <c r="Z470" s="8"/>
      <c r="AA470" s="8"/>
      <c r="AB470" s="8"/>
      <c r="AC470" s="8"/>
      <c r="AD470" s="8"/>
      <c r="AE470" s="8"/>
    </row>
    <row r="471" spans="1:31" x14ac:dyDescent="0.25">
      <c r="A471" s="8"/>
      <c r="B471" s="8"/>
      <c r="C471" s="8"/>
      <c r="D471" s="8"/>
      <c r="E471" s="8"/>
      <c r="F471" s="8"/>
      <c r="G471" s="8"/>
      <c r="H471" s="8"/>
      <c r="I471" s="8"/>
      <c r="J471" s="8"/>
      <c r="K471" s="8"/>
      <c r="L471" s="8"/>
      <c r="T471" s="8"/>
      <c r="U471" s="8"/>
      <c r="V471" s="8"/>
      <c r="W471" s="8"/>
      <c r="X471" s="8"/>
      <c r="Y471" s="8"/>
      <c r="Z471" s="8"/>
      <c r="AA471" s="8"/>
      <c r="AB471" s="8"/>
      <c r="AC471" s="8"/>
      <c r="AD471" s="8"/>
      <c r="AE471" s="8"/>
    </row>
    <row r="472" spans="1:31" x14ac:dyDescent="0.25">
      <c r="A472" s="8"/>
      <c r="B472" s="8"/>
      <c r="C472" s="8"/>
      <c r="D472" s="8"/>
      <c r="E472" s="8"/>
      <c r="F472" s="8"/>
      <c r="G472" s="8"/>
      <c r="H472" s="8"/>
      <c r="I472" s="8"/>
      <c r="J472" s="8"/>
      <c r="K472" s="8"/>
      <c r="L472" s="8"/>
      <c r="T472" s="8"/>
      <c r="U472" s="8"/>
      <c r="V472" s="8"/>
      <c r="W472" s="8"/>
      <c r="X472" s="8"/>
      <c r="Y472" s="8"/>
      <c r="Z472" s="8"/>
      <c r="AA472" s="8"/>
      <c r="AB472" s="8"/>
      <c r="AC472" s="8"/>
      <c r="AD472" s="8"/>
      <c r="AE472" s="8"/>
    </row>
    <row r="473" spans="1:31" x14ac:dyDescent="0.25">
      <c r="A473" s="8"/>
      <c r="B473" s="8"/>
      <c r="C473" s="8"/>
      <c r="D473" s="8"/>
      <c r="E473" s="8"/>
      <c r="F473" s="8"/>
      <c r="G473" s="8"/>
      <c r="H473" s="8"/>
      <c r="I473" s="8"/>
      <c r="J473" s="8"/>
      <c r="K473" s="8"/>
      <c r="L473" s="8"/>
      <c r="T473" s="8"/>
      <c r="U473" s="8"/>
      <c r="V473" s="8"/>
      <c r="W473" s="8"/>
      <c r="X473" s="8"/>
      <c r="Y473" s="8"/>
      <c r="Z473" s="8"/>
      <c r="AA473" s="8"/>
      <c r="AB473" s="8"/>
      <c r="AC473" s="8"/>
      <c r="AD473" s="8"/>
      <c r="AE473" s="8"/>
    </row>
    <row r="474" spans="1:31" x14ac:dyDescent="0.25">
      <c r="A474" s="8"/>
      <c r="B474" s="8"/>
      <c r="C474" s="8"/>
      <c r="D474" s="8"/>
      <c r="E474" s="8"/>
      <c r="F474" s="8"/>
      <c r="G474" s="8"/>
      <c r="H474" s="8"/>
      <c r="I474" s="8"/>
      <c r="J474" s="8"/>
      <c r="K474" s="8"/>
      <c r="L474" s="8"/>
      <c r="T474" s="8"/>
      <c r="U474" s="8"/>
      <c r="V474" s="8"/>
      <c r="W474" s="8"/>
      <c r="X474" s="8"/>
      <c r="Y474" s="8"/>
      <c r="Z474" s="8"/>
      <c r="AA474" s="8"/>
      <c r="AB474" s="8"/>
      <c r="AC474" s="8"/>
      <c r="AD474" s="8"/>
      <c r="AE474" s="8"/>
    </row>
    <row r="475" spans="1:31" x14ac:dyDescent="0.25">
      <c r="A475" s="8"/>
      <c r="B475" s="8"/>
      <c r="C475" s="8"/>
      <c r="D475" s="8"/>
      <c r="E475" s="8"/>
      <c r="F475" s="8"/>
      <c r="G475" s="8"/>
      <c r="H475" s="8"/>
      <c r="I475" s="8"/>
      <c r="J475" s="8"/>
      <c r="K475" s="8"/>
      <c r="L475" s="8"/>
      <c r="T475" s="8"/>
      <c r="U475" s="8"/>
      <c r="V475" s="8"/>
      <c r="W475" s="8"/>
      <c r="X475" s="8"/>
      <c r="Y475" s="8"/>
      <c r="Z475" s="8"/>
      <c r="AA475" s="8"/>
      <c r="AB475" s="8"/>
      <c r="AC475" s="8"/>
      <c r="AD475" s="8"/>
      <c r="AE475" s="8"/>
    </row>
    <row r="476" spans="1:31" x14ac:dyDescent="0.25">
      <c r="A476" s="8"/>
      <c r="B476" s="8"/>
      <c r="C476" s="8"/>
      <c r="D476" s="8"/>
      <c r="E476" s="8"/>
      <c r="F476" s="8"/>
      <c r="G476" s="8"/>
      <c r="H476" s="8"/>
      <c r="I476" s="8"/>
      <c r="J476" s="8"/>
      <c r="K476" s="8"/>
      <c r="L476" s="8"/>
      <c r="T476" s="8"/>
      <c r="U476" s="8"/>
      <c r="V476" s="8"/>
      <c r="W476" s="8"/>
      <c r="X476" s="8"/>
      <c r="Y476" s="8"/>
      <c r="Z476" s="8"/>
      <c r="AA476" s="8"/>
      <c r="AB476" s="8"/>
      <c r="AC476" s="8"/>
      <c r="AD476" s="8"/>
      <c r="AE476" s="8"/>
    </row>
    <row r="477" spans="1:31" x14ac:dyDescent="0.25">
      <c r="A477" s="8"/>
      <c r="B477" s="8"/>
      <c r="C477" s="8"/>
      <c r="D477" s="8"/>
      <c r="E477" s="8"/>
      <c r="F477" s="8"/>
      <c r="G477" s="8"/>
      <c r="H477" s="8"/>
      <c r="I477" s="8"/>
      <c r="J477" s="8"/>
      <c r="K477" s="8"/>
      <c r="L477" s="8"/>
      <c r="T477" s="8"/>
      <c r="U477" s="8"/>
      <c r="V477" s="8"/>
      <c r="W477" s="8"/>
      <c r="X477" s="8"/>
      <c r="Y477" s="8"/>
      <c r="Z477" s="8"/>
      <c r="AA477" s="8"/>
      <c r="AB477" s="8"/>
      <c r="AC477" s="8"/>
      <c r="AD477" s="8"/>
      <c r="AE477" s="8"/>
    </row>
    <row r="478" spans="1:31" x14ac:dyDescent="0.25">
      <c r="A478" s="8"/>
      <c r="B478" s="8"/>
      <c r="C478" s="8"/>
      <c r="D478" s="8"/>
      <c r="E478" s="8"/>
      <c r="F478" s="8"/>
      <c r="G478" s="8"/>
      <c r="H478" s="8"/>
      <c r="I478" s="8"/>
      <c r="J478" s="8"/>
      <c r="K478" s="8"/>
      <c r="L478" s="8"/>
      <c r="T478" s="8"/>
      <c r="U478" s="8"/>
      <c r="V478" s="8"/>
      <c r="W478" s="8"/>
      <c r="X478" s="8"/>
      <c r="Y478" s="8"/>
      <c r="Z478" s="8"/>
      <c r="AA478" s="8"/>
      <c r="AB478" s="8"/>
      <c r="AC478" s="8"/>
      <c r="AD478" s="8"/>
      <c r="AE478" s="8"/>
    </row>
    <row r="479" spans="1:31" x14ac:dyDescent="0.25">
      <c r="A479" s="8"/>
      <c r="B479" s="8"/>
      <c r="C479" s="8"/>
      <c r="D479" s="8"/>
      <c r="E479" s="8"/>
      <c r="F479" s="8"/>
      <c r="G479" s="8"/>
      <c r="H479" s="8"/>
      <c r="I479" s="8"/>
      <c r="J479" s="8"/>
      <c r="K479" s="8"/>
      <c r="L479" s="8"/>
      <c r="T479" s="8"/>
      <c r="U479" s="8"/>
      <c r="V479" s="8"/>
      <c r="W479" s="8"/>
      <c r="X479" s="8"/>
      <c r="Y479" s="8"/>
      <c r="Z479" s="8"/>
      <c r="AA479" s="8"/>
      <c r="AB479" s="8"/>
      <c r="AC479" s="8"/>
      <c r="AD479" s="8"/>
      <c r="AE479" s="8"/>
    </row>
    <row r="480" spans="1:31" x14ac:dyDescent="0.25">
      <c r="A480" s="8"/>
      <c r="B480" s="8"/>
      <c r="C480" s="8"/>
      <c r="D480" s="8"/>
      <c r="E480" s="8"/>
      <c r="F480" s="8"/>
      <c r="G480" s="8"/>
      <c r="H480" s="8"/>
      <c r="I480" s="8"/>
      <c r="J480" s="8"/>
      <c r="K480" s="8"/>
      <c r="L480" s="8"/>
      <c r="T480" s="8"/>
      <c r="U480" s="8"/>
      <c r="V480" s="8"/>
      <c r="W480" s="8"/>
      <c r="X480" s="8"/>
      <c r="Y480" s="8"/>
      <c r="Z480" s="8"/>
      <c r="AA480" s="8"/>
      <c r="AB480" s="8"/>
      <c r="AC480" s="8"/>
      <c r="AD480" s="8"/>
      <c r="AE480" s="8"/>
    </row>
    <row r="481" spans="1:31" x14ac:dyDescent="0.25">
      <c r="A481" s="8"/>
      <c r="B481" s="8"/>
      <c r="C481" s="8"/>
      <c r="D481" s="8"/>
      <c r="E481" s="8"/>
      <c r="F481" s="8"/>
      <c r="G481" s="8"/>
      <c r="H481" s="8"/>
      <c r="I481" s="8"/>
      <c r="J481" s="8"/>
      <c r="K481" s="8"/>
      <c r="L481" s="8"/>
      <c r="T481" s="8"/>
      <c r="U481" s="8"/>
      <c r="V481" s="8"/>
      <c r="W481" s="8"/>
      <c r="X481" s="8"/>
      <c r="Y481" s="8"/>
      <c r="Z481" s="8"/>
      <c r="AA481" s="8"/>
      <c r="AB481" s="8"/>
      <c r="AC481" s="8"/>
      <c r="AD481" s="8"/>
      <c r="AE481" s="8"/>
    </row>
    <row r="482" spans="1:31" x14ac:dyDescent="0.25">
      <c r="A482" s="8"/>
      <c r="B482" s="8"/>
      <c r="C482" s="8"/>
      <c r="D482" s="8"/>
      <c r="E482" s="8"/>
      <c r="F482" s="8"/>
      <c r="G482" s="8"/>
      <c r="H482" s="8"/>
      <c r="I482" s="8"/>
      <c r="J482" s="8"/>
      <c r="K482" s="8"/>
      <c r="L482" s="8"/>
      <c r="T482" s="8"/>
      <c r="U482" s="8"/>
      <c r="V482" s="8"/>
      <c r="W482" s="8"/>
      <c r="X482" s="8"/>
      <c r="Y482" s="8"/>
      <c r="Z482" s="8"/>
      <c r="AA482" s="8"/>
      <c r="AB482" s="8"/>
      <c r="AC482" s="8"/>
      <c r="AD482" s="8"/>
      <c r="AE482" s="8"/>
    </row>
    <row r="483" spans="1:31" x14ac:dyDescent="0.25">
      <c r="A483" s="8"/>
      <c r="B483" s="8"/>
      <c r="C483" s="8"/>
      <c r="D483" s="8"/>
      <c r="E483" s="8"/>
      <c r="F483" s="8"/>
      <c r="G483" s="8"/>
      <c r="H483" s="8"/>
      <c r="I483" s="8"/>
      <c r="J483" s="8"/>
      <c r="K483" s="8"/>
      <c r="L483" s="8"/>
      <c r="T483" s="8"/>
      <c r="U483" s="8"/>
      <c r="V483" s="8"/>
      <c r="W483" s="8"/>
      <c r="X483" s="8"/>
      <c r="Y483" s="8"/>
      <c r="Z483" s="8"/>
      <c r="AA483" s="8"/>
      <c r="AB483" s="8"/>
      <c r="AC483" s="8"/>
      <c r="AD483" s="8"/>
      <c r="AE483" s="8"/>
    </row>
    <row r="484" spans="1:31" x14ac:dyDescent="0.25">
      <c r="A484" s="8"/>
      <c r="B484" s="8"/>
      <c r="C484" s="8"/>
      <c r="D484" s="8"/>
      <c r="E484" s="8"/>
      <c r="F484" s="8"/>
      <c r="G484" s="8"/>
      <c r="H484" s="8"/>
      <c r="I484" s="8"/>
      <c r="J484" s="8"/>
      <c r="K484" s="8"/>
      <c r="L484" s="8"/>
      <c r="T484" s="8"/>
      <c r="U484" s="8"/>
      <c r="V484" s="8"/>
      <c r="W484" s="8"/>
      <c r="X484" s="8"/>
      <c r="Y484" s="8"/>
      <c r="Z484" s="8"/>
      <c r="AA484" s="8"/>
      <c r="AB484" s="8"/>
      <c r="AC484" s="8"/>
      <c r="AD484" s="8"/>
      <c r="AE484" s="8"/>
    </row>
    <row r="485" spans="1:31" x14ac:dyDescent="0.25">
      <c r="A485" s="8"/>
      <c r="B485" s="8"/>
      <c r="C485" s="8"/>
      <c r="D485" s="8"/>
      <c r="E485" s="8"/>
      <c r="F485" s="8"/>
      <c r="G485" s="8"/>
      <c r="H485" s="8"/>
      <c r="I485" s="8"/>
      <c r="J485" s="8"/>
      <c r="K485" s="8"/>
      <c r="L485" s="8"/>
      <c r="T485" s="8"/>
      <c r="U485" s="8"/>
      <c r="V485" s="8"/>
      <c r="W485" s="8"/>
      <c r="X485" s="8"/>
      <c r="Y485" s="8"/>
      <c r="Z485" s="8"/>
      <c r="AA485" s="8"/>
      <c r="AB485" s="8"/>
      <c r="AC485" s="8"/>
      <c r="AD485" s="8"/>
      <c r="AE485" s="8"/>
    </row>
    <row r="486" spans="1:31" x14ac:dyDescent="0.25">
      <c r="A486" s="8"/>
      <c r="B486" s="8"/>
      <c r="C486" s="8"/>
      <c r="D486" s="8"/>
      <c r="E486" s="8"/>
      <c r="F486" s="8"/>
      <c r="G486" s="8"/>
      <c r="H486" s="8"/>
      <c r="I486" s="8"/>
      <c r="J486" s="8"/>
      <c r="K486" s="8"/>
      <c r="L486" s="8"/>
      <c r="T486" s="8"/>
      <c r="U486" s="8"/>
      <c r="V486" s="8"/>
      <c r="W486" s="8"/>
      <c r="X486" s="8"/>
      <c r="Y486" s="8"/>
      <c r="Z486" s="8"/>
      <c r="AA486" s="8"/>
      <c r="AB486" s="8"/>
      <c r="AC486" s="8"/>
      <c r="AD486" s="8"/>
      <c r="AE486" s="8"/>
    </row>
    <row r="487" spans="1:31" x14ac:dyDescent="0.25">
      <c r="A487" s="8"/>
      <c r="B487" s="8"/>
      <c r="C487" s="8"/>
      <c r="D487" s="8"/>
      <c r="E487" s="8"/>
      <c r="F487" s="8"/>
      <c r="G487" s="8"/>
      <c r="H487" s="8"/>
      <c r="I487" s="8"/>
      <c r="J487" s="8"/>
      <c r="K487" s="8"/>
      <c r="L487" s="8"/>
      <c r="T487" s="8"/>
      <c r="U487" s="8"/>
      <c r="V487" s="8"/>
      <c r="W487" s="8"/>
      <c r="X487" s="8"/>
      <c r="Y487" s="8"/>
      <c r="Z487" s="8"/>
      <c r="AA487" s="8"/>
      <c r="AB487" s="8"/>
      <c r="AC487" s="8"/>
      <c r="AD487" s="8"/>
      <c r="AE487" s="8"/>
    </row>
    <row r="488" spans="1:31" x14ac:dyDescent="0.25">
      <c r="A488" s="8"/>
      <c r="B488" s="8"/>
      <c r="C488" s="8"/>
      <c r="D488" s="8"/>
      <c r="E488" s="8"/>
      <c r="F488" s="8"/>
      <c r="G488" s="8"/>
      <c r="H488" s="8"/>
      <c r="I488" s="8"/>
      <c r="J488" s="8"/>
      <c r="K488" s="8"/>
      <c r="L488" s="8"/>
      <c r="T488" s="8"/>
      <c r="U488" s="8"/>
      <c r="V488" s="8"/>
      <c r="W488" s="8"/>
      <c r="X488" s="8"/>
      <c r="Y488" s="8"/>
      <c r="Z488" s="8"/>
      <c r="AA488" s="8"/>
      <c r="AB488" s="8"/>
      <c r="AC488" s="8"/>
      <c r="AD488" s="8"/>
      <c r="AE488" s="8"/>
    </row>
    <row r="489" spans="1:31" x14ac:dyDescent="0.25">
      <c r="A489" s="8"/>
      <c r="B489" s="8"/>
      <c r="C489" s="8"/>
      <c r="D489" s="8"/>
      <c r="E489" s="8"/>
      <c r="F489" s="8"/>
      <c r="G489" s="8"/>
      <c r="H489" s="8"/>
      <c r="I489" s="8"/>
      <c r="J489" s="8"/>
      <c r="K489" s="8"/>
      <c r="L489" s="8"/>
      <c r="T489" s="8"/>
      <c r="U489" s="8"/>
      <c r="V489" s="8"/>
      <c r="W489" s="8"/>
      <c r="X489" s="8"/>
      <c r="Y489" s="8"/>
      <c r="Z489" s="8"/>
      <c r="AA489" s="8"/>
      <c r="AB489" s="8"/>
      <c r="AC489" s="8"/>
      <c r="AD489" s="8"/>
      <c r="AE489" s="8"/>
    </row>
    <row r="490" spans="1:31" x14ac:dyDescent="0.25">
      <c r="A490" s="8"/>
      <c r="B490" s="8"/>
      <c r="C490" s="8"/>
      <c r="D490" s="8"/>
      <c r="E490" s="8"/>
      <c r="F490" s="8"/>
      <c r="G490" s="8"/>
      <c r="H490" s="8"/>
      <c r="I490" s="8"/>
      <c r="J490" s="8"/>
      <c r="K490" s="8"/>
      <c r="L490" s="8"/>
      <c r="T490" s="8"/>
      <c r="U490" s="8"/>
      <c r="V490" s="8"/>
      <c r="W490" s="8"/>
      <c r="X490" s="8"/>
      <c r="Y490" s="8"/>
      <c r="Z490" s="8"/>
      <c r="AA490" s="8"/>
      <c r="AB490" s="8"/>
      <c r="AC490" s="8"/>
      <c r="AD490" s="8"/>
      <c r="AE490" s="8"/>
    </row>
    <row r="491" spans="1:31" x14ac:dyDescent="0.25">
      <c r="A491" s="8"/>
      <c r="B491" s="8"/>
      <c r="C491" s="8"/>
      <c r="D491" s="8"/>
      <c r="E491" s="8"/>
      <c r="F491" s="8"/>
      <c r="G491" s="8"/>
      <c r="H491" s="8"/>
      <c r="I491" s="8"/>
      <c r="J491" s="8"/>
      <c r="K491" s="8"/>
      <c r="L491" s="8"/>
      <c r="T491" s="8"/>
      <c r="U491" s="8"/>
      <c r="V491" s="8"/>
      <c r="W491" s="8"/>
      <c r="X491" s="8"/>
      <c r="Y491" s="8"/>
      <c r="Z491" s="8"/>
      <c r="AA491" s="8"/>
      <c r="AB491" s="8"/>
      <c r="AC491" s="8"/>
      <c r="AD491" s="8"/>
      <c r="AE491" s="8"/>
    </row>
    <row r="492" spans="1:31" x14ac:dyDescent="0.25">
      <c r="A492" s="8"/>
      <c r="B492" s="8"/>
      <c r="C492" s="8"/>
      <c r="D492" s="8"/>
      <c r="E492" s="8"/>
      <c r="F492" s="8"/>
      <c r="G492" s="8"/>
      <c r="H492" s="8"/>
      <c r="I492" s="8"/>
      <c r="J492" s="8"/>
      <c r="K492" s="8"/>
      <c r="L492" s="8"/>
      <c r="T492" s="8"/>
      <c r="U492" s="8"/>
      <c r="V492" s="8"/>
      <c r="W492" s="8"/>
      <c r="X492" s="8"/>
      <c r="Y492" s="8"/>
      <c r="Z492" s="8"/>
      <c r="AA492" s="8"/>
      <c r="AB492" s="8"/>
      <c r="AC492" s="8"/>
      <c r="AD492" s="8"/>
      <c r="AE492" s="8"/>
    </row>
    <row r="493" spans="1:31" x14ac:dyDescent="0.25">
      <c r="A493" s="8"/>
      <c r="B493" s="8"/>
      <c r="C493" s="8"/>
      <c r="D493" s="8"/>
      <c r="E493" s="8"/>
      <c r="F493" s="8"/>
      <c r="G493" s="8"/>
      <c r="H493" s="8"/>
      <c r="I493" s="8"/>
      <c r="J493" s="8"/>
      <c r="K493" s="8"/>
      <c r="L493" s="8"/>
      <c r="T493" s="8"/>
      <c r="U493" s="8"/>
      <c r="V493" s="8"/>
      <c r="W493" s="8"/>
      <c r="X493" s="8"/>
      <c r="Y493" s="8"/>
      <c r="Z493" s="8"/>
      <c r="AA493" s="8"/>
      <c r="AB493" s="8"/>
      <c r="AC493" s="8"/>
      <c r="AD493" s="8"/>
      <c r="AE493" s="8"/>
    </row>
    <row r="494" spans="1:31" x14ac:dyDescent="0.25">
      <c r="A494" s="8"/>
      <c r="B494" s="8"/>
      <c r="C494" s="8"/>
      <c r="D494" s="8"/>
      <c r="E494" s="8"/>
      <c r="F494" s="8"/>
      <c r="G494" s="8"/>
      <c r="H494" s="8"/>
      <c r="I494" s="8"/>
      <c r="J494" s="8"/>
      <c r="K494" s="8"/>
      <c r="L494" s="8"/>
      <c r="T494" s="8"/>
      <c r="U494" s="8"/>
      <c r="V494" s="8"/>
      <c r="W494" s="8"/>
      <c r="X494" s="8"/>
      <c r="Y494" s="8"/>
      <c r="Z494" s="8"/>
      <c r="AA494" s="8"/>
      <c r="AB494" s="8"/>
      <c r="AC494" s="8"/>
      <c r="AD494" s="8"/>
      <c r="AE494" s="8"/>
    </row>
    <row r="495" spans="1:31" x14ac:dyDescent="0.25">
      <c r="A495" s="8"/>
      <c r="B495" s="8"/>
      <c r="C495" s="8"/>
      <c r="D495" s="8"/>
      <c r="E495" s="8"/>
      <c r="F495" s="8"/>
      <c r="G495" s="8"/>
      <c r="H495" s="8"/>
      <c r="I495" s="8"/>
      <c r="J495" s="8"/>
      <c r="K495" s="8"/>
      <c r="L495" s="8"/>
      <c r="T495" s="8"/>
      <c r="U495" s="8"/>
      <c r="V495" s="8"/>
      <c r="W495" s="8"/>
      <c r="X495" s="8"/>
      <c r="Y495" s="8"/>
      <c r="Z495" s="8"/>
      <c r="AA495" s="8"/>
      <c r="AB495" s="8"/>
      <c r="AC495" s="8"/>
      <c r="AD495" s="8"/>
      <c r="AE495" s="8"/>
    </row>
    <row r="496" spans="1:31" x14ac:dyDescent="0.25">
      <c r="A496" s="8"/>
      <c r="B496" s="8"/>
      <c r="C496" s="8"/>
      <c r="D496" s="8"/>
      <c r="E496" s="8"/>
      <c r="F496" s="8"/>
      <c r="G496" s="8"/>
      <c r="H496" s="8"/>
      <c r="I496" s="8"/>
      <c r="J496" s="8"/>
      <c r="K496" s="8"/>
      <c r="L496" s="8"/>
      <c r="T496" s="8"/>
      <c r="U496" s="8"/>
      <c r="V496" s="8"/>
      <c r="W496" s="8"/>
      <c r="X496" s="8"/>
      <c r="Y496" s="8"/>
      <c r="Z496" s="8"/>
      <c r="AA496" s="8"/>
      <c r="AB496" s="8"/>
      <c r="AC496" s="8"/>
      <c r="AD496" s="8"/>
      <c r="AE496" s="8"/>
    </row>
    <row r="497" spans="1:31" x14ac:dyDescent="0.25">
      <c r="A497" s="8"/>
      <c r="B497" s="8"/>
      <c r="C497" s="8"/>
      <c r="D497" s="8"/>
      <c r="E497" s="8"/>
      <c r="F497" s="8"/>
      <c r="G497" s="8"/>
      <c r="H497" s="8"/>
      <c r="I497" s="8"/>
      <c r="J497" s="8"/>
      <c r="K497" s="8"/>
      <c r="L497" s="8"/>
      <c r="T497" s="8"/>
      <c r="U497" s="8"/>
      <c r="V497" s="8"/>
      <c r="W497" s="8"/>
      <c r="X497" s="8"/>
      <c r="Y497" s="8"/>
      <c r="Z497" s="8"/>
      <c r="AA497" s="8"/>
      <c r="AB497" s="8"/>
      <c r="AC497" s="8"/>
      <c r="AD497" s="8"/>
      <c r="AE497" s="8"/>
    </row>
    <row r="498" spans="1:31" x14ac:dyDescent="0.25">
      <c r="A498" s="8"/>
      <c r="B498" s="8"/>
      <c r="C498" s="8"/>
      <c r="D498" s="8"/>
      <c r="E498" s="8"/>
      <c r="F498" s="8"/>
      <c r="G498" s="8"/>
      <c r="H498" s="8"/>
      <c r="I498" s="8"/>
      <c r="J498" s="8"/>
      <c r="K498" s="8"/>
      <c r="L498" s="8"/>
      <c r="T498" s="8"/>
      <c r="U498" s="8"/>
      <c r="V498" s="8"/>
      <c r="W498" s="8"/>
      <c r="X498" s="8"/>
      <c r="Y498" s="8"/>
      <c r="Z498" s="8"/>
      <c r="AA498" s="8"/>
      <c r="AB498" s="8"/>
      <c r="AC498" s="8"/>
      <c r="AD498" s="8"/>
      <c r="AE498" s="8"/>
    </row>
    <row r="499" spans="1:31" x14ac:dyDescent="0.25">
      <c r="A499" s="8"/>
      <c r="B499" s="8"/>
      <c r="C499" s="8"/>
      <c r="D499" s="8"/>
      <c r="E499" s="8"/>
      <c r="F499" s="8"/>
      <c r="G499" s="8"/>
      <c r="H499" s="8"/>
      <c r="I499" s="8"/>
      <c r="J499" s="8"/>
      <c r="K499" s="8"/>
      <c r="L499" s="8"/>
      <c r="T499" s="8"/>
      <c r="U499" s="8"/>
      <c r="V499" s="8"/>
      <c r="W499" s="8"/>
      <c r="X499" s="8"/>
      <c r="Y499" s="8"/>
      <c r="Z499" s="8"/>
      <c r="AA499" s="8"/>
      <c r="AB499" s="8"/>
      <c r="AC499" s="8"/>
      <c r="AD499" s="8"/>
      <c r="AE499" s="8"/>
    </row>
    <row r="500" spans="1:31" x14ac:dyDescent="0.25">
      <c r="A500" s="8"/>
      <c r="B500" s="8"/>
      <c r="C500" s="8"/>
      <c r="D500" s="8"/>
      <c r="E500" s="8"/>
      <c r="F500" s="8"/>
      <c r="G500" s="8"/>
      <c r="H500" s="8"/>
      <c r="I500" s="8"/>
      <c r="J500" s="8"/>
      <c r="K500" s="8"/>
      <c r="L500" s="8"/>
      <c r="T500" s="8"/>
      <c r="U500" s="8"/>
      <c r="V500" s="8"/>
      <c r="W500" s="8"/>
      <c r="X500" s="8"/>
      <c r="Y500" s="8"/>
      <c r="Z500" s="8"/>
      <c r="AA500" s="8"/>
      <c r="AB500" s="8"/>
      <c r="AC500" s="8"/>
      <c r="AD500" s="8"/>
      <c r="AE500" s="8"/>
    </row>
    <row r="501" spans="1:31" x14ac:dyDescent="0.25">
      <c r="A501" s="8"/>
      <c r="B501" s="8"/>
      <c r="C501" s="8"/>
      <c r="D501" s="8"/>
      <c r="E501" s="8"/>
      <c r="F501" s="8"/>
      <c r="G501" s="8"/>
      <c r="H501" s="8"/>
      <c r="I501" s="8"/>
      <c r="J501" s="8"/>
      <c r="K501" s="8"/>
      <c r="L501" s="8"/>
      <c r="T501" s="8"/>
      <c r="U501" s="8"/>
      <c r="V501" s="8"/>
      <c r="W501" s="8"/>
      <c r="X501" s="8"/>
      <c r="Y501" s="8"/>
      <c r="Z501" s="8"/>
      <c r="AA501" s="8"/>
      <c r="AB501" s="8"/>
      <c r="AC501" s="8"/>
      <c r="AD501" s="8"/>
      <c r="AE501" s="8"/>
    </row>
    <row r="502" spans="1:31" x14ac:dyDescent="0.25">
      <c r="A502" s="8"/>
      <c r="B502" s="8"/>
      <c r="C502" s="8"/>
      <c r="D502" s="8"/>
      <c r="E502" s="8"/>
      <c r="F502" s="8"/>
      <c r="G502" s="8"/>
      <c r="H502" s="8"/>
      <c r="I502" s="8"/>
      <c r="J502" s="8"/>
      <c r="K502" s="8"/>
      <c r="L502" s="8"/>
      <c r="T502" s="8"/>
      <c r="U502" s="8"/>
      <c r="V502" s="8"/>
      <c r="W502" s="8"/>
      <c r="X502" s="8"/>
      <c r="Y502" s="8"/>
      <c r="Z502" s="8"/>
      <c r="AA502" s="8"/>
      <c r="AB502" s="8"/>
      <c r="AC502" s="8"/>
      <c r="AD502" s="8"/>
      <c r="AE502" s="8"/>
    </row>
    <row r="503" spans="1:31" x14ac:dyDescent="0.25">
      <c r="A503" s="8"/>
      <c r="B503" s="8"/>
      <c r="C503" s="8"/>
      <c r="D503" s="8"/>
      <c r="E503" s="8"/>
      <c r="F503" s="8"/>
      <c r="G503" s="8"/>
      <c r="H503" s="8"/>
      <c r="I503" s="8"/>
      <c r="J503" s="8"/>
      <c r="K503" s="8"/>
      <c r="L503" s="8"/>
      <c r="T503" s="8"/>
      <c r="U503" s="8"/>
      <c r="V503" s="8"/>
      <c r="W503" s="8"/>
      <c r="X503" s="8"/>
      <c r="Y503" s="8"/>
      <c r="Z503" s="8"/>
      <c r="AA503" s="8"/>
      <c r="AB503" s="8"/>
      <c r="AC503" s="8"/>
      <c r="AD503" s="8"/>
      <c r="AE503" s="8"/>
    </row>
    <row r="504" spans="1:31" x14ac:dyDescent="0.25">
      <c r="A504" s="8"/>
      <c r="B504" s="8"/>
      <c r="C504" s="8"/>
      <c r="D504" s="8"/>
      <c r="E504" s="8"/>
      <c r="F504" s="8"/>
      <c r="G504" s="8"/>
      <c r="H504" s="8"/>
      <c r="I504" s="8"/>
      <c r="J504" s="8"/>
      <c r="K504" s="8"/>
      <c r="L504" s="8"/>
      <c r="T504" s="8"/>
      <c r="U504" s="8"/>
      <c r="V504" s="8"/>
      <c r="W504" s="8"/>
      <c r="X504" s="8"/>
      <c r="Y504" s="8"/>
      <c r="Z504" s="8"/>
      <c r="AA504" s="8"/>
      <c r="AB504" s="8"/>
      <c r="AC504" s="8"/>
      <c r="AD504" s="8"/>
      <c r="AE504" s="8"/>
    </row>
    <row r="505" spans="1:31" x14ac:dyDescent="0.25">
      <c r="A505" s="8"/>
      <c r="B505" s="8"/>
      <c r="C505" s="8"/>
      <c r="D505" s="8"/>
      <c r="E505" s="8"/>
      <c r="F505" s="8"/>
      <c r="G505" s="8"/>
      <c r="H505" s="8"/>
      <c r="I505" s="8"/>
      <c r="J505" s="8"/>
      <c r="K505" s="8"/>
      <c r="L505" s="8"/>
      <c r="T505" s="8"/>
      <c r="U505" s="8"/>
      <c r="V505" s="8"/>
      <c r="W505" s="8"/>
      <c r="X505" s="8"/>
      <c r="Y505" s="8"/>
      <c r="Z505" s="8"/>
      <c r="AA505" s="8"/>
      <c r="AB505" s="8"/>
      <c r="AC505" s="8"/>
      <c r="AD505" s="8"/>
      <c r="AE505" s="8"/>
    </row>
    <row r="506" spans="1:31" x14ac:dyDescent="0.25">
      <c r="A506" s="8"/>
      <c r="B506" s="8"/>
      <c r="C506" s="8"/>
      <c r="D506" s="8"/>
      <c r="E506" s="8"/>
      <c r="F506" s="8"/>
      <c r="G506" s="8"/>
      <c r="H506" s="8"/>
      <c r="I506" s="8"/>
      <c r="J506" s="8"/>
      <c r="K506" s="8"/>
      <c r="L506" s="8"/>
      <c r="T506" s="8"/>
      <c r="U506" s="8"/>
      <c r="V506" s="8"/>
      <c r="W506" s="8"/>
      <c r="X506" s="8"/>
      <c r="Y506" s="8"/>
      <c r="Z506" s="8"/>
      <c r="AA506" s="8"/>
      <c r="AB506" s="8"/>
      <c r="AC506" s="8"/>
      <c r="AD506" s="8"/>
      <c r="AE506" s="8"/>
    </row>
    <row r="507" spans="1:31" x14ac:dyDescent="0.25">
      <c r="A507" s="8"/>
      <c r="B507" s="8"/>
      <c r="C507" s="8"/>
      <c r="D507" s="8"/>
      <c r="E507" s="8"/>
      <c r="F507" s="8"/>
      <c r="G507" s="8"/>
      <c r="H507" s="8"/>
      <c r="I507" s="8"/>
      <c r="J507" s="8"/>
      <c r="K507" s="8"/>
      <c r="L507" s="8"/>
      <c r="T507" s="8"/>
      <c r="U507" s="8"/>
      <c r="V507" s="8"/>
      <c r="W507" s="8"/>
      <c r="X507" s="8"/>
      <c r="Y507" s="8"/>
      <c r="Z507" s="8"/>
      <c r="AA507" s="8"/>
      <c r="AB507" s="8"/>
      <c r="AC507" s="8"/>
      <c r="AD507" s="8"/>
      <c r="AE507" s="8"/>
    </row>
    <row r="508" spans="1:31" x14ac:dyDescent="0.25">
      <c r="A508" s="8"/>
      <c r="B508" s="8"/>
      <c r="C508" s="8"/>
      <c r="D508" s="8"/>
      <c r="E508" s="8"/>
      <c r="F508" s="8"/>
      <c r="G508" s="8"/>
      <c r="H508" s="8"/>
      <c r="I508" s="8"/>
      <c r="J508" s="8"/>
      <c r="K508" s="8"/>
      <c r="L508" s="8"/>
      <c r="T508" s="8"/>
      <c r="U508" s="8"/>
      <c r="V508" s="8"/>
      <c r="W508" s="8"/>
      <c r="X508" s="8"/>
      <c r="Y508" s="8"/>
      <c r="Z508" s="8"/>
      <c r="AA508" s="8"/>
      <c r="AB508" s="8"/>
      <c r="AC508" s="8"/>
      <c r="AD508" s="8"/>
      <c r="AE508" s="8"/>
    </row>
    <row r="509" spans="1:31" x14ac:dyDescent="0.25">
      <c r="A509" s="8"/>
      <c r="B509" s="8"/>
      <c r="C509" s="8"/>
      <c r="D509" s="8"/>
      <c r="E509" s="8"/>
      <c r="F509" s="8"/>
      <c r="G509" s="8"/>
      <c r="H509" s="8"/>
      <c r="I509" s="8"/>
      <c r="J509" s="8"/>
      <c r="K509" s="8"/>
      <c r="L509" s="8"/>
      <c r="T509" s="8"/>
      <c r="U509" s="8"/>
      <c r="V509" s="8"/>
      <c r="W509" s="8"/>
      <c r="X509" s="8"/>
      <c r="Y509" s="8"/>
      <c r="Z509" s="8"/>
      <c r="AA509" s="8"/>
      <c r="AB509" s="8"/>
      <c r="AC509" s="8"/>
      <c r="AD509" s="8"/>
      <c r="AE509" s="8"/>
    </row>
    <row r="510" spans="1:31" x14ac:dyDescent="0.25">
      <c r="A510" s="8"/>
      <c r="B510" s="8"/>
      <c r="C510" s="8"/>
      <c r="D510" s="8"/>
      <c r="E510" s="8"/>
      <c r="F510" s="8"/>
      <c r="G510" s="8"/>
      <c r="H510" s="8"/>
      <c r="I510" s="8"/>
      <c r="J510" s="8"/>
      <c r="K510" s="8"/>
      <c r="L510" s="8"/>
      <c r="T510" s="8"/>
      <c r="U510" s="8"/>
      <c r="V510" s="8"/>
      <c r="W510" s="8"/>
      <c r="X510" s="8"/>
      <c r="Y510" s="8"/>
      <c r="Z510" s="8"/>
      <c r="AA510" s="8"/>
      <c r="AB510" s="8"/>
      <c r="AC510" s="8"/>
      <c r="AD510" s="8"/>
      <c r="AE510" s="8"/>
    </row>
    <row r="511" spans="1:31" x14ac:dyDescent="0.25">
      <c r="A511" s="8"/>
      <c r="B511" s="8"/>
      <c r="C511" s="8"/>
      <c r="D511" s="8"/>
      <c r="E511" s="8"/>
      <c r="F511" s="8"/>
      <c r="G511" s="8"/>
      <c r="H511" s="8"/>
      <c r="I511" s="8"/>
      <c r="J511" s="8"/>
      <c r="K511" s="8"/>
      <c r="L511" s="8"/>
      <c r="T511" s="8"/>
      <c r="U511" s="8"/>
      <c r="V511" s="8"/>
      <c r="W511" s="8"/>
      <c r="X511" s="8"/>
      <c r="Y511" s="8"/>
      <c r="Z511" s="8"/>
      <c r="AA511" s="8"/>
      <c r="AB511" s="8"/>
      <c r="AC511" s="8"/>
      <c r="AD511" s="8"/>
      <c r="AE511" s="8"/>
    </row>
    <row r="512" spans="1:31" x14ac:dyDescent="0.25">
      <c r="A512" s="8"/>
      <c r="B512" s="8"/>
      <c r="C512" s="8"/>
      <c r="D512" s="8"/>
      <c r="E512" s="8"/>
      <c r="F512" s="8"/>
      <c r="G512" s="8"/>
      <c r="H512" s="8"/>
      <c r="I512" s="8"/>
      <c r="J512" s="8"/>
      <c r="K512" s="8"/>
      <c r="L512" s="8"/>
      <c r="T512" s="8"/>
      <c r="U512" s="8"/>
      <c r="V512" s="8"/>
      <c r="W512" s="8"/>
      <c r="X512" s="8"/>
      <c r="Y512" s="8"/>
      <c r="Z512" s="8"/>
      <c r="AA512" s="8"/>
      <c r="AB512" s="8"/>
      <c r="AC512" s="8"/>
      <c r="AD512" s="8"/>
      <c r="AE512" s="8"/>
    </row>
    <row r="513" spans="1:31" x14ac:dyDescent="0.25">
      <c r="A513" s="8"/>
      <c r="B513" s="8"/>
      <c r="C513" s="8"/>
      <c r="D513" s="8"/>
      <c r="E513" s="8"/>
      <c r="F513" s="8"/>
      <c r="G513" s="8"/>
      <c r="H513" s="8"/>
      <c r="I513" s="8"/>
      <c r="J513" s="8"/>
      <c r="K513" s="8"/>
      <c r="L513" s="8"/>
      <c r="T513" s="8"/>
      <c r="U513" s="8"/>
      <c r="V513" s="8"/>
      <c r="W513" s="8"/>
      <c r="X513" s="8"/>
      <c r="Y513" s="8"/>
      <c r="Z513" s="8"/>
      <c r="AA513" s="8"/>
      <c r="AB513" s="8"/>
      <c r="AC513" s="8"/>
      <c r="AD513" s="8"/>
      <c r="AE513" s="8"/>
    </row>
    <row r="514" spans="1:31" x14ac:dyDescent="0.25">
      <c r="A514" s="8"/>
      <c r="B514" s="8"/>
      <c r="C514" s="8"/>
      <c r="D514" s="8"/>
      <c r="E514" s="8"/>
      <c r="F514" s="8"/>
      <c r="G514" s="8"/>
      <c r="H514" s="8"/>
      <c r="I514" s="8"/>
      <c r="J514" s="8"/>
      <c r="K514" s="8"/>
      <c r="L514" s="8"/>
      <c r="T514" s="8"/>
      <c r="U514" s="8"/>
      <c r="V514" s="8"/>
      <c r="W514" s="8"/>
      <c r="X514" s="8"/>
      <c r="Y514" s="8"/>
      <c r="Z514" s="8"/>
      <c r="AA514" s="8"/>
      <c r="AB514" s="8"/>
      <c r="AC514" s="8"/>
      <c r="AD514" s="8"/>
      <c r="AE514" s="8"/>
    </row>
    <row r="515" spans="1:31" x14ac:dyDescent="0.25">
      <c r="A515" s="8"/>
      <c r="B515" s="8"/>
      <c r="C515" s="8"/>
      <c r="D515" s="8"/>
      <c r="E515" s="8"/>
      <c r="F515" s="8"/>
      <c r="G515" s="8"/>
      <c r="H515" s="8"/>
      <c r="I515" s="8"/>
      <c r="J515" s="8"/>
      <c r="K515" s="8"/>
      <c r="L515" s="8"/>
      <c r="T515" s="8"/>
      <c r="U515" s="8"/>
      <c r="V515" s="8"/>
      <c r="W515" s="8"/>
      <c r="X515" s="8"/>
      <c r="Y515" s="8"/>
      <c r="Z515" s="8"/>
      <c r="AA515" s="8"/>
      <c r="AB515" s="8"/>
      <c r="AC515" s="8"/>
      <c r="AD515" s="8"/>
      <c r="AE515" s="8"/>
    </row>
    <row r="516" spans="1:31" x14ac:dyDescent="0.25">
      <c r="A516" s="8"/>
      <c r="B516" s="8"/>
      <c r="C516" s="8"/>
      <c r="D516" s="8"/>
      <c r="E516" s="8"/>
      <c r="F516" s="8"/>
      <c r="G516" s="8"/>
      <c r="H516" s="8"/>
      <c r="I516" s="8"/>
      <c r="J516" s="8"/>
      <c r="K516" s="8"/>
      <c r="L516" s="8"/>
      <c r="T516" s="8"/>
      <c r="U516" s="8"/>
      <c r="V516" s="8"/>
      <c r="W516" s="8"/>
      <c r="X516" s="8"/>
      <c r="Y516" s="8"/>
      <c r="Z516" s="8"/>
      <c r="AA516" s="8"/>
      <c r="AB516" s="8"/>
      <c r="AC516" s="8"/>
      <c r="AD516" s="8"/>
      <c r="AE516" s="8"/>
    </row>
    <row r="517" spans="1:31" x14ac:dyDescent="0.25">
      <c r="A517" s="8"/>
      <c r="B517" s="8"/>
      <c r="C517" s="8"/>
      <c r="D517" s="8"/>
      <c r="E517" s="8"/>
      <c r="F517" s="8"/>
      <c r="G517" s="8"/>
      <c r="H517" s="8"/>
      <c r="I517" s="8"/>
      <c r="J517" s="8"/>
      <c r="K517" s="8"/>
      <c r="L517" s="8"/>
      <c r="T517" s="8"/>
      <c r="U517" s="8"/>
      <c r="V517" s="8"/>
      <c r="W517" s="8"/>
      <c r="X517" s="8"/>
      <c r="Y517" s="8"/>
      <c r="Z517" s="8"/>
      <c r="AA517" s="8"/>
      <c r="AB517" s="8"/>
      <c r="AC517" s="8"/>
      <c r="AD517" s="8"/>
      <c r="AE517" s="8"/>
    </row>
    <row r="518" spans="1:31" x14ac:dyDescent="0.25">
      <c r="A518" s="8"/>
      <c r="B518" s="8"/>
      <c r="C518" s="8"/>
      <c r="D518" s="8"/>
      <c r="E518" s="8"/>
      <c r="F518" s="8"/>
      <c r="G518" s="8"/>
      <c r="H518" s="8"/>
      <c r="I518" s="8"/>
      <c r="J518" s="8"/>
      <c r="K518" s="8"/>
      <c r="L518" s="8"/>
      <c r="T518" s="8"/>
      <c r="U518" s="8"/>
      <c r="V518" s="8"/>
      <c r="W518" s="8"/>
      <c r="X518" s="8"/>
      <c r="Y518" s="8"/>
      <c r="Z518" s="8"/>
      <c r="AA518" s="8"/>
      <c r="AB518" s="8"/>
      <c r="AC518" s="8"/>
      <c r="AD518" s="8"/>
      <c r="AE518" s="8"/>
    </row>
    <row r="519" spans="1:31" x14ac:dyDescent="0.25">
      <c r="A519" s="8"/>
      <c r="B519" s="8"/>
      <c r="C519" s="8"/>
      <c r="D519" s="8"/>
      <c r="E519" s="8"/>
      <c r="F519" s="8"/>
      <c r="G519" s="8"/>
      <c r="H519" s="8"/>
      <c r="I519" s="8"/>
      <c r="J519" s="8"/>
      <c r="K519" s="8"/>
      <c r="L519" s="8"/>
      <c r="T519" s="8"/>
      <c r="U519" s="8"/>
      <c r="V519" s="8"/>
      <c r="W519" s="8"/>
      <c r="X519" s="8"/>
      <c r="Y519" s="8"/>
      <c r="Z519" s="8"/>
      <c r="AA519" s="8"/>
      <c r="AB519" s="8"/>
      <c r="AC519" s="8"/>
      <c r="AD519" s="8"/>
      <c r="AE519" s="8"/>
    </row>
    <row r="520" spans="1:31" x14ac:dyDescent="0.25">
      <c r="A520" s="8"/>
      <c r="B520" s="8"/>
      <c r="C520" s="8"/>
      <c r="D520" s="8"/>
      <c r="E520" s="8"/>
      <c r="F520" s="8"/>
      <c r="G520" s="8"/>
      <c r="H520" s="8"/>
      <c r="I520" s="8"/>
      <c r="J520" s="8"/>
      <c r="K520" s="8"/>
      <c r="L520" s="8"/>
      <c r="T520" s="8"/>
      <c r="U520" s="8"/>
      <c r="V520" s="8"/>
      <c r="W520" s="8"/>
      <c r="X520" s="8"/>
      <c r="Y520" s="8"/>
      <c r="Z520" s="8"/>
      <c r="AA520" s="8"/>
      <c r="AB520" s="8"/>
      <c r="AC520" s="8"/>
      <c r="AD520" s="8"/>
      <c r="AE520" s="8"/>
    </row>
    <row r="521" spans="1:31" x14ac:dyDescent="0.25">
      <c r="A521" s="8"/>
      <c r="B521" s="8"/>
      <c r="C521" s="8"/>
      <c r="D521" s="8"/>
      <c r="E521" s="8"/>
      <c r="F521" s="8"/>
      <c r="G521" s="8"/>
      <c r="H521" s="8"/>
      <c r="I521" s="8"/>
      <c r="J521" s="8"/>
      <c r="K521" s="8"/>
      <c r="L521" s="8"/>
      <c r="T521" s="8"/>
      <c r="U521" s="8"/>
      <c r="V521" s="8"/>
      <c r="W521" s="8"/>
      <c r="X521" s="8"/>
      <c r="Y521" s="8"/>
      <c r="Z521" s="8"/>
      <c r="AA521" s="8"/>
      <c r="AB521" s="8"/>
      <c r="AC521" s="8"/>
      <c r="AD521" s="8"/>
      <c r="AE521" s="8"/>
    </row>
    <row r="522" spans="1:31" x14ac:dyDescent="0.25">
      <c r="A522" s="8"/>
      <c r="B522" s="8"/>
      <c r="C522" s="8"/>
      <c r="D522" s="8"/>
      <c r="E522" s="8"/>
      <c r="F522" s="8"/>
      <c r="G522" s="8"/>
      <c r="H522" s="8"/>
      <c r="I522" s="8"/>
      <c r="J522" s="8"/>
      <c r="K522" s="8"/>
      <c r="L522" s="8"/>
      <c r="T522" s="8"/>
      <c r="U522" s="8"/>
      <c r="V522" s="8"/>
      <c r="W522" s="8"/>
      <c r="X522" s="8"/>
      <c r="Y522" s="8"/>
      <c r="Z522" s="8"/>
      <c r="AA522" s="8"/>
      <c r="AB522" s="8"/>
      <c r="AC522" s="8"/>
      <c r="AD522" s="8"/>
      <c r="AE522" s="8"/>
    </row>
    <row r="523" spans="1:31" x14ac:dyDescent="0.25">
      <c r="A523" s="8"/>
      <c r="B523" s="8"/>
      <c r="C523" s="8"/>
      <c r="D523" s="8"/>
      <c r="E523" s="8"/>
      <c r="F523" s="8"/>
      <c r="G523" s="8"/>
      <c r="H523" s="8"/>
      <c r="I523" s="8"/>
      <c r="J523" s="8"/>
      <c r="K523" s="8"/>
      <c r="L523" s="8"/>
      <c r="T523" s="8"/>
      <c r="U523" s="8"/>
      <c r="V523" s="8"/>
      <c r="W523" s="8"/>
      <c r="X523" s="8"/>
      <c r="Y523" s="8"/>
      <c r="Z523" s="8"/>
      <c r="AA523" s="8"/>
      <c r="AB523" s="8"/>
      <c r="AC523" s="8"/>
      <c r="AD523" s="8"/>
      <c r="AE523" s="8"/>
    </row>
    <row r="524" spans="1:31" x14ac:dyDescent="0.25">
      <c r="A524" s="8"/>
      <c r="B524" s="8"/>
      <c r="C524" s="8"/>
      <c r="D524" s="8"/>
      <c r="E524" s="8"/>
      <c r="F524" s="8"/>
      <c r="G524" s="8"/>
      <c r="H524" s="8"/>
      <c r="I524" s="8"/>
      <c r="J524" s="8"/>
      <c r="K524" s="8"/>
      <c r="L524" s="8"/>
      <c r="T524" s="8"/>
      <c r="U524" s="8"/>
      <c r="V524" s="8"/>
      <c r="W524" s="8"/>
      <c r="X524" s="8"/>
      <c r="Y524" s="8"/>
      <c r="Z524" s="8"/>
      <c r="AA524" s="8"/>
      <c r="AB524" s="8"/>
      <c r="AC524" s="8"/>
      <c r="AD524" s="8"/>
      <c r="AE524" s="8"/>
    </row>
    <row r="525" spans="1:31" x14ac:dyDescent="0.25">
      <c r="A525" s="8"/>
      <c r="B525" s="8"/>
      <c r="C525" s="8"/>
      <c r="D525" s="8"/>
      <c r="E525" s="8"/>
      <c r="F525" s="8"/>
      <c r="G525" s="8"/>
      <c r="H525" s="8"/>
      <c r="I525" s="8"/>
      <c r="J525" s="8"/>
      <c r="K525" s="8"/>
      <c r="L525" s="8"/>
      <c r="T525" s="8"/>
      <c r="U525" s="8"/>
      <c r="V525" s="8"/>
      <c r="W525" s="8"/>
      <c r="X525" s="8"/>
      <c r="Y525" s="8"/>
      <c r="Z525" s="8"/>
      <c r="AA525" s="8"/>
      <c r="AB525" s="8"/>
      <c r="AC525" s="8"/>
      <c r="AD525" s="8"/>
      <c r="AE525" s="8"/>
    </row>
    <row r="526" spans="1:31" x14ac:dyDescent="0.25">
      <c r="A526" s="8"/>
      <c r="B526" s="8"/>
      <c r="C526" s="8"/>
      <c r="D526" s="8"/>
      <c r="E526" s="8"/>
      <c r="F526" s="8"/>
      <c r="G526" s="8"/>
      <c r="H526" s="8"/>
      <c r="I526" s="8"/>
      <c r="J526" s="8"/>
      <c r="K526" s="8"/>
      <c r="L526" s="8"/>
      <c r="T526" s="8"/>
      <c r="U526" s="8"/>
      <c r="V526" s="8"/>
      <c r="W526" s="8"/>
      <c r="X526" s="8"/>
      <c r="Y526" s="8"/>
      <c r="Z526" s="8"/>
      <c r="AA526" s="8"/>
      <c r="AB526" s="8"/>
      <c r="AC526" s="8"/>
      <c r="AD526" s="8"/>
      <c r="AE526" s="8"/>
    </row>
    <row r="527" spans="1:31" x14ac:dyDescent="0.25">
      <c r="A527" s="8"/>
      <c r="B527" s="8"/>
      <c r="C527" s="8"/>
      <c r="D527" s="8"/>
      <c r="E527" s="8"/>
      <c r="F527" s="8"/>
      <c r="G527" s="8"/>
      <c r="H527" s="8"/>
      <c r="I527" s="8"/>
      <c r="J527" s="8"/>
      <c r="K527" s="8"/>
      <c r="L527" s="8"/>
      <c r="T527" s="8"/>
      <c r="U527" s="8"/>
      <c r="V527" s="8"/>
      <c r="W527" s="8"/>
      <c r="X527" s="8"/>
      <c r="Y527" s="8"/>
      <c r="Z527" s="8"/>
      <c r="AA527" s="8"/>
      <c r="AB527" s="8"/>
      <c r="AC527" s="8"/>
      <c r="AD527" s="8"/>
      <c r="AE527" s="8"/>
    </row>
    <row r="528" spans="1:31" x14ac:dyDescent="0.25">
      <c r="A528" s="8"/>
      <c r="B528" s="8"/>
      <c r="C528" s="8"/>
      <c r="D528" s="8"/>
      <c r="E528" s="8"/>
      <c r="F528" s="8"/>
      <c r="G528" s="8"/>
      <c r="H528" s="8"/>
      <c r="I528" s="8"/>
      <c r="J528" s="8"/>
      <c r="K528" s="8"/>
      <c r="L528" s="8"/>
      <c r="T528" s="8"/>
      <c r="U528" s="8"/>
      <c r="V528" s="8"/>
      <c r="W528" s="8"/>
      <c r="X528" s="8"/>
      <c r="Y528" s="8"/>
      <c r="Z528" s="8"/>
      <c r="AA528" s="8"/>
      <c r="AB528" s="8"/>
      <c r="AC528" s="8"/>
      <c r="AD528" s="8"/>
      <c r="AE528" s="8"/>
    </row>
    <row r="529" spans="1:31" x14ac:dyDescent="0.25">
      <c r="A529" s="8"/>
      <c r="B529" s="8"/>
      <c r="C529" s="8"/>
      <c r="D529" s="8"/>
      <c r="E529" s="8"/>
      <c r="F529" s="8"/>
      <c r="G529" s="8"/>
      <c r="H529" s="8"/>
      <c r="I529" s="8"/>
      <c r="J529" s="8"/>
      <c r="K529" s="8"/>
      <c r="L529" s="8"/>
      <c r="T529" s="8"/>
      <c r="U529" s="8"/>
      <c r="V529" s="8"/>
      <c r="W529" s="8"/>
      <c r="X529" s="8"/>
      <c r="Y529" s="8"/>
      <c r="Z529" s="8"/>
      <c r="AA529" s="8"/>
      <c r="AB529" s="8"/>
      <c r="AC529" s="8"/>
      <c r="AD529" s="8"/>
      <c r="AE529" s="8"/>
    </row>
    <row r="530" spans="1:31" x14ac:dyDescent="0.25">
      <c r="A530" s="8"/>
      <c r="B530" s="8"/>
      <c r="C530" s="8"/>
      <c r="D530" s="8"/>
      <c r="E530" s="8"/>
      <c r="F530" s="8"/>
      <c r="G530" s="8"/>
      <c r="H530" s="8"/>
      <c r="I530" s="8"/>
      <c r="J530" s="8"/>
      <c r="K530" s="8"/>
      <c r="L530" s="8"/>
      <c r="T530" s="8"/>
      <c r="U530" s="8"/>
      <c r="V530" s="8"/>
      <c r="W530" s="8"/>
      <c r="X530" s="8"/>
      <c r="Y530" s="8"/>
      <c r="Z530" s="8"/>
      <c r="AA530" s="8"/>
      <c r="AB530" s="8"/>
      <c r="AC530" s="8"/>
      <c r="AD530" s="8"/>
      <c r="AE530" s="8"/>
    </row>
    <row r="531" spans="1:31" x14ac:dyDescent="0.25">
      <c r="A531" s="8"/>
      <c r="B531" s="8"/>
      <c r="C531" s="8"/>
      <c r="D531" s="8"/>
      <c r="E531" s="8"/>
      <c r="F531" s="8"/>
      <c r="G531" s="8"/>
      <c r="H531" s="8"/>
      <c r="I531" s="8"/>
      <c r="J531" s="8"/>
      <c r="K531" s="8"/>
      <c r="L531" s="8"/>
      <c r="T531" s="8"/>
      <c r="U531" s="8"/>
      <c r="V531" s="8"/>
      <c r="W531" s="8"/>
      <c r="X531" s="8"/>
      <c r="Y531" s="8"/>
      <c r="Z531" s="8"/>
      <c r="AA531" s="8"/>
      <c r="AB531" s="8"/>
      <c r="AC531" s="8"/>
      <c r="AD531" s="8"/>
      <c r="AE531" s="8"/>
    </row>
    <row r="532" spans="1:31" x14ac:dyDescent="0.25">
      <c r="A532" s="8"/>
      <c r="B532" s="8"/>
      <c r="C532" s="8"/>
      <c r="D532" s="8"/>
      <c r="E532" s="8"/>
      <c r="F532" s="8"/>
      <c r="G532" s="8"/>
      <c r="H532" s="8"/>
      <c r="I532" s="8"/>
      <c r="J532" s="8"/>
      <c r="K532" s="8"/>
      <c r="L532" s="8"/>
      <c r="T532" s="8"/>
      <c r="U532" s="8"/>
      <c r="V532" s="8"/>
      <c r="W532" s="8"/>
      <c r="X532" s="8"/>
      <c r="Y532" s="8"/>
      <c r="Z532" s="8"/>
      <c r="AA532" s="8"/>
      <c r="AB532" s="8"/>
      <c r="AC532" s="8"/>
      <c r="AD532" s="8"/>
      <c r="AE532" s="8"/>
    </row>
    <row r="533" spans="1:31" x14ac:dyDescent="0.25">
      <c r="A533" s="8"/>
      <c r="B533" s="8"/>
      <c r="C533" s="8"/>
      <c r="D533" s="8"/>
      <c r="E533" s="8"/>
      <c r="F533" s="8"/>
      <c r="G533" s="8"/>
      <c r="H533" s="8"/>
      <c r="I533" s="8"/>
      <c r="J533" s="8"/>
      <c r="K533" s="8"/>
      <c r="L533" s="8"/>
      <c r="T533" s="8"/>
      <c r="U533" s="8"/>
      <c r="V533" s="8"/>
      <c r="W533" s="8"/>
      <c r="X533" s="8"/>
      <c r="Y533" s="8"/>
      <c r="Z533" s="8"/>
      <c r="AA533" s="8"/>
      <c r="AB533" s="8"/>
      <c r="AC533" s="8"/>
      <c r="AD533" s="8"/>
      <c r="AE533" s="8"/>
    </row>
    <row r="534" spans="1:31" x14ac:dyDescent="0.25">
      <c r="A534" s="8"/>
      <c r="B534" s="8"/>
      <c r="C534" s="8"/>
      <c r="D534" s="8"/>
      <c r="E534" s="8"/>
      <c r="F534" s="8"/>
      <c r="G534" s="8"/>
      <c r="H534" s="8"/>
      <c r="I534" s="8"/>
      <c r="J534" s="8"/>
      <c r="K534" s="8"/>
      <c r="L534" s="8"/>
      <c r="T534" s="8"/>
      <c r="U534" s="8"/>
      <c r="V534" s="8"/>
      <c r="W534" s="8"/>
      <c r="X534" s="8"/>
      <c r="Y534" s="8"/>
      <c r="Z534" s="8"/>
      <c r="AA534" s="8"/>
      <c r="AB534" s="8"/>
      <c r="AC534" s="8"/>
      <c r="AD534" s="8"/>
      <c r="AE534" s="8"/>
    </row>
    <row r="535" spans="1:31" x14ac:dyDescent="0.25">
      <c r="A535" s="8"/>
      <c r="B535" s="8"/>
      <c r="C535" s="8"/>
      <c r="D535" s="8"/>
      <c r="E535" s="8"/>
      <c r="F535" s="8"/>
      <c r="G535" s="8"/>
      <c r="H535" s="8"/>
      <c r="I535" s="8"/>
      <c r="J535" s="8"/>
      <c r="K535" s="8"/>
      <c r="L535" s="8"/>
      <c r="T535" s="8"/>
      <c r="U535" s="8"/>
      <c r="V535" s="8"/>
      <c r="W535" s="8"/>
      <c r="X535" s="8"/>
      <c r="Y535" s="8"/>
      <c r="Z535" s="8"/>
      <c r="AA535" s="8"/>
      <c r="AB535" s="8"/>
      <c r="AC535" s="8"/>
      <c r="AD535" s="8"/>
      <c r="AE535" s="8"/>
    </row>
    <row r="536" spans="1:31" x14ac:dyDescent="0.25">
      <c r="A536" s="8"/>
      <c r="B536" s="8"/>
      <c r="C536" s="8"/>
      <c r="D536" s="8"/>
      <c r="E536" s="8"/>
      <c r="F536" s="8"/>
      <c r="G536" s="8"/>
      <c r="H536" s="8"/>
      <c r="I536" s="8"/>
      <c r="J536" s="8"/>
      <c r="K536" s="8"/>
      <c r="L536" s="8"/>
      <c r="T536" s="8"/>
      <c r="U536" s="8"/>
      <c r="V536" s="8"/>
      <c r="W536" s="8"/>
      <c r="X536" s="8"/>
      <c r="Y536" s="8"/>
      <c r="Z536" s="8"/>
      <c r="AA536" s="8"/>
      <c r="AB536" s="8"/>
      <c r="AC536" s="8"/>
      <c r="AD536" s="8"/>
      <c r="AE536" s="8"/>
    </row>
    <row r="537" spans="1:31" x14ac:dyDescent="0.25">
      <c r="A537" s="8"/>
      <c r="B537" s="8"/>
      <c r="C537" s="8"/>
      <c r="D537" s="8"/>
      <c r="E537" s="8"/>
      <c r="F537" s="8"/>
      <c r="G537" s="8"/>
      <c r="H537" s="8"/>
      <c r="I537" s="8"/>
      <c r="J537" s="8"/>
      <c r="K537" s="8"/>
      <c r="L537" s="8"/>
      <c r="T537" s="8"/>
      <c r="U537" s="8"/>
      <c r="V537" s="8"/>
      <c r="W537" s="8"/>
      <c r="X537" s="8"/>
      <c r="Y537" s="8"/>
      <c r="Z537" s="8"/>
      <c r="AA537" s="8"/>
      <c r="AB537" s="8"/>
      <c r="AC537" s="8"/>
      <c r="AD537" s="8"/>
      <c r="AE537" s="8"/>
    </row>
    <row r="538" spans="1:31" x14ac:dyDescent="0.25">
      <c r="A538" s="8"/>
      <c r="B538" s="8"/>
      <c r="C538" s="8"/>
      <c r="D538" s="8"/>
      <c r="E538" s="8"/>
      <c r="F538" s="8"/>
      <c r="G538" s="8"/>
      <c r="H538" s="8"/>
      <c r="I538" s="8"/>
      <c r="J538" s="8"/>
      <c r="K538" s="8"/>
      <c r="L538" s="8"/>
      <c r="T538" s="8"/>
      <c r="U538" s="8"/>
      <c r="V538" s="8"/>
      <c r="W538" s="8"/>
      <c r="X538" s="8"/>
      <c r="Y538" s="8"/>
      <c r="Z538" s="8"/>
      <c r="AA538" s="8"/>
      <c r="AB538" s="8"/>
      <c r="AC538" s="8"/>
      <c r="AD538" s="8"/>
      <c r="AE538" s="8"/>
    </row>
    <row r="539" spans="1:31" x14ac:dyDescent="0.25">
      <c r="A539" s="8"/>
      <c r="B539" s="8"/>
      <c r="C539" s="8"/>
      <c r="D539" s="8"/>
      <c r="E539" s="8"/>
      <c r="F539" s="8"/>
      <c r="G539" s="8"/>
      <c r="H539" s="8"/>
      <c r="I539" s="8"/>
      <c r="J539" s="8"/>
      <c r="K539" s="8"/>
      <c r="L539" s="8"/>
      <c r="T539" s="8"/>
      <c r="U539" s="8"/>
      <c r="V539" s="8"/>
      <c r="W539" s="8"/>
      <c r="X539" s="8"/>
      <c r="Y539" s="8"/>
      <c r="Z539" s="8"/>
      <c r="AA539" s="8"/>
      <c r="AB539" s="8"/>
      <c r="AC539" s="8"/>
      <c r="AD539" s="8"/>
      <c r="AE539" s="8"/>
    </row>
    <row r="540" spans="1:31" x14ac:dyDescent="0.25">
      <c r="A540" s="8"/>
      <c r="B540" s="8"/>
      <c r="C540" s="8"/>
      <c r="D540" s="8"/>
      <c r="E540" s="8"/>
      <c r="F540" s="8"/>
      <c r="G540" s="8"/>
      <c r="H540" s="8"/>
      <c r="I540" s="8"/>
      <c r="J540" s="8"/>
      <c r="K540" s="8"/>
      <c r="L540" s="8"/>
      <c r="T540" s="8"/>
      <c r="U540" s="8"/>
      <c r="V540" s="8"/>
      <c r="W540" s="8"/>
      <c r="X540" s="8"/>
      <c r="Y540" s="8"/>
      <c r="Z540" s="8"/>
      <c r="AA540" s="8"/>
      <c r="AB540" s="8"/>
      <c r="AC540" s="8"/>
      <c r="AD540" s="8"/>
      <c r="AE540" s="8"/>
    </row>
    <row r="541" spans="1:31" x14ac:dyDescent="0.25">
      <c r="A541" s="8"/>
      <c r="B541" s="8"/>
      <c r="C541" s="8"/>
      <c r="D541" s="8"/>
      <c r="E541" s="8"/>
      <c r="F541" s="8"/>
      <c r="G541" s="8"/>
      <c r="H541" s="8"/>
      <c r="I541" s="8"/>
      <c r="J541" s="8"/>
      <c r="K541" s="8"/>
      <c r="L541" s="8"/>
      <c r="T541" s="8"/>
      <c r="U541" s="8"/>
      <c r="V541" s="8"/>
      <c r="W541" s="8"/>
      <c r="X541" s="8"/>
      <c r="Y541" s="8"/>
      <c r="Z541" s="8"/>
      <c r="AA541" s="8"/>
      <c r="AB541" s="8"/>
      <c r="AC541" s="8"/>
      <c r="AD541" s="8"/>
      <c r="AE541" s="8"/>
    </row>
    <row r="542" spans="1:31" x14ac:dyDescent="0.25">
      <c r="A542" s="8"/>
      <c r="B542" s="8"/>
      <c r="C542" s="8"/>
      <c r="D542" s="8"/>
      <c r="E542" s="8"/>
      <c r="F542" s="8"/>
      <c r="G542" s="8"/>
      <c r="H542" s="8"/>
      <c r="I542" s="8"/>
      <c r="J542" s="8"/>
      <c r="K542" s="8"/>
      <c r="L542" s="8"/>
      <c r="T542" s="8"/>
      <c r="U542" s="8"/>
      <c r="V542" s="8"/>
      <c r="W542" s="8"/>
      <c r="X542" s="8"/>
      <c r="Y542" s="8"/>
      <c r="Z542" s="8"/>
      <c r="AA542" s="8"/>
      <c r="AB542" s="8"/>
      <c r="AC542" s="8"/>
      <c r="AD542" s="8"/>
      <c r="AE542" s="8"/>
    </row>
    <row r="543" spans="1:31" x14ac:dyDescent="0.25">
      <c r="A543" s="8"/>
      <c r="B543" s="8"/>
      <c r="C543" s="8"/>
      <c r="D543" s="8"/>
      <c r="E543" s="8"/>
      <c r="F543" s="8"/>
      <c r="G543" s="8"/>
      <c r="H543" s="8"/>
      <c r="I543" s="8"/>
      <c r="J543" s="8"/>
      <c r="K543" s="8"/>
      <c r="L543" s="8"/>
      <c r="T543" s="8"/>
      <c r="U543" s="8"/>
      <c r="V543" s="8"/>
      <c r="W543" s="8"/>
      <c r="X543" s="8"/>
      <c r="Y543" s="8"/>
      <c r="Z543" s="8"/>
      <c r="AA543" s="8"/>
      <c r="AB543" s="8"/>
      <c r="AC543" s="8"/>
      <c r="AD543" s="8"/>
      <c r="AE543" s="8"/>
    </row>
    <row r="544" spans="1:31" x14ac:dyDescent="0.25">
      <c r="A544" s="8"/>
      <c r="B544" s="8"/>
      <c r="C544" s="8"/>
      <c r="D544" s="8"/>
      <c r="E544" s="8"/>
      <c r="F544" s="8"/>
      <c r="G544" s="8"/>
      <c r="H544" s="8"/>
      <c r="I544" s="8"/>
      <c r="J544" s="8"/>
      <c r="K544" s="8"/>
      <c r="L544" s="8"/>
      <c r="T544" s="8"/>
      <c r="U544" s="8"/>
      <c r="V544" s="8"/>
      <c r="W544" s="8"/>
      <c r="X544" s="8"/>
      <c r="Y544" s="8"/>
      <c r="Z544" s="8"/>
      <c r="AA544" s="8"/>
      <c r="AB544" s="8"/>
      <c r="AC544" s="8"/>
      <c r="AD544" s="8"/>
      <c r="AE544" s="8"/>
    </row>
    <row r="545" spans="1:31" x14ac:dyDescent="0.25">
      <c r="A545" s="8"/>
      <c r="B545" s="8"/>
      <c r="C545" s="8"/>
      <c r="D545" s="8"/>
      <c r="E545" s="8"/>
      <c r="F545" s="8"/>
      <c r="G545" s="8"/>
      <c r="H545" s="8"/>
      <c r="I545" s="8"/>
      <c r="J545" s="8"/>
      <c r="K545" s="8"/>
      <c r="L545" s="8"/>
      <c r="T545" s="8"/>
      <c r="U545" s="8"/>
      <c r="V545" s="8"/>
      <c r="W545" s="8"/>
      <c r="X545" s="8"/>
      <c r="Y545" s="8"/>
      <c r="Z545" s="8"/>
      <c r="AA545" s="8"/>
      <c r="AB545" s="8"/>
      <c r="AC545" s="8"/>
      <c r="AD545" s="8"/>
      <c r="AE545" s="8"/>
    </row>
    <row r="546" spans="1:31" x14ac:dyDescent="0.25">
      <c r="A546" s="8"/>
      <c r="B546" s="8"/>
      <c r="C546" s="8"/>
      <c r="D546" s="8"/>
      <c r="E546" s="8"/>
      <c r="F546" s="8"/>
      <c r="G546" s="8"/>
      <c r="H546" s="8"/>
      <c r="I546" s="8"/>
      <c r="J546" s="8"/>
      <c r="K546" s="8"/>
      <c r="L546" s="8"/>
      <c r="T546" s="8"/>
      <c r="U546" s="8"/>
      <c r="V546" s="8"/>
      <c r="W546" s="8"/>
      <c r="X546" s="8"/>
      <c r="Y546" s="8"/>
      <c r="Z546" s="8"/>
      <c r="AA546" s="8"/>
      <c r="AB546" s="8"/>
      <c r="AC546" s="8"/>
      <c r="AD546" s="8"/>
      <c r="AE546" s="8"/>
    </row>
    <row r="547" spans="1:31" x14ac:dyDescent="0.25">
      <c r="A547" s="8"/>
      <c r="B547" s="8"/>
      <c r="C547" s="8"/>
      <c r="D547" s="8"/>
      <c r="E547" s="8"/>
      <c r="F547" s="8"/>
      <c r="G547" s="8"/>
      <c r="H547" s="8"/>
      <c r="I547" s="8"/>
      <c r="J547" s="8"/>
      <c r="K547" s="8"/>
      <c r="L547" s="8"/>
      <c r="T547" s="8"/>
      <c r="U547" s="8"/>
      <c r="V547" s="8"/>
      <c r="W547" s="8"/>
      <c r="X547" s="8"/>
      <c r="Y547" s="8"/>
      <c r="Z547" s="8"/>
      <c r="AA547" s="8"/>
      <c r="AB547" s="8"/>
      <c r="AC547" s="8"/>
      <c r="AD547" s="8"/>
      <c r="AE547" s="8"/>
    </row>
    <row r="548" spans="1:31" x14ac:dyDescent="0.25">
      <c r="A548" s="8"/>
      <c r="B548" s="8"/>
      <c r="C548" s="8"/>
      <c r="D548" s="8"/>
      <c r="E548" s="8"/>
      <c r="F548" s="8"/>
      <c r="G548" s="8"/>
      <c r="H548" s="8"/>
      <c r="I548" s="8"/>
      <c r="J548" s="8"/>
      <c r="K548" s="8"/>
      <c r="L548" s="8"/>
      <c r="T548" s="8"/>
      <c r="U548" s="8"/>
      <c r="V548" s="8"/>
      <c r="W548" s="8"/>
      <c r="X548" s="8"/>
      <c r="Y548" s="8"/>
      <c r="Z548" s="8"/>
      <c r="AA548" s="8"/>
      <c r="AB548" s="8"/>
      <c r="AC548" s="8"/>
      <c r="AD548" s="8"/>
      <c r="AE548" s="8"/>
    </row>
    <row r="549" spans="1:31" x14ac:dyDescent="0.25">
      <c r="A549" s="8"/>
      <c r="B549" s="8"/>
      <c r="C549" s="8"/>
      <c r="D549" s="8"/>
      <c r="E549" s="8"/>
      <c r="F549" s="8"/>
      <c r="G549" s="8"/>
      <c r="H549" s="8"/>
      <c r="I549" s="8"/>
      <c r="J549" s="8"/>
      <c r="K549" s="8"/>
      <c r="L549" s="8"/>
      <c r="T549" s="8"/>
      <c r="U549" s="8"/>
      <c r="V549" s="8"/>
      <c r="W549" s="8"/>
      <c r="X549" s="8"/>
      <c r="Y549" s="8"/>
      <c r="Z549" s="8"/>
      <c r="AA549" s="8"/>
      <c r="AB549" s="8"/>
      <c r="AC549" s="8"/>
      <c r="AD549" s="8"/>
      <c r="AE549" s="8"/>
    </row>
    <row r="550" spans="1:31" x14ac:dyDescent="0.25">
      <c r="A550" s="8"/>
      <c r="B550" s="8"/>
      <c r="C550" s="8"/>
      <c r="D550" s="8"/>
      <c r="E550" s="8"/>
      <c r="F550" s="8"/>
      <c r="G550" s="8"/>
      <c r="H550" s="8"/>
      <c r="I550" s="8"/>
      <c r="J550" s="8"/>
      <c r="K550" s="8"/>
      <c r="L550" s="8"/>
      <c r="T550" s="8"/>
      <c r="U550" s="8"/>
      <c r="V550" s="8"/>
      <c r="W550" s="8"/>
      <c r="X550" s="8"/>
      <c r="Y550" s="8"/>
      <c r="Z550" s="8"/>
      <c r="AA550" s="8"/>
      <c r="AB550" s="8"/>
      <c r="AC550" s="8"/>
      <c r="AD550" s="8"/>
      <c r="AE550" s="8"/>
    </row>
    <row r="551" spans="1:31" x14ac:dyDescent="0.25">
      <c r="A551" s="8"/>
      <c r="B551" s="8"/>
      <c r="C551" s="8"/>
      <c r="D551" s="8"/>
      <c r="E551" s="8"/>
      <c r="F551" s="8"/>
      <c r="G551" s="8"/>
      <c r="H551" s="8"/>
      <c r="I551" s="8"/>
      <c r="J551" s="8"/>
      <c r="K551" s="8"/>
      <c r="L551" s="8"/>
      <c r="T551" s="8"/>
      <c r="U551" s="8"/>
      <c r="V551" s="8"/>
      <c r="W551" s="8"/>
      <c r="X551" s="8"/>
      <c r="Y551" s="8"/>
      <c r="Z551" s="8"/>
      <c r="AA551" s="8"/>
      <c r="AB551" s="8"/>
      <c r="AC551" s="8"/>
      <c r="AD551" s="8"/>
      <c r="AE551" s="8"/>
    </row>
    <row r="552" spans="1:31" x14ac:dyDescent="0.25">
      <c r="A552" s="8"/>
      <c r="B552" s="8"/>
      <c r="C552" s="8"/>
      <c r="D552" s="8"/>
      <c r="E552" s="8"/>
      <c r="F552" s="8"/>
      <c r="G552" s="8"/>
      <c r="H552" s="8"/>
      <c r="I552" s="8"/>
      <c r="J552" s="8"/>
      <c r="K552" s="8"/>
      <c r="L552" s="8"/>
      <c r="T552" s="8"/>
      <c r="U552" s="8"/>
      <c r="V552" s="8"/>
      <c r="W552" s="8"/>
      <c r="X552" s="8"/>
      <c r="Y552" s="8"/>
      <c r="Z552" s="8"/>
      <c r="AA552" s="8"/>
      <c r="AB552" s="8"/>
      <c r="AC552" s="8"/>
      <c r="AD552" s="8"/>
      <c r="AE552" s="8"/>
    </row>
    <row r="553" spans="1:31" x14ac:dyDescent="0.25">
      <c r="A553" s="8"/>
      <c r="B553" s="8"/>
      <c r="C553" s="8"/>
      <c r="D553" s="8"/>
      <c r="E553" s="8"/>
      <c r="F553" s="8"/>
      <c r="G553" s="8"/>
      <c r="H553" s="8"/>
      <c r="I553" s="8"/>
      <c r="J553" s="8"/>
      <c r="K553" s="8"/>
      <c r="L553" s="8"/>
      <c r="T553" s="8"/>
      <c r="U553" s="8"/>
      <c r="V553" s="8"/>
      <c r="W553" s="8"/>
      <c r="X553" s="8"/>
      <c r="Y553" s="8"/>
      <c r="Z553" s="8"/>
      <c r="AA553" s="8"/>
      <c r="AB553" s="8"/>
      <c r="AC553" s="8"/>
      <c r="AD553" s="8"/>
      <c r="AE553" s="8"/>
    </row>
    <row r="554" spans="1:31" x14ac:dyDescent="0.25">
      <c r="A554" s="8"/>
      <c r="B554" s="8"/>
      <c r="C554" s="8"/>
      <c r="D554" s="8"/>
      <c r="E554" s="8"/>
      <c r="F554" s="8"/>
      <c r="G554" s="8"/>
      <c r="H554" s="8"/>
      <c r="I554" s="8"/>
      <c r="J554" s="8"/>
      <c r="K554" s="8"/>
      <c r="L554" s="8"/>
      <c r="T554" s="8"/>
      <c r="U554" s="8"/>
      <c r="V554" s="8"/>
      <c r="W554" s="8"/>
      <c r="X554" s="8"/>
      <c r="Y554" s="8"/>
      <c r="Z554" s="8"/>
      <c r="AA554" s="8"/>
      <c r="AB554" s="8"/>
      <c r="AC554" s="8"/>
      <c r="AD554" s="8"/>
      <c r="AE554" s="8"/>
    </row>
    <row r="555" spans="1:31" x14ac:dyDescent="0.25">
      <c r="A555" s="8"/>
      <c r="B555" s="8"/>
      <c r="C555" s="8"/>
      <c r="D555" s="8"/>
      <c r="E555" s="8"/>
      <c r="F555" s="8"/>
      <c r="G555" s="8"/>
      <c r="H555" s="8"/>
      <c r="I555" s="8"/>
      <c r="J555" s="8"/>
      <c r="K555" s="8"/>
      <c r="L555" s="8"/>
      <c r="T555" s="8"/>
      <c r="U555" s="8"/>
      <c r="V555" s="8"/>
      <c r="W555" s="8"/>
      <c r="X555" s="8"/>
      <c r="Y555" s="8"/>
      <c r="Z555" s="8"/>
      <c r="AA555" s="8"/>
      <c r="AB555" s="8"/>
      <c r="AC555" s="8"/>
      <c r="AD555" s="8"/>
      <c r="AE555" s="8"/>
    </row>
    <row r="556" spans="1:31" x14ac:dyDescent="0.25">
      <c r="A556" s="8"/>
      <c r="B556" s="8"/>
      <c r="C556" s="8"/>
      <c r="D556" s="8"/>
      <c r="E556" s="8"/>
      <c r="F556" s="8"/>
      <c r="G556" s="8"/>
      <c r="H556" s="8"/>
      <c r="I556" s="8"/>
      <c r="J556" s="8"/>
      <c r="K556" s="8"/>
      <c r="L556" s="8"/>
      <c r="T556" s="8"/>
      <c r="U556" s="8"/>
      <c r="V556" s="8"/>
      <c r="W556" s="8"/>
      <c r="X556" s="8"/>
      <c r="Y556" s="8"/>
      <c r="Z556" s="8"/>
      <c r="AA556" s="8"/>
      <c r="AB556" s="8"/>
      <c r="AC556" s="8"/>
      <c r="AD556" s="8"/>
      <c r="AE556" s="8"/>
    </row>
    <row r="557" spans="1:31" x14ac:dyDescent="0.25">
      <c r="A557" s="8"/>
      <c r="B557" s="8"/>
      <c r="C557" s="8"/>
      <c r="D557" s="8"/>
      <c r="E557" s="8"/>
      <c r="F557" s="8"/>
      <c r="G557" s="8"/>
      <c r="H557" s="8"/>
      <c r="I557" s="8"/>
      <c r="J557" s="8"/>
      <c r="K557" s="8"/>
      <c r="L557" s="8"/>
      <c r="T557" s="8"/>
      <c r="U557" s="8"/>
      <c r="V557" s="8"/>
      <c r="W557" s="8"/>
      <c r="X557" s="8"/>
      <c r="Y557" s="8"/>
      <c r="Z557" s="8"/>
      <c r="AA557" s="8"/>
      <c r="AB557" s="8"/>
      <c r="AC557" s="8"/>
      <c r="AD557" s="8"/>
      <c r="AE557" s="8"/>
    </row>
    <row r="558" spans="1:31" x14ac:dyDescent="0.25">
      <c r="A558" s="8"/>
      <c r="B558" s="8"/>
      <c r="C558" s="8"/>
      <c r="D558" s="8"/>
      <c r="E558" s="8"/>
      <c r="F558" s="8"/>
      <c r="G558" s="8"/>
      <c r="H558" s="8"/>
      <c r="I558" s="8"/>
      <c r="J558" s="8"/>
      <c r="K558" s="8"/>
      <c r="L558" s="8"/>
      <c r="T558" s="8"/>
      <c r="U558" s="8"/>
      <c r="V558" s="8"/>
      <c r="W558" s="8"/>
      <c r="X558" s="8"/>
      <c r="Y558" s="8"/>
      <c r="Z558" s="8"/>
      <c r="AA558" s="8"/>
      <c r="AB558" s="8"/>
      <c r="AC558" s="8"/>
      <c r="AD558" s="8"/>
      <c r="AE558" s="8"/>
    </row>
    <row r="559" spans="1:31" x14ac:dyDescent="0.25">
      <c r="A559" s="8"/>
      <c r="B559" s="8"/>
      <c r="C559" s="8"/>
      <c r="D559" s="8"/>
      <c r="E559" s="8"/>
      <c r="F559" s="8"/>
      <c r="G559" s="8"/>
      <c r="H559" s="8"/>
      <c r="I559" s="8"/>
      <c r="J559" s="8"/>
      <c r="K559" s="8"/>
      <c r="L559" s="8"/>
      <c r="T559" s="8"/>
      <c r="U559" s="8"/>
      <c r="V559" s="8"/>
      <c r="W559" s="8"/>
      <c r="X559" s="8"/>
      <c r="Y559" s="8"/>
      <c r="Z559" s="8"/>
      <c r="AA559" s="8"/>
      <c r="AB559" s="8"/>
      <c r="AC559" s="8"/>
      <c r="AD559" s="8"/>
      <c r="AE559" s="8"/>
    </row>
    <row r="560" spans="1:31" x14ac:dyDescent="0.25">
      <c r="A560" s="8"/>
      <c r="B560" s="8"/>
      <c r="C560" s="8"/>
      <c r="D560" s="8"/>
      <c r="E560" s="8"/>
      <c r="F560" s="8"/>
      <c r="G560" s="8"/>
      <c r="H560" s="8"/>
      <c r="I560" s="8"/>
      <c r="J560" s="8"/>
      <c r="K560" s="8"/>
      <c r="L560" s="8"/>
      <c r="T560" s="8"/>
      <c r="U560" s="8"/>
      <c r="V560" s="8"/>
      <c r="W560" s="8"/>
      <c r="X560" s="8"/>
      <c r="Y560" s="8"/>
      <c r="Z560" s="8"/>
      <c r="AA560" s="8"/>
      <c r="AB560" s="8"/>
      <c r="AC560" s="8"/>
      <c r="AD560" s="8"/>
      <c r="AE560" s="8"/>
    </row>
    <row r="561" spans="1:31" x14ac:dyDescent="0.25">
      <c r="A561" s="8"/>
      <c r="B561" s="8"/>
      <c r="C561" s="8"/>
      <c r="D561" s="8"/>
      <c r="E561" s="8"/>
      <c r="F561" s="8"/>
      <c r="G561" s="8"/>
      <c r="H561" s="8"/>
      <c r="I561" s="8"/>
      <c r="J561" s="8"/>
      <c r="K561" s="8"/>
      <c r="L561" s="8"/>
      <c r="T561" s="8"/>
      <c r="U561" s="8"/>
      <c r="V561" s="8"/>
      <c r="W561" s="8"/>
      <c r="X561" s="8"/>
      <c r="Y561" s="8"/>
      <c r="Z561" s="8"/>
      <c r="AA561" s="8"/>
      <c r="AB561" s="8"/>
      <c r="AC561" s="8"/>
      <c r="AD561" s="8"/>
      <c r="AE561" s="8"/>
    </row>
    <row r="562" spans="1:31" x14ac:dyDescent="0.25">
      <c r="A562" s="8"/>
      <c r="B562" s="8"/>
      <c r="C562" s="8"/>
      <c r="D562" s="8"/>
      <c r="E562" s="8"/>
      <c r="F562" s="8"/>
      <c r="G562" s="8"/>
      <c r="H562" s="8"/>
      <c r="I562" s="8"/>
      <c r="J562" s="8"/>
      <c r="K562" s="8"/>
      <c r="L562" s="8"/>
      <c r="T562" s="8"/>
      <c r="U562" s="8"/>
      <c r="V562" s="8"/>
      <c r="W562" s="8"/>
      <c r="X562" s="8"/>
      <c r="Y562" s="8"/>
      <c r="Z562" s="8"/>
      <c r="AA562" s="8"/>
      <c r="AB562" s="8"/>
      <c r="AC562" s="8"/>
      <c r="AD562" s="8"/>
      <c r="AE562" s="8"/>
    </row>
    <row r="563" spans="1:31" x14ac:dyDescent="0.25">
      <c r="A563" s="8"/>
      <c r="B563" s="8"/>
      <c r="C563" s="8"/>
      <c r="D563" s="8"/>
      <c r="E563" s="8"/>
      <c r="F563" s="8"/>
      <c r="G563" s="8"/>
      <c r="H563" s="8"/>
      <c r="I563" s="8"/>
      <c r="J563" s="8"/>
      <c r="K563" s="8"/>
      <c r="L563" s="8"/>
      <c r="T563" s="8"/>
      <c r="U563" s="8"/>
      <c r="V563" s="8"/>
      <c r="W563" s="8"/>
      <c r="X563" s="8"/>
      <c r="Y563" s="8"/>
      <c r="Z563" s="8"/>
      <c r="AA563" s="8"/>
      <c r="AB563" s="8"/>
      <c r="AC563" s="8"/>
      <c r="AD563" s="8"/>
      <c r="AE563" s="8"/>
    </row>
    <row r="564" spans="1:31" x14ac:dyDescent="0.25">
      <c r="A564" s="8"/>
      <c r="B564" s="8"/>
      <c r="C564" s="8"/>
      <c r="D564" s="8"/>
      <c r="E564" s="8"/>
      <c r="F564" s="8"/>
      <c r="G564" s="8"/>
      <c r="H564" s="8"/>
      <c r="I564" s="8"/>
      <c r="J564" s="8"/>
      <c r="K564" s="8"/>
      <c r="L564" s="8"/>
      <c r="T564" s="8"/>
      <c r="U564" s="8"/>
      <c r="V564" s="8"/>
      <c r="W564" s="8"/>
      <c r="X564" s="8"/>
      <c r="Y564" s="8"/>
      <c r="Z564" s="8"/>
      <c r="AA564" s="8"/>
      <c r="AB564" s="8"/>
      <c r="AC564" s="8"/>
      <c r="AD564" s="8"/>
      <c r="AE564" s="8"/>
    </row>
    <row r="565" spans="1:31" x14ac:dyDescent="0.25">
      <c r="A565" s="8"/>
      <c r="B565" s="8"/>
      <c r="C565" s="8"/>
      <c r="D565" s="8"/>
      <c r="E565" s="8"/>
      <c r="F565" s="8"/>
      <c r="G565" s="8"/>
      <c r="H565" s="8"/>
      <c r="I565" s="8"/>
      <c r="J565" s="8"/>
      <c r="K565" s="8"/>
      <c r="L565" s="8"/>
      <c r="T565" s="8"/>
      <c r="U565" s="8"/>
      <c r="V565" s="8"/>
      <c r="W565" s="8"/>
      <c r="X565" s="8"/>
      <c r="Y565" s="8"/>
      <c r="Z565" s="8"/>
      <c r="AA565" s="8"/>
      <c r="AB565" s="8"/>
      <c r="AC565" s="8"/>
      <c r="AD565" s="8"/>
      <c r="AE565" s="8"/>
    </row>
    <row r="566" spans="1:31" x14ac:dyDescent="0.25">
      <c r="A566" s="8"/>
      <c r="B566" s="8"/>
      <c r="C566" s="8"/>
      <c r="D566" s="8"/>
      <c r="E566" s="8"/>
      <c r="F566" s="8"/>
      <c r="G566" s="8"/>
      <c r="H566" s="8"/>
      <c r="I566" s="8"/>
      <c r="J566" s="8"/>
      <c r="K566" s="8"/>
      <c r="L566" s="8"/>
      <c r="T566" s="8"/>
      <c r="U566" s="8"/>
      <c r="V566" s="8"/>
      <c r="W566" s="8"/>
      <c r="X566" s="8"/>
      <c r="Y566" s="8"/>
      <c r="Z566" s="8"/>
      <c r="AA566" s="8"/>
      <c r="AB566" s="8"/>
      <c r="AC566" s="8"/>
      <c r="AD566" s="8"/>
      <c r="AE566" s="8"/>
    </row>
    <row r="567" spans="1:31" x14ac:dyDescent="0.25">
      <c r="A567" s="8"/>
      <c r="B567" s="8"/>
      <c r="C567" s="8"/>
      <c r="D567" s="8"/>
      <c r="E567" s="8"/>
      <c r="F567" s="8"/>
      <c r="G567" s="8"/>
      <c r="H567" s="8"/>
      <c r="I567" s="8"/>
      <c r="J567" s="8"/>
      <c r="K567" s="8"/>
      <c r="L567" s="8"/>
      <c r="T567" s="8"/>
      <c r="U567" s="8"/>
      <c r="V567" s="8"/>
      <c r="W567" s="8"/>
      <c r="X567" s="8"/>
      <c r="Y567" s="8"/>
      <c r="Z567" s="8"/>
      <c r="AA567" s="8"/>
      <c r="AB567" s="8"/>
      <c r="AC567" s="8"/>
      <c r="AD567" s="8"/>
      <c r="AE567" s="8"/>
    </row>
    <row r="568" spans="1:31" x14ac:dyDescent="0.25">
      <c r="A568" s="8"/>
      <c r="B568" s="8"/>
      <c r="C568" s="8"/>
      <c r="D568" s="8"/>
      <c r="E568" s="8"/>
      <c r="F568" s="8"/>
      <c r="G568" s="8"/>
      <c r="H568" s="8"/>
      <c r="I568" s="8"/>
      <c r="J568" s="8"/>
      <c r="K568" s="8"/>
      <c r="L568" s="8"/>
      <c r="T568" s="8"/>
      <c r="U568" s="8"/>
      <c r="V568" s="8"/>
      <c r="W568" s="8"/>
      <c r="X568" s="8"/>
      <c r="Y568" s="8"/>
      <c r="Z568" s="8"/>
      <c r="AA568" s="8"/>
      <c r="AB568" s="8"/>
      <c r="AC568" s="8"/>
      <c r="AD568" s="8"/>
      <c r="AE568" s="8"/>
    </row>
    <row r="569" spans="1:31" x14ac:dyDescent="0.25">
      <c r="A569" s="8"/>
      <c r="B569" s="8"/>
      <c r="C569" s="8"/>
      <c r="D569" s="8"/>
      <c r="E569" s="8"/>
      <c r="F569" s="8"/>
      <c r="G569" s="8"/>
      <c r="H569" s="8"/>
      <c r="I569" s="8"/>
      <c r="J569" s="8"/>
      <c r="K569" s="8"/>
      <c r="L569" s="8"/>
      <c r="T569" s="8"/>
      <c r="U569" s="8"/>
      <c r="V569" s="8"/>
      <c r="W569" s="8"/>
      <c r="X569" s="8"/>
      <c r="Y569" s="8"/>
      <c r="Z569" s="8"/>
      <c r="AA569" s="8"/>
      <c r="AB569" s="8"/>
      <c r="AC569" s="8"/>
      <c r="AD569" s="8"/>
      <c r="AE569" s="8"/>
    </row>
    <row r="570" spans="1:31" x14ac:dyDescent="0.25">
      <c r="A570" s="8"/>
      <c r="B570" s="8"/>
      <c r="C570" s="8"/>
      <c r="D570" s="8"/>
      <c r="E570" s="8"/>
      <c r="F570" s="8"/>
      <c r="G570" s="8"/>
      <c r="H570" s="8"/>
      <c r="I570" s="8"/>
      <c r="J570" s="8"/>
      <c r="K570" s="8"/>
      <c r="L570" s="8"/>
      <c r="T570" s="8"/>
      <c r="U570" s="8"/>
      <c r="V570" s="8"/>
      <c r="W570" s="8"/>
      <c r="X570" s="8"/>
      <c r="Y570" s="8"/>
      <c r="Z570" s="8"/>
      <c r="AA570" s="8"/>
      <c r="AB570" s="8"/>
      <c r="AC570" s="8"/>
      <c r="AD570" s="8"/>
      <c r="AE570" s="8"/>
    </row>
    <row r="571" spans="1:31" x14ac:dyDescent="0.25">
      <c r="A571" s="8"/>
      <c r="B571" s="8"/>
      <c r="C571" s="8"/>
      <c r="D571" s="8"/>
      <c r="E571" s="8"/>
      <c r="F571" s="8"/>
      <c r="G571" s="8"/>
      <c r="H571" s="8"/>
      <c r="I571" s="8"/>
      <c r="J571" s="8"/>
      <c r="K571" s="8"/>
      <c r="L571" s="8"/>
      <c r="T571" s="8"/>
      <c r="U571" s="8"/>
      <c r="V571" s="8"/>
      <c r="W571" s="8"/>
      <c r="X571" s="8"/>
      <c r="Y571" s="8"/>
      <c r="Z571" s="8"/>
      <c r="AA571" s="8"/>
      <c r="AB571" s="8"/>
      <c r="AC571" s="8"/>
      <c r="AD571" s="8"/>
      <c r="AE571" s="8"/>
    </row>
    <row r="572" spans="1:31" x14ac:dyDescent="0.25">
      <c r="A572" s="8"/>
      <c r="B572" s="8"/>
      <c r="C572" s="8"/>
      <c r="D572" s="8"/>
      <c r="E572" s="8"/>
      <c r="F572" s="8"/>
      <c r="G572" s="8"/>
      <c r="H572" s="8"/>
      <c r="I572" s="8"/>
      <c r="J572" s="8"/>
      <c r="K572" s="8"/>
      <c r="L572" s="8"/>
      <c r="T572" s="8"/>
      <c r="U572" s="8"/>
      <c r="V572" s="8"/>
      <c r="W572" s="8"/>
      <c r="X572" s="8"/>
      <c r="Y572" s="8"/>
      <c r="Z572" s="8"/>
      <c r="AA572" s="8"/>
      <c r="AB572" s="8"/>
      <c r="AC572" s="8"/>
      <c r="AD572" s="8"/>
      <c r="AE572" s="8"/>
    </row>
    <row r="573" spans="1:31" x14ac:dyDescent="0.25">
      <c r="A573" s="8"/>
      <c r="B573" s="8"/>
      <c r="C573" s="8"/>
      <c r="D573" s="8"/>
      <c r="E573" s="8"/>
      <c r="F573" s="8"/>
      <c r="G573" s="8"/>
      <c r="H573" s="8"/>
      <c r="I573" s="8"/>
      <c r="J573" s="8"/>
      <c r="K573" s="8"/>
      <c r="L573" s="8"/>
      <c r="T573" s="8"/>
      <c r="U573" s="8"/>
      <c r="V573" s="8"/>
      <c r="W573" s="8"/>
      <c r="X573" s="8"/>
      <c r="Y573" s="8"/>
      <c r="Z573" s="8"/>
      <c r="AA573" s="8"/>
      <c r="AB573" s="8"/>
      <c r="AC573" s="8"/>
      <c r="AD573" s="8"/>
      <c r="AE573" s="8"/>
    </row>
    <row r="574" spans="1:31" x14ac:dyDescent="0.25">
      <c r="A574" s="8"/>
      <c r="B574" s="8"/>
      <c r="C574" s="8"/>
      <c r="D574" s="8"/>
      <c r="E574" s="8"/>
      <c r="F574" s="8"/>
      <c r="G574" s="8"/>
      <c r="H574" s="8"/>
      <c r="I574" s="8"/>
      <c r="J574" s="8"/>
      <c r="K574" s="8"/>
      <c r="L574" s="8"/>
      <c r="T574" s="8"/>
      <c r="U574" s="8"/>
      <c r="V574" s="8"/>
      <c r="W574" s="8"/>
      <c r="X574" s="8"/>
      <c r="Y574" s="8"/>
      <c r="Z574" s="8"/>
      <c r="AA574" s="8"/>
      <c r="AB574" s="8"/>
      <c r="AC574" s="8"/>
      <c r="AD574" s="8"/>
      <c r="AE574" s="8"/>
    </row>
    <row r="575" spans="1:31" x14ac:dyDescent="0.25">
      <c r="A575" s="8"/>
      <c r="B575" s="8"/>
      <c r="C575" s="8"/>
      <c r="D575" s="8"/>
      <c r="E575" s="8"/>
      <c r="F575" s="8"/>
      <c r="G575" s="8"/>
      <c r="H575" s="8"/>
      <c r="I575" s="8"/>
      <c r="J575" s="8"/>
      <c r="K575" s="8"/>
      <c r="L575" s="8"/>
      <c r="T575" s="8"/>
      <c r="U575" s="8"/>
      <c r="V575" s="8"/>
      <c r="W575" s="8"/>
      <c r="X575" s="8"/>
      <c r="Y575" s="8"/>
      <c r="Z575" s="8"/>
      <c r="AA575" s="8"/>
      <c r="AB575" s="8"/>
      <c r="AC575" s="8"/>
      <c r="AD575" s="8"/>
      <c r="AE575" s="8"/>
    </row>
    <row r="576" spans="1:31" x14ac:dyDescent="0.25">
      <c r="A576" s="8"/>
      <c r="B576" s="8"/>
      <c r="C576" s="8"/>
      <c r="D576" s="8"/>
      <c r="E576" s="8"/>
      <c r="F576" s="8"/>
      <c r="G576" s="8"/>
      <c r="H576" s="8"/>
      <c r="I576" s="8"/>
      <c r="J576" s="8"/>
      <c r="K576" s="8"/>
      <c r="L576" s="8"/>
      <c r="T576" s="8"/>
      <c r="U576" s="8"/>
      <c r="V576" s="8"/>
      <c r="W576" s="8"/>
      <c r="X576" s="8"/>
      <c r="Y576" s="8"/>
      <c r="Z576" s="8"/>
      <c r="AA576" s="8"/>
      <c r="AB576" s="8"/>
      <c r="AC576" s="8"/>
      <c r="AD576" s="8"/>
      <c r="AE576" s="8"/>
    </row>
    <row r="577" spans="1:31" x14ac:dyDescent="0.25">
      <c r="A577" s="8"/>
      <c r="B577" s="8"/>
      <c r="C577" s="8"/>
      <c r="D577" s="8"/>
      <c r="E577" s="8"/>
      <c r="F577" s="8"/>
      <c r="G577" s="8"/>
      <c r="H577" s="8"/>
      <c r="I577" s="8"/>
      <c r="J577" s="8"/>
      <c r="K577" s="8"/>
      <c r="L577" s="8"/>
      <c r="T577" s="8"/>
      <c r="U577" s="8"/>
      <c r="V577" s="8"/>
      <c r="W577" s="8"/>
      <c r="X577" s="8"/>
      <c r="Y577" s="8"/>
      <c r="Z577" s="8"/>
      <c r="AA577" s="8"/>
      <c r="AB577" s="8"/>
      <c r="AC577" s="8"/>
      <c r="AD577" s="8"/>
      <c r="AE577" s="8"/>
    </row>
    <row r="578" spans="1:31" x14ac:dyDescent="0.25">
      <c r="A578" s="8"/>
      <c r="B578" s="8"/>
      <c r="C578" s="8"/>
      <c r="D578" s="8"/>
      <c r="E578" s="8"/>
      <c r="F578" s="8"/>
      <c r="G578" s="8"/>
      <c r="H578" s="8"/>
      <c r="I578" s="8"/>
      <c r="J578" s="8"/>
      <c r="K578" s="8"/>
      <c r="L578" s="8"/>
      <c r="T578" s="8"/>
      <c r="U578" s="8"/>
      <c r="V578" s="8"/>
      <c r="W578" s="8"/>
      <c r="X578" s="8"/>
      <c r="Y578" s="8"/>
      <c r="Z578" s="8"/>
      <c r="AA578" s="8"/>
      <c r="AB578" s="8"/>
      <c r="AC578" s="8"/>
      <c r="AD578" s="8"/>
      <c r="AE578" s="8"/>
    </row>
    <row r="579" spans="1:31" x14ac:dyDescent="0.25">
      <c r="A579" s="8"/>
      <c r="B579" s="8"/>
      <c r="C579" s="8"/>
      <c r="D579" s="8"/>
      <c r="E579" s="8"/>
      <c r="F579" s="8"/>
      <c r="G579" s="8"/>
      <c r="H579" s="8"/>
      <c r="I579" s="8"/>
      <c r="J579" s="8"/>
      <c r="K579" s="8"/>
      <c r="L579" s="8"/>
      <c r="T579" s="8"/>
      <c r="U579" s="8"/>
      <c r="V579" s="8"/>
      <c r="W579" s="8"/>
      <c r="X579" s="8"/>
      <c r="Y579" s="8"/>
      <c r="Z579" s="8"/>
      <c r="AA579" s="8"/>
      <c r="AB579" s="8"/>
      <c r="AC579" s="8"/>
      <c r="AD579" s="8"/>
      <c r="AE579" s="8"/>
    </row>
    <row r="580" spans="1:31" x14ac:dyDescent="0.25">
      <c r="A580" s="8"/>
      <c r="B580" s="8"/>
      <c r="C580" s="8"/>
      <c r="D580" s="8"/>
      <c r="E580" s="8"/>
      <c r="F580" s="8"/>
      <c r="G580" s="8"/>
      <c r="H580" s="8"/>
      <c r="I580" s="8"/>
      <c r="J580" s="8"/>
      <c r="K580" s="8"/>
      <c r="L580" s="8"/>
      <c r="T580" s="8"/>
      <c r="U580" s="8"/>
      <c r="V580" s="8"/>
      <c r="W580" s="8"/>
      <c r="X580" s="8"/>
      <c r="Y580" s="8"/>
      <c r="Z580" s="8"/>
      <c r="AA580" s="8"/>
      <c r="AB580" s="8"/>
      <c r="AC580" s="8"/>
      <c r="AD580" s="8"/>
      <c r="AE580" s="8"/>
    </row>
    <row r="581" spans="1:31" x14ac:dyDescent="0.25">
      <c r="A581" s="8"/>
      <c r="B581" s="8"/>
      <c r="C581" s="8"/>
      <c r="D581" s="8"/>
      <c r="E581" s="8"/>
      <c r="F581" s="8"/>
      <c r="G581" s="8"/>
      <c r="H581" s="8"/>
      <c r="I581" s="8"/>
      <c r="J581" s="8"/>
      <c r="K581" s="8"/>
      <c r="L581" s="8"/>
      <c r="T581" s="8"/>
      <c r="U581" s="8"/>
      <c r="V581" s="8"/>
      <c r="W581" s="8"/>
      <c r="X581" s="8"/>
      <c r="Y581" s="8"/>
      <c r="Z581" s="8"/>
      <c r="AA581" s="8"/>
      <c r="AB581" s="8"/>
      <c r="AC581" s="8"/>
      <c r="AD581" s="8"/>
      <c r="AE581" s="8"/>
    </row>
    <row r="582" spans="1:31" x14ac:dyDescent="0.25">
      <c r="A582" s="8"/>
      <c r="B582" s="8"/>
      <c r="C582" s="8"/>
      <c r="D582" s="8"/>
      <c r="E582" s="8"/>
      <c r="F582" s="8"/>
      <c r="G582" s="8"/>
      <c r="H582" s="8"/>
      <c r="I582" s="8"/>
      <c r="J582" s="8"/>
      <c r="K582" s="8"/>
      <c r="L582" s="8"/>
      <c r="T582" s="8"/>
      <c r="U582" s="8"/>
      <c r="V582" s="8"/>
      <c r="W582" s="8"/>
      <c r="X582" s="8"/>
      <c r="Y582" s="8"/>
      <c r="Z582" s="8"/>
      <c r="AA582" s="8"/>
      <c r="AB582" s="8"/>
      <c r="AC582" s="8"/>
      <c r="AD582" s="8"/>
      <c r="AE582" s="8"/>
    </row>
    <row r="583" spans="1:31" x14ac:dyDescent="0.25">
      <c r="A583" s="8"/>
      <c r="B583" s="8"/>
      <c r="C583" s="8"/>
      <c r="D583" s="8"/>
      <c r="E583" s="8"/>
      <c r="F583" s="8"/>
      <c r="G583" s="8"/>
      <c r="H583" s="8"/>
      <c r="I583" s="8"/>
      <c r="J583" s="8"/>
      <c r="K583" s="8"/>
      <c r="L583" s="8"/>
      <c r="T583" s="8"/>
      <c r="U583" s="8"/>
      <c r="V583" s="8"/>
      <c r="W583" s="8"/>
      <c r="X583" s="8"/>
      <c r="Y583" s="8"/>
      <c r="Z583" s="8"/>
      <c r="AA583" s="8"/>
      <c r="AB583" s="8"/>
      <c r="AC583" s="8"/>
      <c r="AD583" s="8"/>
      <c r="AE583" s="8"/>
    </row>
    <row r="584" spans="1:31" x14ac:dyDescent="0.25">
      <c r="A584" s="8"/>
      <c r="B584" s="8"/>
      <c r="C584" s="8"/>
      <c r="D584" s="8"/>
      <c r="E584" s="8"/>
      <c r="F584" s="8"/>
      <c r="G584" s="8"/>
      <c r="H584" s="8"/>
      <c r="I584" s="8"/>
      <c r="J584" s="8"/>
      <c r="K584" s="8"/>
      <c r="L584" s="8"/>
      <c r="T584" s="8"/>
      <c r="U584" s="8"/>
      <c r="V584" s="8"/>
      <c r="W584" s="8"/>
      <c r="X584" s="8"/>
      <c r="Y584" s="8"/>
      <c r="Z584" s="8"/>
      <c r="AA584" s="8"/>
      <c r="AB584" s="8"/>
      <c r="AC584" s="8"/>
      <c r="AD584" s="8"/>
      <c r="AE584" s="8"/>
    </row>
    <row r="585" spans="1:31" x14ac:dyDescent="0.25">
      <c r="A585" s="8"/>
      <c r="B585" s="8"/>
      <c r="C585" s="8"/>
      <c r="D585" s="8"/>
      <c r="E585" s="8"/>
      <c r="F585" s="8"/>
      <c r="G585" s="8"/>
      <c r="H585" s="8"/>
      <c r="I585" s="8"/>
      <c r="J585" s="8"/>
      <c r="K585" s="8"/>
      <c r="L585" s="8"/>
      <c r="T585" s="8"/>
      <c r="U585" s="8"/>
      <c r="V585" s="8"/>
      <c r="W585" s="8"/>
      <c r="X585" s="8"/>
      <c r="Y585" s="8"/>
      <c r="Z585" s="8"/>
      <c r="AA585" s="8"/>
      <c r="AB585" s="8"/>
      <c r="AC585" s="8"/>
      <c r="AD585" s="8"/>
      <c r="AE585" s="8"/>
    </row>
    <row r="586" spans="1:31" x14ac:dyDescent="0.25">
      <c r="A586" s="8"/>
      <c r="B586" s="8"/>
      <c r="C586" s="8"/>
      <c r="D586" s="8"/>
      <c r="E586" s="8"/>
      <c r="F586" s="8"/>
      <c r="G586" s="8"/>
      <c r="H586" s="8"/>
      <c r="I586" s="8"/>
      <c r="J586" s="8"/>
      <c r="K586" s="8"/>
      <c r="L586" s="8"/>
      <c r="T586" s="8"/>
      <c r="U586" s="8"/>
      <c r="V586" s="8"/>
      <c r="W586" s="8"/>
      <c r="X586" s="8"/>
      <c r="Y586" s="8"/>
      <c r="Z586" s="8"/>
      <c r="AA586" s="8"/>
      <c r="AB586" s="8"/>
      <c r="AC586" s="8"/>
      <c r="AD586" s="8"/>
      <c r="AE586" s="8"/>
    </row>
    <row r="587" spans="1:31" x14ac:dyDescent="0.25">
      <c r="A587" s="8"/>
      <c r="B587" s="8"/>
      <c r="C587" s="8"/>
      <c r="D587" s="8"/>
      <c r="E587" s="8"/>
      <c r="F587" s="8"/>
      <c r="G587" s="8"/>
      <c r="H587" s="8"/>
      <c r="I587" s="8"/>
      <c r="J587" s="8"/>
      <c r="K587" s="8"/>
      <c r="L587" s="8"/>
      <c r="T587" s="8"/>
      <c r="U587" s="8"/>
      <c r="V587" s="8"/>
      <c r="W587" s="8"/>
      <c r="X587" s="8"/>
      <c r="Y587" s="8"/>
      <c r="Z587" s="8"/>
      <c r="AA587" s="8"/>
      <c r="AB587" s="8"/>
      <c r="AC587" s="8"/>
      <c r="AD587" s="8"/>
      <c r="AE587" s="8"/>
    </row>
    <row r="588" spans="1:31" x14ac:dyDescent="0.25">
      <c r="A588" s="8"/>
      <c r="B588" s="8"/>
      <c r="C588" s="8"/>
      <c r="D588" s="8"/>
      <c r="E588" s="8"/>
      <c r="F588" s="8"/>
      <c r="G588" s="8"/>
      <c r="H588" s="8"/>
      <c r="I588" s="8"/>
      <c r="J588" s="8"/>
      <c r="K588" s="8"/>
      <c r="L588" s="8"/>
      <c r="T588" s="8"/>
      <c r="U588" s="8"/>
      <c r="V588" s="8"/>
      <c r="W588" s="8"/>
      <c r="X588" s="8"/>
      <c r="Y588" s="8"/>
      <c r="Z588" s="8"/>
      <c r="AA588" s="8"/>
      <c r="AB588" s="8"/>
      <c r="AC588" s="8"/>
      <c r="AD588" s="8"/>
      <c r="AE588" s="8"/>
    </row>
    <row r="589" spans="1:31" x14ac:dyDescent="0.25">
      <c r="A589" s="8"/>
      <c r="B589" s="8"/>
      <c r="C589" s="8"/>
      <c r="D589" s="8"/>
      <c r="E589" s="8"/>
      <c r="F589" s="8"/>
      <c r="G589" s="8"/>
      <c r="H589" s="8"/>
      <c r="I589" s="8"/>
      <c r="J589" s="8"/>
      <c r="K589" s="8"/>
      <c r="L589" s="8"/>
      <c r="T589" s="8"/>
      <c r="U589" s="8"/>
      <c r="V589" s="8"/>
      <c r="W589" s="8"/>
      <c r="X589" s="8"/>
      <c r="Y589" s="8"/>
      <c r="Z589" s="8"/>
      <c r="AA589" s="8"/>
      <c r="AB589" s="8"/>
      <c r="AC589" s="8"/>
      <c r="AD589" s="8"/>
      <c r="AE589" s="8"/>
    </row>
    <row r="590" spans="1:31" x14ac:dyDescent="0.25">
      <c r="A590" s="8"/>
      <c r="B590" s="8"/>
      <c r="C590" s="8"/>
      <c r="D590" s="8"/>
      <c r="E590" s="8"/>
      <c r="F590" s="8"/>
      <c r="G590" s="8"/>
      <c r="H590" s="8"/>
      <c r="I590" s="8"/>
      <c r="J590" s="8"/>
      <c r="K590" s="8"/>
      <c r="L590" s="8"/>
      <c r="T590" s="8"/>
      <c r="U590" s="8"/>
      <c r="V590" s="8"/>
      <c r="W590" s="8"/>
      <c r="X590" s="8"/>
      <c r="Y590" s="8"/>
      <c r="Z590" s="8"/>
      <c r="AA590" s="8"/>
      <c r="AB590" s="8"/>
      <c r="AC590" s="8"/>
      <c r="AD590" s="8"/>
      <c r="AE590" s="8"/>
    </row>
    <row r="591" spans="1:31" x14ac:dyDescent="0.25">
      <c r="A591" s="8"/>
      <c r="B591" s="8"/>
      <c r="C591" s="8"/>
      <c r="D591" s="8"/>
      <c r="E591" s="8"/>
      <c r="F591" s="8"/>
      <c r="G591" s="8"/>
      <c r="H591" s="8"/>
      <c r="I591" s="8"/>
      <c r="J591" s="8"/>
      <c r="K591" s="8"/>
      <c r="L591" s="8"/>
      <c r="T591" s="8"/>
      <c r="U591" s="8"/>
      <c r="V591" s="8"/>
      <c r="W591" s="8"/>
      <c r="X591" s="8"/>
      <c r="Y591" s="8"/>
      <c r="Z591" s="8"/>
      <c r="AA591" s="8"/>
      <c r="AB591" s="8"/>
      <c r="AC591" s="8"/>
      <c r="AD591" s="8"/>
      <c r="AE591" s="8"/>
    </row>
    <row r="592" spans="1:31" x14ac:dyDescent="0.25">
      <c r="A592" s="8"/>
      <c r="B592" s="8"/>
      <c r="C592" s="8"/>
      <c r="D592" s="8"/>
      <c r="E592" s="8"/>
      <c r="F592" s="8"/>
      <c r="G592" s="8"/>
      <c r="H592" s="8"/>
      <c r="I592" s="8"/>
      <c r="J592" s="8"/>
      <c r="K592" s="8"/>
      <c r="L592" s="8"/>
      <c r="T592" s="8"/>
      <c r="U592" s="8"/>
      <c r="V592" s="8"/>
      <c r="W592" s="8"/>
      <c r="X592" s="8"/>
      <c r="Y592" s="8"/>
      <c r="Z592" s="8"/>
      <c r="AA592" s="8"/>
      <c r="AB592" s="8"/>
      <c r="AC592" s="8"/>
      <c r="AD592" s="8"/>
      <c r="AE592" s="8"/>
    </row>
    <row r="593" spans="1:31" x14ac:dyDescent="0.25">
      <c r="A593" s="8"/>
      <c r="B593" s="8"/>
      <c r="C593" s="8"/>
      <c r="D593" s="8"/>
      <c r="E593" s="8"/>
      <c r="F593" s="8"/>
      <c r="G593" s="8"/>
      <c r="H593" s="8"/>
      <c r="I593" s="8"/>
      <c r="J593" s="8"/>
      <c r="K593" s="8"/>
      <c r="L593" s="8"/>
      <c r="T593" s="8"/>
      <c r="U593" s="8"/>
      <c r="V593" s="8"/>
      <c r="W593" s="8"/>
      <c r="X593" s="8"/>
      <c r="Y593" s="8"/>
      <c r="Z593" s="8"/>
      <c r="AA593" s="8"/>
      <c r="AB593" s="8"/>
      <c r="AC593" s="8"/>
      <c r="AD593" s="8"/>
      <c r="AE593" s="8"/>
    </row>
    <row r="594" spans="1:31" x14ac:dyDescent="0.25">
      <c r="A594" s="8"/>
      <c r="B594" s="8"/>
      <c r="C594" s="8"/>
      <c r="D594" s="8"/>
      <c r="E594" s="8"/>
      <c r="F594" s="8"/>
      <c r="G594" s="8"/>
      <c r="H594" s="8"/>
      <c r="I594" s="8"/>
      <c r="J594" s="8"/>
      <c r="K594" s="8"/>
      <c r="L594" s="8"/>
      <c r="T594" s="8"/>
      <c r="U594" s="8"/>
      <c r="V594" s="8"/>
      <c r="W594" s="8"/>
      <c r="X594" s="8"/>
      <c r="Y594" s="8"/>
      <c r="Z594" s="8"/>
      <c r="AA594" s="8"/>
      <c r="AB594" s="8"/>
      <c r="AC594" s="8"/>
      <c r="AD594" s="8"/>
      <c r="AE594" s="8"/>
    </row>
    <row r="595" spans="1:31" x14ac:dyDescent="0.25">
      <c r="A595" s="8"/>
      <c r="B595" s="8"/>
      <c r="C595" s="8"/>
      <c r="D595" s="8"/>
      <c r="E595" s="8"/>
      <c r="F595" s="8"/>
      <c r="G595" s="8"/>
      <c r="H595" s="8"/>
      <c r="I595" s="8"/>
      <c r="J595" s="8"/>
      <c r="K595" s="8"/>
      <c r="L595" s="8"/>
      <c r="T595" s="8"/>
      <c r="U595" s="8"/>
      <c r="V595" s="8"/>
      <c r="W595" s="8"/>
      <c r="X595" s="8"/>
      <c r="Y595" s="8"/>
      <c r="Z595" s="8"/>
      <c r="AA595" s="8"/>
      <c r="AB595" s="8"/>
      <c r="AC595" s="8"/>
      <c r="AD595" s="8"/>
      <c r="AE595" s="8"/>
    </row>
    <row r="596" spans="1:31" x14ac:dyDescent="0.25">
      <c r="A596" s="8"/>
      <c r="B596" s="8"/>
      <c r="C596" s="8"/>
      <c r="D596" s="8"/>
      <c r="E596" s="8"/>
      <c r="F596" s="8"/>
      <c r="G596" s="8"/>
      <c r="H596" s="8"/>
      <c r="I596" s="8"/>
      <c r="J596" s="8"/>
      <c r="K596" s="8"/>
      <c r="L596" s="8"/>
      <c r="T596" s="8"/>
      <c r="U596" s="8"/>
      <c r="V596" s="8"/>
      <c r="W596" s="8"/>
      <c r="X596" s="8"/>
      <c r="Y596" s="8"/>
      <c r="Z596" s="8"/>
      <c r="AA596" s="8"/>
      <c r="AB596" s="8"/>
      <c r="AC596" s="8"/>
      <c r="AD596" s="8"/>
      <c r="AE596" s="8"/>
    </row>
    <row r="597" spans="1:31" x14ac:dyDescent="0.25">
      <c r="A597" s="8"/>
      <c r="B597" s="8"/>
      <c r="C597" s="8"/>
      <c r="D597" s="8"/>
      <c r="E597" s="8"/>
      <c r="F597" s="8"/>
      <c r="G597" s="8"/>
      <c r="H597" s="8"/>
      <c r="I597" s="8"/>
      <c r="J597" s="8"/>
      <c r="K597" s="8"/>
      <c r="L597" s="8"/>
      <c r="T597" s="8"/>
      <c r="U597" s="8"/>
      <c r="V597" s="8"/>
      <c r="W597" s="8"/>
      <c r="X597" s="8"/>
      <c r="Y597" s="8"/>
      <c r="Z597" s="8"/>
      <c r="AA597" s="8"/>
      <c r="AB597" s="8"/>
      <c r="AC597" s="8"/>
      <c r="AD597" s="8"/>
      <c r="AE597" s="8"/>
    </row>
    <row r="598" spans="1:31" x14ac:dyDescent="0.25">
      <c r="A598" s="8"/>
      <c r="B598" s="8"/>
      <c r="C598" s="8"/>
      <c r="D598" s="8"/>
      <c r="E598" s="8"/>
      <c r="F598" s="8"/>
      <c r="G598" s="8"/>
      <c r="H598" s="8"/>
      <c r="I598" s="8"/>
      <c r="J598" s="8"/>
      <c r="K598" s="8"/>
      <c r="L598" s="8"/>
      <c r="T598" s="8"/>
      <c r="U598" s="8"/>
      <c r="V598" s="8"/>
      <c r="W598" s="8"/>
      <c r="X598" s="8"/>
      <c r="Y598" s="8"/>
      <c r="Z598" s="8"/>
      <c r="AA598" s="8"/>
      <c r="AB598" s="8"/>
      <c r="AC598" s="8"/>
      <c r="AD598" s="8"/>
      <c r="AE598" s="8"/>
    </row>
    <row r="599" spans="1:31" x14ac:dyDescent="0.25">
      <c r="A599" s="8"/>
      <c r="B599" s="8"/>
      <c r="C599" s="8"/>
      <c r="D599" s="8"/>
      <c r="E599" s="8"/>
      <c r="F599" s="8"/>
      <c r="G599" s="8"/>
      <c r="H599" s="8"/>
      <c r="I599" s="8"/>
      <c r="J599" s="8"/>
      <c r="K599" s="8"/>
      <c r="L599" s="8"/>
      <c r="T599" s="8"/>
      <c r="U599" s="8"/>
      <c r="V599" s="8"/>
      <c r="W599" s="8"/>
      <c r="X599" s="8"/>
      <c r="Y599" s="8"/>
      <c r="Z599" s="8"/>
      <c r="AA599" s="8"/>
      <c r="AB599" s="8"/>
      <c r="AC599" s="8"/>
      <c r="AD599" s="8"/>
      <c r="AE599" s="8"/>
    </row>
    <row r="600" spans="1:31" x14ac:dyDescent="0.25">
      <c r="A600" s="8"/>
      <c r="B600" s="8"/>
      <c r="C600" s="8"/>
      <c r="D600" s="8"/>
      <c r="E600" s="8"/>
      <c r="F600" s="8"/>
      <c r="G600" s="8"/>
      <c r="H600" s="8"/>
      <c r="I600" s="8"/>
      <c r="J600" s="8"/>
      <c r="K600" s="8"/>
      <c r="L600" s="8"/>
      <c r="T600" s="8"/>
      <c r="U600" s="8"/>
      <c r="V600" s="8"/>
      <c r="W600" s="8"/>
      <c r="X600" s="8"/>
      <c r="Y600" s="8"/>
      <c r="Z600" s="8"/>
      <c r="AA600" s="8"/>
      <c r="AB600" s="8"/>
      <c r="AC600" s="8"/>
      <c r="AD600" s="8"/>
      <c r="AE600" s="8"/>
    </row>
    <row r="601" spans="1:31" x14ac:dyDescent="0.25">
      <c r="A601" s="8"/>
      <c r="B601" s="8"/>
      <c r="C601" s="8"/>
      <c r="D601" s="8"/>
      <c r="E601" s="8"/>
      <c r="F601" s="8"/>
      <c r="G601" s="8"/>
      <c r="H601" s="8"/>
      <c r="I601" s="8"/>
      <c r="J601" s="8"/>
      <c r="K601" s="8"/>
      <c r="L601" s="8"/>
      <c r="T601" s="8"/>
      <c r="U601" s="8"/>
      <c r="V601" s="8"/>
      <c r="W601" s="8"/>
      <c r="X601" s="8"/>
      <c r="Y601" s="8"/>
      <c r="Z601" s="8"/>
      <c r="AA601" s="8"/>
      <c r="AB601" s="8"/>
      <c r="AC601" s="8"/>
      <c r="AD601" s="8"/>
      <c r="AE601" s="8"/>
    </row>
    <row r="602" spans="1:31" x14ac:dyDescent="0.25">
      <c r="A602" s="8"/>
      <c r="B602" s="8"/>
      <c r="C602" s="8"/>
      <c r="D602" s="8"/>
      <c r="E602" s="8"/>
      <c r="F602" s="8"/>
      <c r="G602" s="8"/>
      <c r="H602" s="8"/>
      <c r="I602" s="8"/>
      <c r="J602" s="8"/>
      <c r="K602" s="8"/>
      <c r="L602" s="8"/>
      <c r="T602" s="8"/>
      <c r="U602" s="8"/>
      <c r="V602" s="8"/>
      <c r="W602" s="8"/>
      <c r="X602" s="8"/>
      <c r="Y602" s="8"/>
      <c r="Z602" s="8"/>
      <c r="AA602" s="8"/>
      <c r="AB602" s="8"/>
      <c r="AC602" s="8"/>
      <c r="AD602" s="8"/>
      <c r="AE602" s="8"/>
    </row>
    <row r="603" spans="1:31" x14ac:dyDescent="0.25">
      <c r="A603" s="8"/>
      <c r="B603" s="8"/>
      <c r="C603" s="8"/>
      <c r="D603" s="8"/>
      <c r="E603" s="8"/>
      <c r="F603" s="8"/>
      <c r="G603" s="8"/>
      <c r="H603" s="8"/>
      <c r="I603" s="8"/>
      <c r="J603" s="8"/>
      <c r="K603" s="8"/>
      <c r="L603" s="8"/>
      <c r="T603" s="8"/>
      <c r="U603" s="8"/>
      <c r="V603" s="8"/>
      <c r="W603" s="8"/>
      <c r="X603" s="8"/>
      <c r="Y603" s="8"/>
      <c r="Z603" s="8"/>
      <c r="AA603" s="8"/>
      <c r="AB603" s="8"/>
      <c r="AC603" s="8"/>
      <c r="AD603" s="8"/>
      <c r="AE603" s="8"/>
    </row>
    <row r="604" spans="1:31" x14ac:dyDescent="0.25">
      <c r="A604" s="8"/>
      <c r="B604" s="8"/>
      <c r="C604" s="8"/>
      <c r="D604" s="8"/>
      <c r="E604" s="8"/>
      <c r="F604" s="8"/>
      <c r="G604" s="8"/>
      <c r="H604" s="8"/>
      <c r="I604" s="8"/>
      <c r="J604" s="8"/>
      <c r="K604" s="8"/>
      <c r="L604" s="8"/>
      <c r="T604" s="8"/>
      <c r="U604" s="8"/>
      <c r="V604" s="8"/>
      <c r="W604" s="8"/>
      <c r="X604" s="8"/>
      <c r="Y604" s="8"/>
      <c r="Z604" s="8"/>
      <c r="AA604" s="8"/>
      <c r="AB604" s="8"/>
      <c r="AC604" s="8"/>
      <c r="AD604" s="8"/>
      <c r="AE604" s="8"/>
    </row>
    <row r="605" spans="1:31" x14ac:dyDescent="0.25">
      <c r="A605" s="8"/>
      <c r="B605" s="8"/>
      <c r="C605" s="8"/>
      <c r="D605" s="8"/>
      <c r="E605" s="8"/>
      <c r="F605" s="8"/>
      <c r="G605" s="8"/>
      <c r="H605" s="8"/>
      <c r="I605" s="8"/>
      <c r="J605" s="8"/>
      <c r="K605" s="8"/>
      <c r="L605" s="8"/>
      <c r="T605" s="8"/>
      <c r="U605" s="8"/>
      <c r="V605" s="8"/>
      <c r="W605" s="8"/>
      <c r="X605" s="8"/>
      <c r="Y605" s="8"/>
      <c r="Z605" s="8"/>
      <c r="AA605" s="8"/>
      <c r="AB605" s="8"/>
      <c r="AC605" s="8"/>
      <c r="AD605" s="8"/>
      <c r="AE605" s="8"/>
    </row>
    <row r="606" spans="1:31" x14ac:dyDescent="0.25">
      <c r="A606" s="8"/>
      <c r="B606" s="8"/>
      <c r="C606" s="8"/>
      <c r="D606" s="8"/>
      <c r="E606" s="8"/>
      <c r="F606" s="8"/>
      <c r="G606" s="8"/>
      <c r="H606" s="8"/>
      <c r="I606" s="8"/>
      <c r="J606" s="8"/>
      <c r="K606" s="8"/>
      <c r="L606" s="8"/>
      <c r="T606" s="8"/>
      <c r="U606" s="8"/>
      <c r="V606" s="8"/>
      <c r="W606" s="8"/>
      <c r="X606" s="8"/>
      <c r="Y606" s="8"/>
      <c r="Z606" s="8"/>
      <c r="AA606" s="8"/>
      <c r="AB606" s="8"/>
      <c r="AC606" s="8"/>
      <c r="AD606" s="8"/>
      <c r="AE606" s="8"/>
    </row>
    <row r="607" spans="1:31" x14ac:dyDescent="0.25">
      <c r="A607" s="8"/>
      <c r="B607" s="8"/>
      <c r="C607" s="8"/>
      <c r="D607" s="8"/>
      <c r="E607" s="8"/>
      <c r="F607" s="8"/>
      <c r="G607" s="8"/>
      <c r="H607" s="8"/>
      <c r="I607" s="8"/>
      <c r="J607" s="8"/>
      <c r="K607" s="8"/>
      <c r="L607" s="8"/>
      <c r="T607" s="8"/>
      <c r="U607" s="8"/>
      <c r="V607" s="8"/>
      <c r="W607" s="8"/>
      <c r="X607" s="8"/>
      <c r="Y607" s="8"/>
      <c r="Z607" s="8"/>
      <c r="AA607" s="8"/>
      <c r="AB607" s="8"/>
      <c r="AC607" s="8"/>
      <c r="AD607" s="8"/>
      <c r="AE607" s="8"/>
    </row>
    <row r="608" spans="1:31" x14ac:dyDescent="0.25">
      <c r="A608" s="8"/>
      <c r="B608" s="8"/>
      <c r="C608" s="8"/>
      <c r="D608" s="8"/>
      <c r="E608" s="8"/>
      <c r="F608" s="8"/>
      <c r="G608" s="8"/>
      <c r="H608" s="8"/>
      <c r="I608" s="8"/>
      <c r="J608" s="8"/>
      <c r="K608" s="8"/>
      <c r="L608" s="8"/>
      <c r="T608" s="8"/>
      <c r="U608" s="8"/>
      <c r="V608" s="8"/>
      <c r="W608" s="8"/>
      <c r="X608" s="8"/>
      <c r="Y608" s="8"/>
      <c r="Z608" s="8"/>
      <c r="AA608" s="8"/>
      <c r="AB608" s="8"/>
      <c r="AC608" s="8"/>
      <c r="AD608" s="8"/>
      <c r="AE608" s="8"/>
    </row>
    <row r="609" spans="1:31" x14ac:dyDescent="0.25">
      <c r="A609" s="8"/>
      <c r="B609" s="8"/>
      <c r="C609" s="8"/>
      <c r="D609" s="8"/>
      <c r="E609" s="8"/>
      <c r="F609" s="8"/>
      <c r="G609" s="8"/>
      <c r="H609" s="8"/>
      <c r="I609" s="8"/>
      <c r="J609" s="8"/>
      <c r="K609" s="8"/>
      <c r="L609" s="8"/>
      <c r="T609" s="8"/>
      <c r="U609" s="8"/>
      <c r="V609" s="8"/>
      <c r="W609" s="8"/>
      <c r="X609" s="8"/>
      <c r="Y609" s="8"/>
      <c r="Z609" s="8"/>
      <c r="AA609" s="8"/>
      <c r="AB609" s="8"/>
      <c r="AC609" s="8"/>
      <c r="AD609" s="8"/>
      <c r="AE609" s="8"/>
    </row>
    <row r="610" spans="1:31" x14ac:dyDescent="0.25">
      <c r="A610" s="8"/>
      <c r="B610" s="8"/>
      <c r="C610" s="8"/>
      <c r="D610" s="8"/>
      <c r="E610" s="8"/>
      <c r="F610" s="8"/>
      <c r="G610" s="8"/>
      <c r="H610" s="8"/>
      <c r="I610" s="8"/>
      <c r="J610" s="8"/>
      <c r="K610" s="8"/>
      <c r="L610" s="8"/>
      <c r="T610" s="8"/>
      <c r="U610" s="8"/>
      <c r="V610" s="8"/>
      <c r="W610" s="8"/>
      <c r="X610" s="8"/>
      <c r="Y610" s="8"/>
      <c r="Z610" s="8"/>
      <c r="AA610" s="8"/>
      <c r="AB610" s="8"/>
      <c r="AC610" s="8"/>
      <c r="AD610" s="8"/>
      <c r="AE610" s="8"/>
    </row>
    <row r="611" spans="1:31" x14ac:dyDescent="0.25">
      <c r="A611" s="8"/>
      <c r="B611" s="8"/>
      <c r="C611" s="8"/>
      <c r="D611" s="8"/>
      <c r="E611" s="8"/>
      <c r="F611" s="8"/>
      <c r="G611" s="8"/>
      <c r="H611" s="8"/>
      <c r="I611" s="8"/>
      <c r="J611" s="8"/>
      <c r="K611" s="8"/>
      <c r="L611" s="8"/>
      <c r="T611" s="8"/>
      <c r="U611" s="8"/>
      <c r="V611" s="8"/>
      <c r="W611" s="8"/>
      <c r="X611" s="8"/>
      <c r="Y611" s="8"/>
      <c r="Z611" s="8"/>
      <c r="AA611" s="8"/>
      <c r="AB611" s="8"/>
      <c r="AC611" s="8"/>
      <c r="AD611" s="8"/>
      <c r="AE611" s="8"/>
    </row>
    <row r="612" spans="1:31" x14ac:dyDescent="0.25">
      <c r="A612" s="8"/>
      <c r="B612" s="8"/>
      <c r="C612" s="8"/>
      <c r="D612" s="8"/>
      <c r="E612" s="8"/>
      <c r="F612" s="8"/>
      <c r="G612" s="8"/>
      <c r="H612" s="8"/>
      <c r="I612" s="8"/>
      <c r="J612" s="8"/>
      <c r="K612" s="8"/>
      <c r="L612" s="8"/>
      <c r="T612" s="8"/>
      <c r="U612" s="8"/>
      <c r="V612" s="8"/>
      <c r="W612" s="8"/>
      <c r="X612" s="8"/>
      <c r="Y612" s="8"/>
      <c r="Z612" s="8"/>
      <c r="AA612" s="8"/>
      <c r="AB612" s="8"/>
      <c r="AC612" s="8"/>
      <c r="AD612" s="8"/>
      <c r="AE612" s="8"/>
    </row>
    <row r="613" spans="1:31" x14ac:dyDescent="0.25">
      <c r="A613" s="8"/>
      <c r="B613" s="8"/>
      <c r="C613" s="8"/>
      <c r="D613" s="8"/>
      <c r="E613" s="8"/>
      <c r="F613" s="8"/>
      <c r="G613" s="8"/>
      <c r="H613" s="8"/>
      <c r="I613" s="8"/>
      <c r="J613" s="8"/>
      <c r="K613" s="8"/>
      <c r="L613" s="8"/>
      <c r="T613" s="8"/>
      <c r="U613" s="8"/>
      <c r="V613" s="8"/>
      <c r="W613" s="8"/>
      <c r="X613" s="8"/>
      <c r="Y613" s="8"/>
      <c r="Z613" s="8"/>
      <c r="AA613" s="8"/>
      <c r="AB613" s="8"/>
      <c r="AC613" s="8"/>
      <c r="AD613" s="8"/>
      <c r="AE613" s="8"/>
    </row>
    <row r="614" spans="1:31" x14ac:dyDescent="0.25">
      <c r="A614" s="8"/>
      <c r="B614" s="8"/>
      <c r="C614" s="8"/>
      <c r="D614" s="8"/>
      <c r="E614" s="8"/>
      <c r="F614" s="8"/>
      <c r="G614" s="8"/>
      <c r="H614" s="8"/>
      <c r="I614" s="8"/>
      <c r="J614" s="8"/>
      <c r="K614" s="8"/>
      <c r="L614" s="8"/>
      <c r="T614" s="8"/>
      <c r="U614" s="8"/>
      <c r="V614" s="8"/>
      <c r="W614" s="8"/>
      <c r="X614" s="8"/>
      <c r="Y614" s="8"/>
      <c r="Z614" s="8"/>
      <c r="AA614" s="8"/>
      <c r="AB614" s="8"/>
      <c r="AC614" s="8"/>
      <c r="AD614" s="8"/>
      <c r="AE614" s="8"/>
    </row>
    <row r="615" spans="1:31" x14ac:dyDescent="0.25">
      <c r="A615" s="8"/>
      <c r="B615" s="8"/>
      <c r="C615" s="8"/>
      <c r="D615" s="8"/>
      <c r="E615" s="8"/>
      <c r="F615" s="8"/>
      <c r="G615" s="8"/>
      <c r="H615" s="8"/>
      <c r="I615" s="8"/>
      <c r="J615" s="8"/>
      <c r="K615" s="8"/>
      <c r="L615" s="8"/>
      <c r="T615" s="8"/>
      <c r="U615" s="8"/>
      <c r="V615" s="8"/>
      <c r="W615" s="8"/>
      <c r="X615" s="8"/>
      <c r="Y615" s="8"/>
      <c r="Z615" s="8"/>
      <c r="AA615" s="8"/>
      <c r="AB615" s="8"/>
      <c r="AC615" s="8"/>
      <c r="AD615" s="8"/>
      <c r="AE615" s="8"/>
    </row>
    <row r="616" spans="1:31" x14ac:dyDescent="0.25">
      <c r="A616" s="8"/>
      <c r="B616" s="8"/>
      <c r="C616" s="8"/>
      <c r="D616" s="8"/>
      <c r="E616" s="8"/>
      <c r="F616" s="8"/>
      <c r="G616" s="8"/>
      <c r="H616" s="8"/>
      <c r="I616" s="8"/>
      <c r="J616" s="8"/>
      <c r="K616" s="8"/>
      <c r="L616" s="8"/>
      <c r="T616" s="8"/>
      <c r="U616" s="8"/>
      <c r="V616" s="8"/>
      <c r="W616" s="8"/>
      <c r="X616" s="8"/>
      <c r="Y616" s="8"/>
      <c r="Z616" s="8"/>
      <c r="AA616" s="8"/>
      <c r="AB616" s="8"/>
      <c r="AC616" s="8"/>
      <c r="AD616" s="8"/>
      <c r="AE616" s="8"/>
    </row>
    <row r="617" spans="1:31" x14ac:dyDescent="0.25">
      <c r="A617" s="8"/>
      <c r="B617" s="8"/>
      <c r="C617" s="8"/>
      <c r="D617" s="8"/>
      <c r="E617" s="8"/>
      <c r="F617" s="8"/>
      <c r="G617" s="8"/>
      <c r="H617" s="8"/>
      <c r="I617" s="8"/>
      <c r="J617" s="8"/>
      <c r="K617" s="8"/>
      <c r="L617" s="8"/>
      <c r="T617" s="8"/>
      <c r="U617" s="8"/>
      <c r="V617" s="8"/>
      <c r="W617" s="8"/>
      <c r="X617" s="8"/>
      <c r="Y617" s="8"/>
      <c r="Z617" s="8"/>
      <c r="AA617" s="8"/>
      <c r="AB617" s="8"/>
      <c r="AC617" s="8"/>
      <c r="AD617" s="8"/>
      <c r="AE617" s="8"/>
    </row>
    <row r="618" spans="1:31" x14ac:dyDescent="0.25">
      <c r="A618" s="8"/>
      <c r="B618" s="8"/>
      <c r="C618" s="8"/>
      <c r="D618" s="8"/>
      <c r="E618" s="8"/>
      <c r="F618" s="8"/>
      <c r="G618" s="8"/>
      <c r="H618" s="8"/>
      <c r="I618" s="8"/>
      <c r="J618" s="8"/>
      <c r="K618" s="8"/>
      <c r="L618" s="8"/>
      <c r="T618" s="8"/>
      <c r="U618" s="8"/>
      <c r="V618" s="8"/>
      <c r="W618" s="8"/>
      <c r="X618" s="8"/>
      <c r="Y618" s="8"/>
      <c r="Z618" s="8"/>
      <c r="AA618" s="8"/>
      <c r="AB618" s="8"/>
      <c r="AC618" s="8"/>
      <c r="AD618" s="8"/>
      <c r="AE618" s="8"/>
    </row>
    <row r="619" spans="1:31" x14ac:dyDescent="0.25">
      <c r="A619" s="8"/>
      <c r="B619" s="8"/>
      <c r="C619" s="8"/>
      <c r="D619" s="8"/>
      <c r="E619" s="8"/>
      <c r="F619" s="8"/>
      <c r="G619" s="8"/>
      <c r="H619" s="8"/>
      <c r="I619" s="8"/>
      <c r="J619" s="8"/>
      <c r="K619" s="8"/>
      <c r="L619" s="8"/>
      <c r="T619" s="8"/>
      <c r="U619" s="8"/>
      <c r="V619" s="8"/>
      <c r="W619" s="8"/>
      <c r="X619" s="8"/>
      <c r="Y619" s="8"/>
      <c r="Z619" s="8"/>
      <c r="AA619" s="8"/>
      <c r="AB619" s="8"/>
      <c r="AC619" s="8"/>
      <c r="AD619" s="8"/>
      <c r="AE619" s="8"/>
    </row>
    <row r="620" spans="1:31" x14ac:dyDescent="0.25">
      <c r="A620" s="8"/>
      <c r="B620" s="8"/>
      <c r="C620" s="8"/>
      <c r="D620" s="8"/>
      <c r="E620" s="8"/>
      <c r="F620" s="8"/>
      <c r="G620" s="8"/>
      <c r="H620" s="8"/>
      <c r="I620" s="8"/>
      <c r="J620" s="8"/>
      <c r="K620" s="8"/>
      <c r="L620" s="8"/>
      <c r="T620" s="8"/>
      <c r="U620" s="8"/>
      <c r="V620" s="8"/>
      <c r="W620" s="8"/>
      <c r="X620" s="8"/>
      <c r="Y620" s="8"/>
      <c r="Z620" s="8"/>
      <c r="AA620" s="8"/>
      <c r="AB620" s="8"/>
      <c r="AC620" s="8"/>
      <c r="AD620" s="8"/>
      <c r="AE620" s="8"/>
    </row>
    <row r="621" spans="1:31" x14ac:dyDescent="0.25">
      <c r="A621" s="8"/>
      <c r="B621" s="8"/>
      <c r="C621" s="8"/>
      <c r="D621" s="8"/>
      <c r="E621" s="8"/>
      <c r="F621" s="8"/>
      <c r="G621" s="8"/>
      <c r="H621" s="8"/>
      <c r="I621" s="8"/>
      <c r="J621" s="8"/>
      <c r="K621" s="8"/>
      <c r="L621" s="8"/>
      <c r="T621" s="8"/>
      <c r="U621" s="8"/>
      <c r="V621" s="8"/>
      <c r="W621" s="8"/>
      <c r="X621" s="8"/>
      <c r="Y621" s="8"/>
      <c r="Z621" s="8"/>
      <c r="AA621" s="8"/>
      <c r="AB621" s="8"/>
      <c r="AC621" s="8"/>
      <c r="AD621" s="8"/>
      <c r="AE621" s="8"/>
    </row>
    <row r="622" spans="1:31" x14ac:dyDescent="0.25">
      <c r="A622" s="8"/>
      <c r="B622" s="8"/>
      <c r="C622" s="8"/>
      <c r="D622" s="8"/>
      <c r="E622" s="8"/>
      <c r="F622" s="8"/>
      <c r="G622" s="8"/>
      <c r="H622" s="8"/>
      <c r="I622" s="8"/>
      <c r="J622" s="8"/>
      <c r="K622" s="8"/>
      <c r="L622" s="8"/>
      <c r="T622" s="8"/>
      <c r="U622" s="8"/>
      <c r="V622" s="8"/>
      <c r="W622" s="8"/>
      <c r="X622" s="8"/>
      <c r="Y622" s="8"/>
      <c r="Z622" s="8"/>
      <c r="AA622" s="8"/>
      <c r="AB622" s="8"/>
      <c r="AC622" s="8"/>
      <c r="AD622" s="8"/>
      <c r="AE622" s="8"/>
    </row>
    <row r="623" spans="1:31" x14ac:dyDescent="0.25">
      <c r="A623" s="8"/>
      <c r="B623" s="8"/>
      <c r="C623" s="8"/>
      <c r="D623" s="8"/>
      <c r="E623" s="8"/>
      <c r="F623" s="8"/>
      <c r="G623" s="8"/>
      <c r="H623" s="8"/>
      <c r="I623" s="8"/>
      <c r="J623" s="8"/>
      <c r="K623" s="8"/>
      <c r="L623" s="8"/>
      <c r="T623" s="8"/>
      <c r="U623" s="8"/>
      <c r="V623" s="8"/>
      <c r="W623" s="8"/>
      <c r="X623" s="8"/>
      <c r="Y623" s="8"/>
      <c r="Z623" s="8"/>
      <c r="AA623" s="8"/>
      <c r="AB623" s="8"/>
      <c r="AC623" s="8"/>
      <c r="AD623" s="8"/>
      <c r="AE623" s="8"/>
    </row>
    <row r="624" spans="1:31" x14ac:dyDescent="0.25">
      <c r="A624" s="8"/>
      <c r="B624" s="8"/>
      <c r="C624" s="8"/>
      <c r="D624" s="8"/>
      <c r="E624" s="8"/>
      <c r="F624" s="8"/>
      <c r="G624" s="8"/>
      <c r="H624" s="8"/>
      <c r="I624" s="8"/>
      <c r="J624" s="8"/>
      <c r="K624" s="8"/>
      <c r="L624" s="8"/>
      <c r="T624" s="8"/>
      <c r="U624" s="8"/>
      <c r="V624" s="8"/>
      <c r="W624" s="8"/>
      <c r="X624" s="8"/>
      <c r="Y624" s="8"/>
      <c r="Z624" s="8"/>
      <c r="AA624" s="8"/>
      <c r="AB624" s="8"/>
      <c r="AC624" s="8"/>
      <c r="AD624" s="8"/>
      <c r="AE624" s="8"/>
    </row>
    <row r="625" spans="1:31" x14ac:dyDescent="0.25">
      <c r="A625" s="8"/>
      <c r="B625" s="8"/>
      <c r="C625" s="8"/>
      <c r="D625" s="8"/>
      <c r="E625" s="8"/>
      <c r="F625" s="8"/>
      <c r="G625" s="8"/>
      <c r="H625" s="8"/>
      <c r="I625" s="8"/>
      <c r="J625" s="8"/>
      <c r="K625" s="8"/>
      <c r="L625" s="8"/>
      <c r="T625" s="8"/>
      <c r="U625" s="8"/>
      <c r="V625" s="8"/>
      <c r="W625" s="8"/>
      <c r="X625" s="8"/>
      <c r="Y625" s="8"/>
      <c r="Z625" s="8"/>
      <c r="AA625" s="8"/>
      <c r="AB625" s="8"/>
      <c r="AC625" s="8"/>
      <c r="AD625" s="8"/>
      <c r="AE625" s="8"/>
    </row>
    <row r="626" spans="1:31" x14ac:dyDescent="0.25">
      <c r="A626" s="8"/>
      <c r="B626" s="8"/>
      <c r="C626" s="8"/>
      <c r="D626" s="8"/>
      <c r="E626" s="8"/>
      <c r="F626" s="8"/>
      <c r="G626" s="8"/>
      <c r="H626" s="8"/>
      <c r="I626" s="8"/>
      <c r="J626" s="8"/>
      <c r="K626" s="8"/>
      <c r="L626" s="8"/>
      <c r="T626" s="8"/>
      <c r="U626" s="8"/>
      <c r="V626" s="8"/>
      <c r="W626" s="8"/>
      <c r="X626" s="8"/>
      <c r="Y626" s="8"/>
      <c r="Z626" s="8"/>
      <c r="AA626" s="8"/>
      <c r="AB626" s="8"/>
      <c r="AC626" s="8"/>
      <c r="AD626" s="8"/>
      <c r="AE626" s="8"/>
    </row>
    <row r="627" spans="1:31" x14ac:dyDescent="0.25">
      <c r="A627" s="8"/>
      <c r="B627" s="8"/>
      <c r="C627" s="8"/>
      <c r="D627" s="8"/>
      <c r="E627" s="8"/>
      <c r="F627" s="8"/>
      <c r="G627" s="8"/>
      <c r="H627" s="8"/>
      <c r="I627" s="8"/>
      <c r="J627" s="8"/>
      <c r="K627" s="8"/>
      <c r="L627" s="8"/>
      <c r="T627" s="8"/>
      <c r="U627" s="8"/>
      <c r="V627" s="8"/>
      <c r="W627" s="8"/>
      <c r="X627" s="8"/>
      <c r="Y627" s="8"/>
      <c r="Z627" s="8"/>
      <c r="AA627" s="8"/>
      <c r="AB627" s="8"/>
      <c r="AC627" s="8"/>
      <c r="AD627" s="8"/>
      <c r="AE627" s="8"/>
    </row>
    <row r="628" spans="1:31" x14ac:dyDescent="0.25">
      <c r="A628" s="8"/>
      <c r="B628" s="8"/>
      <c r="C628" s="8"/>
      <c r="D628" s="8"/>
      <c r="E628" s="8"/>
      <c r="F628" s="8"/>
      <c r="G628" s="8"/>
      <c r="H628" s="8"/>
      <c r="I628" s="8"/>
      <c r="J628" s="8"/>
      <c r="K628" s="8"/>
      <c r="L628" s="8"/>
      <c r="T628" s="8"/>
      <c r="U628" s="8"/>
      <c r="V628" s="8"/>
      <c r="W628" s="8"/>
      <c r="X628" s="8"/>
      <c r="Y628" s="8"/>
      <c r="Z628" s="8"/>
      <c r="AA628" s="8"/>
      <c r="AB628" s="8"/>
      <c r="AC628" s="8"/>
      <c r="AD628" s="8"/>
      <c r="AE628" s="8"/>
    </row>
    <row r="629" spans="1:31" x14ac:dyDescent="0.25">
      <c r="A629" s="8"/>
      <c r="B629" s="8"/>
      <c r="C629" s="8"/>
      <c r="D629" s="8"/>
      <c r="E629" s="8"/>
      <c r="F629" s="8"/>
      <c r="G629" s="8"/>
      <c r="H629" s="8"/>
      <c r="I629" s="8"/>
      <c r="J629" s="8"/>
      <c r="K629" s="8"/>
      <c r="L629" s="8"/>
      <c r="T629" s="8"/>
      <c r="U629" s="8"/>
      <c r="V629" s="8"/>
      <c r="W629" s="8"/>
      <c r="X629" s="8"/>
      <c r="Y629" s="8"/>
      <c r="Z629" s="8"/>
      <c r="AA629" s="8"/>
      <c r="AB629" s="8"/>
      <c r="AC629" s="8"/>
      <c r="AD629" s="8"/>
      <c r="AE629" s="8"/>
    </row>
    <row r="630" spans="1:31" x14ac:dyDescent="0.25">
      <c r="A630" s="8"/>
      <c r="B630" s="8"/>
      <c r="C630" s="8"/>
      <c r="D630" s="8"/>
      <c r="E630" s="8"/>
      <c r="F630" s="8"/>
      <c r="G630" s="8"/>
      <c r="H630" s="8"/>
      <c r="I630" s="8"/>
      <c r="J630" s="8"/>
      <c r="K630" s="8"/>
      <c r="L630" s="8"/>
      <c r="T630" s="8"/>
      <c r="U630" s="8"/>
      <c r="V630" s="8"/>
      <c r="W630" s="8"/>
      <c r="X630" s="8"/>
      <c r="Y630" s="8"/>
      <c r="Z630" s="8"/>
      <c r="AA630" s="8"/>
      <c r="AB630" s="8"/>
      <c r="AC630" s="8"/>
      <c r="AD630" s="8"/>
      <c r="AE630" s="8"/>
    </row>
    <row r="631" spans="1:31" x14ac:dyDescent="0.25">
      <c r="A631" s="8"/>
      <c r="B631" s="8"/>
      <c r="C631" s="8"/>
      <c r="D631" s="8"/>
      <c r="E631" s="8"/>
      <c r="F631" s="8"/>
      <c r="G631" s="8"/>
      <c r="H631" s="8"/>
      <c r="I631" s="8"/>
      <c r="J631" s="8"/>
      <c r="K631" s="8"/>
      <c r="L631" s="8"/>
      <c r="T631" s="8"/>
      <c r="U631" s="8"/>
      <c r="V631" s="8"/>
      <c r="W631" s="8"/>
      <c r="X631" s="8"/>
      <c r="Y631" s="8"/>
      <c r="Z631" s="8"/>
      <c r="AA631" s="8"/>
      <c r="AB631" s="8"/>
      <c r="AC631" s="8"/>
      <c r="AD631" s="8"/>
      <c r="AE631" s="8"/>
    </row>
    <row r="632" spans="1:31" x14ac:dyDescent="0.25">
      <c r="A632" s="8"/>
      <c r="B632" s="8"/>
      <c r="C632" s="8"/>
      <c r="D632" s="8"/>
      <c r="E632" s="8"/>
      <c r="F632" s="8"/>
      <c r="G632" s="8"/>
      <c r="H632" s="8"/>
      <c r="I632" s="8"/>
      <c r="J632" s="8"/>
      <c r="K632" s="8"/>
      <c r="L632" s="8"/>
      <c r="T632" s="8"/>
      <c r="U632" s="8"/>
      <c r="V632" s="8"/>
      <c r="W632" s="8"/>
      <c r="X632" s="8"/>
      <c r="Y632" s="8"/>
      <c r="Z632" s="8"/>
      <c r="AA632" s="8"/>
      <c r="AB632" s="8"/>
      <c r="AC632" s="8"/>
      <c r="AD632" s="8"/>
      <c r="AE632" s="8"/>
    </row>
    <row r="633" spans="1:31" x14ac:dyDescent="0.25">
      <c r="A633" s="8"/>
      <c r="B633" s="8"/>
      <c r="C633" s="8"/>
      <c r="D633" s="8"/>
      <c r="E633" s="8"/>
      <c r="F633" s="8"/>
      <c r="G633" s="8"/>
      <c r="H633" s="8"/>
      <c r="I633" s="8"/>
      <c r="J633" s="8"/>
      <c r="K633" s="8"/>
      <c r="L633" s="8"/>
      <c r="T633" s="8"/>
      <c r="U633" s="8"/>
      <c r="V633" s="8"/>
      <c r="W633" s="8"/>
      <c r="X633" s="8"/>
      <c r="Y633" s="8"/>
      <c r="Z633" s="8"/>
      <c r="AA633" s="8"/>
      <c r="AB633" s="8"/>
      <c r="AC633" s="8"/>
      <c r="AD633" s="8"/>
      <c r="AE633" s="8"/>
    </row>
    <row r="634" spans="1:31" x14ac:dyDescent="0.25">
      <c r="A634" s="8"/>
      <c r="B634" s="8"/>
      <c r="C634" s="8"/>
      <c r="D634" s="8"/>
      <c r="E634" s="8"/>
      <c r="F634" s="8"/>
      <c r="G634" s="8"/>
      <c r="H634" s="8"/>
      <c r="I634" s="8"/>
      <c r="J634" s="8"/>
      <c r="K634" s="8"/>
      <c r="L634" s="8"/>
      <c r="T634" s="8"/>
      <c r="U634" s="8"/>
      <c r="V634" s="8"/>
      <c r="W634" s="8"/>
      <c r="X634" s="8"/>
      <c r="Y634" s="8"/>
      <c r="Z634" s="8"/>
      <c r="AA634" s="8"/>
      <c r="AB634" s="8"/>
      <c r="AC634" s="8"/>
      <c r="AD634" s="8"/>
      <c r="AE634" s="8"/>
    </row>
    <row r="635" spans="1:31" x14ac:dyDescent="0.25">
      <c r="A635" s="8"/>
      <c r="B635" s="8"/>
      <c r="C635" s="8"/>
      <c r="D635" s="8"/>
      <c r="E635" s="8"/>
      <c r="F635" s="8"/>
      <c r="G635" s="8"/>
      <c r="H635" s="8"/>
      <c r="I635" s="8"/>
      <c r="J635" s="8"/>
      <c r="K635" s="8"/>
      <c r="L635" s="8"/>
      <c r="T635" s="8"/>
      <c r="U635" s="8"/>
      <c r="V635" s="8"/>
      <c r="W635" s="8"/>
      <c r="X635" s="8"/>
      <c r="Y635" s="8"/>
      <c r="Z635" s="8"/>
      <c r="AA635" s="8"/>
      <c r="AB635" s="8"/>
      <c r="AC635" s="8"/>
      <c r="AD635" s="8"/>
      <c r="AE635" s="8"/>
    </row>
    <row r="636" spans="1:31" x14ac:dyDescent="0.25">
      <c r="A636" s="8"/>
      <c r="B636" s="8"/>
      <c r="C636" s="8"/>
      <c r="D636" s="8"/>
      <c r="E636" s="8"/>
      <c r="F636" s="8"/>
      <c r="G636" s="8"/>
      <c r="H636" s="8"/>
      <c r="I636" s="8"/>
      <c r="J636" s="8"/>
      <c r="K636" s="8"/>
      <c r="L636" s="8"/>
      <c r="T636" s="8"/>
      <c r="U636" s="8"/>
      <c r="V636" s="8"/>
      <c r="W636" s="8"/>
      <c r="X636" s="8"/>
      <c r="Y636" s="8"/>
      <c r="Z636" s="8"/>
      <c r="AA636" s="8"/>
      <c r="AB636" s="8"/>
      <c r="AC636" s="8"/>
      <c r="AD636" s="8"/>
      <c r="AE636" s="8"/>
    </row>
    <row r="637" spans="1:31" x14ac:dyDescent="0.25">
      <c r="A637" s="8"/>
      <c r="B637" s="8"/>
      <c r="C637" s="8"/>
      <c r="D637" s="8"/>
      <c r="E637" s="8"/>
      <c r="F637" s="8"/>
      <c r="G637" s="8"/>
      <c r="H637" s="8"/>
      <c r="I637" s="8"/>
      <c r="J637" s="8"/>
      <c r="K637" s="8"/>
      <c r="L637" s="8"/>
      <c r="T637" s="8"/>
      <c r="U637" s="8"/>
      <c r="V637" s="8"/>
      <c r="W637" s="8"/>
      <c r="X637" s="8"/>
      <c r="Y637" s="8"/>
      <c r="Z637" s="8"/>
      <c r="AA637" s="8"/>
      <c r="AB637" s="8"/>
      <c r="AC637" s="8"/>
      <c r="AD637" s="8"/>
      <c r="AE637" s="8"/>
    </row>
    <row r="638" spans="1:31" x14ac:dyDescent="0.25">
      <c r="A638" s="8"/>
      <c r="B638" s="8"/>
      <c r="C638" s="8"/>
      <c r="D638" s="8"/>
      <c r="E638" s="8"/>
      <c r="F638" s="8"/>
      <c r="G638" s="8"/>
      <c r="H638" s="8"/>
      <c r="I638" s="8"/>
      <c r="J638" s="8"/>
      <c r="K638" s="8"/>
      <c r="L638" s="8"/>
      <c r="T638" s="8"/>
      <c r="U638" s="8"/>
      <c r="V638" s="8"/>
      <c r="W638" s="8"/>
      <c r="X638" s="8"/>
      <c r="Y638" s="8"/>
      <c r="Z638" s="8"/>
      <c r="AA638" s="8"/>
      <c r="AB638" s="8"/>
      <c r="AC638" s="8"/>
      <c r="AD638" s="8"/>
      <c r="AE638" s="8"/>
    </row>
    <row r="639" spans="1:31" x14ac:dyDescent="0.25">
      <c r="A639" s="8"/>
      <c r="B639" s="8"/>
      <c r="C639" s="8"/>
      <c r="D639" s="8"/>
      <c r="E639" s="8"/>
      <c r="F639" s="8"/>
      <c r="G639" s="8"/>
      <c r="H639" s="8"/>
      <c r="I639" s="8"/>
      <c r="J639" s="8"/>
      <c r="K639" s="8"/>
      <c r="L639" s="8"/>
      <c r="T639" s="8"/>
      <c r="U639" s="8"/>
      <c r="V639" s="8"/>
      <c r="W639" s="8"/>
      <c r="X639" s="8"/>
      <c r="Y639" s="8"/>
      <c r="Z639" s="8"/>
      <c r="AA639" s="8"/>
      <c r="AB639" s="8"/>
      <c r="AC639" s="8"/>
      <c r="AD639" s="8"/>
      <c r="AE639" s="8"/>
    </row>
    <row r="640" spans="1:31" x14ac:dyDescent="0.25">
      <c r="A640" s="8"/>
      <c r="B640" s="8"/>
      <c r="C640" s="8"/>
      <c r="D640" s="8"/>
      <c r="E640" s="8"/>
      <c r="F640" s="8"/>
      <c r="G640" s="8"/>
      <c r="H640" s="8"/>
      <c r="I640" s="8"/>
      <c r="J640" s="8"/>
      <c r="K640" s="8"/>
      <c r="L640" s="8"/>
      <c r="T640" s="8"/>
      <c r="U640" s="8"/>
      <c r="V640" s="8"/>
      <c r="W640" s="8"/>
      <c r="X640" s="8"/>
      <c r="Y640" s="8"/>
      <c r="Z640" s="8"/>
      <c r="AA640" s="8"/>
      <c r="AB640" s="8"/>
      <c r="AC640" s="8"/>
      <c r="AD640" s="8"/>
      <c r="AE640" s="8"/>
    </row>
    <row r="641" spans="1:31" x14ac:dyDescent="0.25">
      <c r="A641" s="8"/>
      <c r="B641" s="8"/>
      <c r="C641" s="8"/>
      <c r="D641" s="8"/>
      <c r="E641" s="8"/>
      <c r="F641" s="8"/>
      <c r="G641" s="8"/>
      <c r="H641" s="8"/>
      <c r="I641" s="8"/>
      <c r="J641" s="8"/>
      <c r="K641" s="8"/>
      <c r="L641" s="8"/>
      <c r="T641" s="8"/>
      <c r="U641" s="8"/>
      <c r="V641" s="8"/>
      <c r="W641" s="8"/>
      <c r="X641" s="8"/>
      <c r="Y641" s="8"/>
      <c r="Z641" s="8"/>
      <c r="AA641" s="8"/>
      <c r="AB641" s="8"/>
      <c r="AC641" s="8"/>
      <c r="AD641" s="8"/>
      <c r="AE641" s="8"/>
    </row>
    <row r="642" spans="1:31" x14ac:dyDescent="0.25">
      <c r="A642" s="8"/>
      <c r="B642" s="8"/>
      <c r="C642" s="8"/>
      <c r="D642" s="8"/>
      <c r="E642" s="8"/>
      <c r="F642" s="8"/>
      <c r="G642" s="8"/>
      <c r="H642" s="8"/>
      <c r="I642" s="8"/>
      <c r="J642" s="8"/>
      <c r="K642" s="8"/>
      <c r="L642" s="8"/>
      <c r="T642" s="8"/>
      <c r="U642" s="8"/>
      <c r="V642" s="8"/>
      <c r="W642" s="8"/>
      <c r="X642" s="8"/>
      <c r="Y642" s="8"/>
      <c r="Z642" s="8"/>
      <c r="AA642" s="8"/>
      <c r="AB642" s="8"/>
      <c r="AC642" s="8"/>
      <c r="AD642" s="8"/>
      <c r="AE642" s="8"/>
    </row>
    <row r="643" spans="1:31" x14ac:dyDescent="0.25">
      <c r="A643" s="8"/>
      <c r="B643" s="8"/>
      <c r="C643" s="8"/>
      <c r="D643" s="8"/>
      <c r="E643" s="8"/>
      <c r="F643" s="8"/>
      <c r="G643" s="8"/>
      <c r="H643" s="8"/>
      <c r="I643" s="8"/>
      <c r="J643" s="8"/>
      <c r="K643" s="8"/>
      <c r="L643" s="8"/>
      <c r="T643" s="8"/>
      <c r="U643" s="8"/>
      <c r="V643" s="8"/>
      <c r="W643" s="8"/>
      <c r="X643" s="8"/>
      <c r="Y643" s="8"/>
      <c r="Z643" s="8"/>
      <c r="AA643" s="8"/>
      <c r="AB643" s="8"/>
      <c r="AC643" s="8"/>
      <c r="AD643" s="8"/>
      <c r="AE643" s="8"/>
    </row>
    <row r="644" spans="1:31" x14ac:dyDescent="0.25">
      <c r="A644" s="8"/>
      <c r="B644" s="8"/>
      <c r="C644" s="8"/>
      <c r="D644" s="8"/>
      <c r="E644" s="8"/>
      <c r="F644" s="8"/>
      <c r="G644" s="8"/>
      <c r="H644" s="8"/>
      <c r="I644" s="8"/>
      <c r="J644" s="8"/>
      <c r="K644" s="8"/>
      <c r="L644" s="8"/>
      <c r="T644" s="8"/>
      <c r="U644" s="8"/>
      <c r="V644" s="8"/>
      <c r="W644" s="8"/>
      <c r="X644" s="8"/>
      <c r="Y644" s="8"/>
      <c r="Z644" s="8"/>
      <c r="AA644" s="8"/>
      <c r="AB644" s="8"/>
      <c r="AC644" s="8"/>
      <c r="AD644" s="8"/>
      <c r="AE644" s="8"/>
    </row>
    <row r="645" spans="1:31" x14ac:dyDescent="0.25">
      <c r="A645" s="8"/>
      <c r="B645" s="8"/>
      <c r="C645" s="8"/>
      <c r="D645" s="8"/>
      <c r="E645" s="8"/>
      <c r="F645" s="8"/>
      <c r="G645" s="8"/>
      <c r="H645" s="8"/>
      <c r="I645" s="8"/>
      <c r="J645" s="8"/>
      <c r="K645" s="8"/>
      <c r="L645" s="8"/>
      <c r="T645" s="8"/>
      <c r="U645" s="8"/>
      <c r="V645" s="8"/>
      <c r="W645" s="8"/>
      <c r="X645" s="8"/>
      <c r="Y645" s="8"/>
      <c r="Z645" s="8"/>
      <c r="AA645" s="8"/>
      <c r="AB645" s="8"/>
      <c r="AC645" s="8"/>
      <c r="AD645" s="8"/>
      <c r="AE645" s="8"/>
    </row>
    <row r="646" spans="1:31" x14ac:dyDescent="0.25">
      <c r="A646" s="8"/>
      <c r="B646" s="8"/>
      <c r="C646" s="8"/>
      <c r="D646" s="8"/>
      <c r="E646" s="8"/>
      <c r="F646" s="8"/>
      <c r="G646" s="8"/>
      <c r="H646" s="8"/>
      <c r="I646" s="8"/>
      <c r="J646" s="8"/>
      <c r="K646" s="8"/>
      <c r="L646" s="8"/>
      <c r="T646" s="8"/>
      <c r="U646" s="8"/>
      <c r="V646" s="8"/>
      <c r="W646" s="8"/>
      <c r="X646" s="8"/>
      <c r="Y646" s="8"/>
      <c r="Z646" s="8"/>
      <c r="AA646" s="8"/>
      <c r="AB646" s="8"/>
      <c r="AC646" s="8"/>
      <c r="AD646" s="8"/>
      <c r="AE646" s="8"/>
    </row>
    <row r="647" spans="1:31" x14ac:dyDescent="0.25">
      <c r="A647" s="8"/>
      <c r="B647" s="8"/>
      <c r="C647" s="8"/>
      <c r="D647" s="8"/>
      <c r="E647" s="8"/>
      <c r="F647" s="8"/>
      <c r="G647" s="8"/>
      <c r="H647" s="8"/>
      <c r="I647" s="8"/>
      <c r="J647" s="8"/>
      <c r="K647" s="8"/>
      <c r="L647" s="8"/>
      <c r="T647" s="8"/>
      <c r="U647" s="8"/>
      <c r="V647" s="8"/>
      <c r="W647" s="8"/>
      <c r="X647" s="8"/>
      <c r="Y647" s="8"/>
      <c r="Z647" s="8"/>
      <c r="AA647" s="8"/>
      <c r="AB647" s="8"/>
      <c r="AC647" s="8"/>
      <c r="AD647" s="8"/>
      <c r="AE647" s="8"/>
    </row>
    <row r="648" spans="1:31" x14ac:dyDescent="0.25">
      <c r="A648" s="8"/>
      <c r="B648" s="8"/>
      <c r="C648" s="8"/>
      <c r="D648" s="8"/>
      <c r="E648" s="8"/>
      <c r="F648" s="8"/>
      <c r="G648" s="8"/>
      <c r="H648" s="8"/>
      <c r="I648" s="8"/>
      <c r="J648" s="8"/>
      <c r="K648" s="8"/>
      <c r="L648" s="8"/>
      <c r="T648" s="8"/>
      <c r="U648" s="8"/>
      <c r="V648" s="8"/>
      <c r="W648" s="8"/>
      <c r="X648" s="8"/>
      <c r="Y648" s="8"/>
      <c r="Z648" s="8"/>
      <c r="AA648" s="8"/>
      <c r="AB648" s="8"/>
      <c r="AC648" s="8"/>
      <c r="AD648" s="8"/>
      <c r="AE648" s="8"/>
    </row>
    <row r="649" spans="1:31" x14ac:dyDescent="0.25">
      <c r="A649" s="8"/>
      <c r="B649" s="8"/>
      <c r="C649" s="8"/>
      <c r="D649" s="8"/>
      <c r="E649" s="8"/>
      <c r="F649" s="8"/>
      <c r="G649" s="8"/>
      <c r="H649" s="8"/>
      <c r="I649" s="8"/>
      <c r="J649" s="8"/>
      <c r="K649" s="8"/>
      <c r="L649" s="8"/>
      <c r="T649" s="8"/>
      <c r="U649" s="8"/>
      <c r="V649" s="8"/>
      <c r="W649" s="8"/>
      <c r="X649" s="8"/>
      <c r="Y649" s="8"/>
      <c r="Z649" s="8"/>
      <c r="AA649" s="8"/>
      <c r="AB649" s="8"/>
      <c r="AC649" s="8"/>
      <c r="AD649" s="8"/>
      <c r="AE649" s="8"/>
    </row>
    <row r="650" spans="1:31" x14ac:dyDescent="0.25">
      <c r="A650" s="8"/>
      <c r="B650" s="8"/>
      <c r="C650" s="8"/>
      <c r="D650" s="8"/>
      <c r="E650" s="8"/>
      <c r="F650" s="8"/>
      <c r="G650" s="8"/>
      <c r="H650" s="8"/>
      <c r="I650" s="8"/>
      <c r="J650" s="8"/>
      <c r="K650" s="8"/>
      <c r="L650" s="8"/>
      <c r="T650" s="8"/>
      <c r="U650" s="8"/>
      <c r="V650" s="8"/>
      <c r="W650" s="8"/>
      <c r="X650" s="8"/>
      <c r="Y650" s="8"/>
      <c r="Z650" s="8"/>
      <c r="AA650" s="8"/>
      <c r="AB650" s="8"/>
      <c r="AC650" s="8"/>
      <c r="AD650" s="8"/>
      <c r="AE650" s="8"/>
    </row>
    <row r="651" spans="1:31" x14ac:dyDescent="0.25">
      <c r="A651" s="8"/>
      <c r="B651" s="8"/>
      <c r="C651" s="8"/>
      <c r="D651" s="8"/>
      <c r="E651" s="8"/>
      <c r="F651" s="8"/>
      <c r="G651" s="8"/>
      <c r="H651" s="8"/>
      <c r="I651" s="8"/>
      <c r="J651" s="8"/>
      <c r="K651" s="8"/>
      <c r="L651" s="8"/>
      <c r="T651" s="8"/>
      <c r="U651" s="8"/>
      <c r="V651" s="8"/>
      <c r="W651" s="8"/>
      <c r="X651" s="8"/>
      <c r="Y651" s="8"/>
      <c r="Z651" s="8"/>
      <c r="AA651" s="8"/>
      <c r="AB651" s="8"/>
      <c r="AC651" s="8"/>
      <c r="AD651" s="8"/>
      <c r="AE651" s="8"/>
    </row>
    <row r="652" spans="1:31" x14ac:dyDescent="0.25">
      <c r="A652" s="8"/>
      <c r="B652" s="8"/>
      <c r="C652" s="8"/>
      <c r="D652" s="8"/>
      <c r="E652" s="8"/>
      <c r="F652" s="8"/>
      <c r="G652" s="8"/>
      <c r="H652" s="8"/>
      <c r="I652" s="8"/>
      <c r="J652" s="8"/>
      <c r="K652" s="8"/>
      <c r="L652" s="8"/>
      <c r="T652" s="8"/>
      <c r="U652" s="8"/>
      <c r="V652" s="8"/>
      <c r="W652" s="8"/>
      <c r="X652" s="8"/>
      <c r="Y652" s="8"/>
      <c r="Z652" s="8"/>
      <c r="AA652" s="8"/>
      <c r="AB652" s="8"/>
      <c r="AC652" s="8"/>
      <c r="AD652" s="8"/>
      <c r="AE652" s="8"/>
    </row>
    <row r="653" spans="1:31" x14ac:dyDescent="0.25">
      <c r="A653" s="8"/>
      <c r="B653" s="8"/>
      <c r="C653" s="8"/>
      <c r="D653" s="8"/>
      <c r="E653" s="8"/>
      <c r="F653" s="8"/>
      <c r="G653" s="8"/>
      <c r="H653" s="8"/>
      <c r="I653" s="8"/>
      <c r="J653" s="8"/>
      <c r="K653" s="8"/>
      <c r="L653" s="8"/>
      <c r="T653" s="8"/>
      <c r="U653" s="8"/>
      <c r="V653" s="8"/>
      <c r="W653" s="8"/>
      <c r="X653" s="8"/>
      <c r="Y653" s="8"/>
      <c r="Z653" s="8"/>
      <c r="AA653" s="8"/>
      <c r="AB653" s="8"/>
      <c r="AC653" s="8"/>
      <c r="AD653" s="8"/>
      <c r="AE653" s="8"/>
    </row>
    <row r="654" spans="1:31" x14ac:dyDescent="0.25">
      <c r="A654" s="8"/>
      <c r="B654" s="8"/>
      <c r="C654" s="8"/>
      <c r="D654" s="8"/>
      <c r="E654" s="8"/>
      <c r="F654" s="8"/>
      <c r="G654" s="8"/>
      <c r="H654" s="8"/>
      <c r="I654" s="8"/>
      <c r="J654" s="8"/>
      <c r="K654" s="8"/>
      <c r="L654" s="8"/>
      <c r="T654" s="8"/>
      <c r="U654" s="8"/>
      <c r="V654" s="8"/>
      <c r="W654" s="8"/>
      <c r="X654" s="8"/>
      <c r="Y654" s="8"/>
      <c r="Z654" s="8"/>
      <c r="AA654" s="8"/>
      <c r="AB654" s="8"/>
      <c r="AC654" s="8"/>
      <c r="AD654" s="8"/>
      <c r="AE654" s="8"/>
    </row>
    <row r="655" spans="1:31" x14ac:dyDescent="0.25">
      <c r="A655" s="8"/>
      <c r="B655" s="8"/>
      <c r="C655" s="8"/>
      <c r="D655" s="8"/>
      <c r="E655" s="8"/>
      <c r="F655" s="8"/>
      <c r="G655" s="8"/>
      <c r="H655" s="8"/>
      <c r="I655" s="8"/>
      <c r="J655" s="8"/>
      <c r="K655" s="8"/>
      <c r="L655" s="8"/>
      <c r="T655" s="8"/>
      <c r="U655" s="8"/>
      <c r="V655" s="8"/>
      <c r="W655" s="8"/>
      <c r="X655" s="8"/>
      <c r="Y655" s="8"/>
      <c r="Z655" s="8"/>
      <c r="AA655" s="8"/>
      <c r="AB655" s="8"/>
      <c r="AC655" s="8"/>
      <c r="AD655" s="8"/>
      <c r="AE655" s="8"/>
    </row>
    <row r="656" spans="1:31" x14ac:dyDescent="0.25">
      <c r="A656" s="8"/>
      <c r="B656" s="8"/>
      <c r="C656" s="8"/>
      <c r="D656" s="8"/>
      <c r="E656" s="8"/>
      <c r="F656" s="8"/>
      <c r="G656" s="8"/>
      <c r="H656" s="8"/>
      <c r="I656" s="8"/>
      <c r="J656" s="8"/>
      <c r="K656" s="8"/>
      <c r="L656" s="8"/>
      <c r="T656" s="8"/>
      <c r="U656" s="8"/>
      <c r="V656" s="8"/>
      <c r="W656" s="8"/>
      <c r="X656" s="8"/>
      <c r="Y656" s="8"/>
      <c r="Z656" s="8"/>
      <c r="AA656" s="8"/>
      <c r="AB656" s="8"/>
      <c r="AC656" s="8"/>
      <c r="AD656" s="8"/>
      <c r="AE656" s="8"/>
    </row>
    <row r="657" spans="1:31" x14ac:dyDescent="0.25">
      <c r="A657" s="8"/>
      <c r="B657" s="8"/>
      <c r="C657" s="8"/>
      <c r="D657" s="8"/>
      <c r="E657" s="8"/>
      <c r="F657" s="8"/>
      <c r="G657" s="8"/>
      <c r="H657" s="8"/>
      <c r="I657" s="8"/>
      <c r="J657" s="8"/>
      <c r="K657" s="8"/>
      <c r="L657" s="8"/>
      <c r="T657" s="8"/>
      <c r="U657" s="8"/>
      <c r="V657" s="8"/>
      <c r="W657" s="8"/>
      <c r="X657" s="8"/>
      <c r="Y657" s="8"/>
      <c r="Z657" s="8"/>
      <c r="AA657" s="8"/>
      <c r="AB657" s="8"/>
      <c r="AC657" s="8"/>
      <c r="AD657" s="8"/>
      <c r="AE657" s="8"/>
    </row>
    <row r="658" spans="1:31" x14ac:dyDescent="0.25">
      <c r="A658" s="8"/>
      <c r="B658" s="8"/>
      <c r="C658" s="8"/>
      <c r="D658" s="8"/>
      <c r="E658" s="8"/>
      <c r="F658" s="8"/>
      <c r="G658" s="8"/>
      <c r="H658" s="8"/>
      <c r="I658" s="8"/>
      <c r="J658" s="8"/>
      <c r="K658" s="8"/>
      <c r="L658" s="8"/>
      <c r="T658" s="8"/>
      <c r="U658" s="8"/>
      <c r="V658" s="8"/>
      <c r="W658" s="8"/>
      <c r="X658" s="8"/>
      <c r="Y658" s="8"/>
      <c r="Z658" s="8"/>
      <c r="AA658" s="8"/>
      <c r="AB658" s="8"/>
      <c r="AC658" s="8"/>
      <c r="AD658" s="8"/>
      <c r="AE658" s="8"/>
    </row>
    <row r="659" spans="1:31" x14ac:dyDescent="0.25">
      <c r="A659" s="8"/>
      <c r="B659" s="8"/>
      <c r="C659" s="8"/>
      <c r="D659" s="8"/>
      <c r="E659" s="8"/>
      <c r="F659" s="8"/>
      <c r="G659" s="8"/>
      <c r="H659" s="8"/>
      <c r="I659" s="8"/>
      <c r="J659" s="8"/>
      <c r="K659" s="8"/>
      <c r="L659" s="8"/>
      <c r="T659" s="8"/>
      <c r="U659" s="8"/>
      <c r="V659" s="8"/>
      <c r="W659" s="8"/>
      <c r="X659" s="8"/>
      <c r="Y659" s="8"/>
      <c r="Z659" s="8"/>
      <c r="AA659" s="8"/>
      <c r="AB659" s="8"/>
      <c r="AC659" s="8"/>
      <c r="AD659" s="8"/>
      <c r="AE659" s="8"/>
    </row>
    <row r="660" spans="1:31" x14ac:dyDescent="0.25">
      <c r="A660" s="8"/>
      <c r="B660" s="8"/>
      <c r="C660" s="8"/>
      <c r="D660" s="8"/>
      <c r="E660" s="8"/>
      <c r="F660" s="8"/>
      <c r="G660" s="8"/>
      <c r="H660" s="8"/>
      <c r="I660" s="8"/>
      <c r="J660" s="8"/>
      <c r="K660" s="8"/>
      <c r="L660" s="8"/>
      <c r="T660" s="8"/>
      <c r="U660" s="8"/>
      <c r="V660" s="8"/>
      <c r="W660" s="8"/>
      <c r="X660" s="8"/>
      <c r="Y660" s="8"/>
      <c r="Z660" s="8"/>
      <c r="AA660" s="8"/>
      <c r="AB660" s="8"/>
      <c r="AC660" s="8"/>
      <c r="AD660" s="8"/>
      <c r="AE660" s="8"/>
    </row>
    <row r="661" spans="1:31" x14ac:dyDescent="0.25">
      <c r="A661" s="8"/>
      <c r="B661" s="8"/>
      <c r="C661" s="8"/>
      <c r="D661" s="8"/>
      <c r="E661" s="8"/>
      <c r="F661" s="8"/>
      <c r="G661" s="8"/>
      <c r="H661" s="8"/>
      <c r="I661" s="8"/>
      <c r="J661" s="8"/>
      <c r="K661" s="8"/>
      <c r="L661" s="8"/>
      <c r="T661" s="8"/>
      <c r="U661" s="8"/>
      <c r="V661" s="8"/>
      <c r="W661" s="8"/>
      <c r="X661" s="8"/>
      <c r="Y661" s="8"/>
      <c r="Z661" s="8"/>
      <c r="AA661" s="8"/>
      <c r="AB661" s="8"/>
      <c r="AC661" s="8"/>
      <c r="AD661" s="8"/>
      <c r="AE661" s="8"/>
    </row>
    <row r="662" spans="1:31" x14ac:dyDescent="0.25">
      <c r="A662" s="8"/>
      <c r="B662" s="8"/>
      <c r="C662" s="8"/>
      <c r="D662" s="8"/>
      <c r="E662" s="8"/>
      <c r="F662" s="8"/>
      <c r="G662" s="8"/>
      <c r="H662" s="8"/>
      <c r="I662" s="8"/>
      <c r="J662" s="8"/>
      <c r="K662" s="8"/>
      <c r="L662" s="8"/>
      <c r="T662" s="8"/>
      <c r="U662" s="8"/>
      <c r="V662" s="8"/>
      <c r="W662" s="8"/>
      <c r="X662" s="8"/>
      <c r="Y662" s="8"/>
      <c r="Z662" s="8"/>
      <c r="AA662" s="8"/>
      <c r="AB662" s="8"/>
      <c r="AC662" s="8"/>
      <c r="AD662" s="8"/>
      <c r="AE662" s="8"/>
    </row>
    <row r="663" spans="1:31" x14ac:dyDescent="0.25">
      <c r="A663" s="8"/>
      <c r="B663" s="8"/>
      <c r="C663" s="8"/>
      <c r="D663" s="8"/>
      <c r="E663" s="8"/>
      <c r="F663" s="8"/>
      <c r="G663" s="8"/>
      <c r="H663" s="8"/>
      <c r="I663" s="8"/>
      <c r="J663" s="8"/>
      <c r="K663" s="8"/>
      <c r="L663" s="8"/>
      <c r="T663" s="8"/>
      <c r="U663" s="8"/>
      <c r="V663" s="8"/>
      <c r="W663" s="8"/>
      <c r="X663" s="8"/>
      <c r="Y663" s="8"/>
      <c r="Z663" s="8"/>
      <c r="AA663" s="8"/>
      <c r="AB663" s="8"/>
      <c r="AC663" s="8"/>
      <c r="AD663" s="8"/>
      <c r="AE663" s="8"/>
    </row>
    <row r="664" spans="1:31" x14ac:dyDescent="0.25">
      <c r="A664" s="8"/>
      <c r="B664" s="8"/>
      <c r="C664" s="8"/>
      <c r="D664" s="8"/>
      <c r="E664" s="8"/>
      <c r="F664" s="8"/>
      <c r="G664" s="8"/>
      <c r="H664" s="8"/>
      <c r="I664" s="8"/>
      <c r="J664" s="8"/>
      <c r="K664" s="8"/>
      <c r="L664" s="8"/>
      <c r="T664" s="8"/>
      <c r="U664" s="8"/>
      <c r="V664" s="8"/>
      <c r="W664" s="8"/>
      <c r="X664" s="8"/>
      <c r="Y664" s="8"/>
      <c r="Z664" s="8"/>
      <c r="AA664" s="8"/>
      <c r="AB664" s="8"/>
      <c r="AC664" s="8"/>
      <c r="AD664" s="8"/>
      <c r="AE664" s="8"/>
    </row>
    <row r="665" spans="1:31" x14ac:dyDescent="0.25">
      <c r="A665" s="8"/>
      <c r="B665" s="8"/>
      <c r="C665" s="8"/>
      <c r="D665" s="8"/>
      <c r="E665" s="8"/>
      <c r="F665" s="8"/>
      <c r="G665" s="8"/>
      <c r="H665" s="8"/>
      <c r="I665" s="8"/>
      <c r="J665" s="8"/>
      <c r="K665" s="8"/>
      <c r="L665" s="8"/>
      <c r="T665" s="8"/>
      <c r="U665" s="8"/>
      <c r="V665" s="8"/>
      <c r="W665" s="8"/>
      <c r="X665" s="8"/>
      <c r="Y665" s="8"/>
      <c r="Z665" s="8"/>
      <c r="AA665" s="8"/>
      <c r="AB665" s="8"/>
      <c r="AC665" s="8"/>
      <c r="AD665" s="8"/>
      <c r="AE665" s="8"/>
    </row>
    <row r="666" spans="1:31" x14ac:dyDescent="0.25">
      <c r="A666" s="8"/>
      <c r="B666" s="8"/>
      <c r="C666" s="8"/>
      <c r="D666" s="8"/>
      <c r="E666" s="8"/>
      <c r="F666" s="8"/>
      <c r="G666" s="8"/>
      <c r="H666" s="8"/>
      <c r="I666" s="8"/>
      <c r="J666" s="8"/>
      <c r="K666" s="8"/>
      <c r="L666" s="8"/>
      <c r="T666" s="8"/>
      <c r="U666" s="8"/>
      <c r="V666" s="8"/>
      <c r="W666" s="8"/>
      <c r="X666" s="8"/>
      <c r="Y666" s="8"/>
      <c r="Z666" s="8"/>
      <c r="AA666" s="8"/>
      <c r="AB666" s="8"/>
      <c r="AC666" s="8"/>
      <c r="AD666" s="8"/>
      <c r="AE666" s="8"/>
    </row>
    <row r="667" spans="1:31" x14ac:dyDescent="0.25">
      <c r="A667" s="8"/>
      <c r="B667" s="8"/>
      <c r="C667" s="8"/>
      <c r="D667" s="8"/>
      <c r="E667" s="8"/>
      <c r="F667" s="8"/>
      <c r="G667" s="8"/>
      <c r="H667" s="8"/>
      <c r="I667" s="8"/>
      <c r="J667" s="8"/>
      <c r="K667" s="8"/>
      <c r="L667" s="8"/>
      <c r="T667" s="8"/>
      <c r="U667" s="8"/>
      <c r="V667" s="8"/>
      <c r="W667" s="8"/>
      <c r="X667" s="8"/>
      <c r="Y667" s="8"/>
      <c r="Z667" s="8"/>
      <c r="AA667" s="8"/>
      <c r="AB667" s="8"/>
      <c r="AC667" s="8"/>
      <c r="AD667" s="8"/>
      <c r="AE667" s="8"/>
    </row>
    <row r="668" spans="1:31" x14ac:dyDescent="0.25">
      <c r="A668" s="8"/>
      <c r="B668" s="8"/>
      <c r="C668" s="8"/>
      <c r="D668" s="8"/>
      <c r="E668" s="8"/>
      <c r="F668" s="8"/>
      <c r="G668" s="8"/>
      <c r="H668" s="8"/>
      <c r="I668" s="8"/>
      <c r="J668" s="8"/>
      <c r="K668" s="8"/>
      <c r="L668" s="8"/>
      <c r="T668" s="8"/>
      <c r="U668" s="8"/>
      <c r="V668" s="8"/>
      <c r="W668" s="8"/>
      <c r="X668" s="8"/>
      <c r="Y668" s="8"/>
      <c r="Z668" s="8"/>
      <c r="AA668" s="8"/>
      <c r="AB668" s="8"/>
      <c r="AC668" s="8"/>
      <c r="AD668" s="8"/>
      <c r="AE668" s="8"/>
    </row>
    <row r="669" spans="1:31" x14ac:dyDescent="0.25">
      <c r="A669" s="8"/>
      <c r="B669" s="8"/>
      <c r="C669" s="8"/>
      <c r="D669" s="8"/>
      <c r="E669" s="8"/>
      <c r="F669" s="8"/>
      <c r="G669" s="8"/>
      <c r="H669" s="8"/>
      <c r="I669" s="8"/>
      <c r="J669" s="8"/>
      <c r="K669" s="8"/>
      <c r="L669" s="8"/>
      <c r="T669" s="8"/>
      <c r="U669" s="8"/>
      <c r="V669" s="8"/>
      <c r="W669" s="8"/>
      <c r="X669" s="8"/>
      <c r="Y669" s="8"/>
      <c r="Z669" s="8"/>
      <c r="AA669" s="8"/>
      <c r="AB669" s="8"/>
      <c r="AC669" s="8"/>
      <c r="AD669" s="8"/>
      <c r="AE669" s="8"/>
    </row>
    <row r="670" spans="1:31" x14ac:dyDescent="0.25">
      <c r="A670" s="8"/>
      <c r="B670" s="8"/>
      <c r="C670" s="8"/>
      <c r="D670" s="8"/>
      <c r="E670" s="8"/>
      <c r="F670" s="8"/>
      <c r="G670" s="8"/>
      <c r="H670" s="8"/>
      <c r="I670" s="8"/>
      <c r="J670" s="8"/>
      <c r="K670" s="8"/>
      <c r="L670" s="8"/>
      <c r="T670" s="8"/>
      <c r="U670" s="8"/>
      <c r="V670" s="8"/>
      <c r="W670" s="8"/>
      <c r="X670" s="8"/>
      <c r="Y670" s="8"/>
      <c r="Z670" s="8"/>
      <c r="AA670" s="8"/>
      <c r="AB670" s="8"/>
      <c r="AC670" s="8"/>
      <c r="AD670" s="8"/>
      <c r="AE670" s="8"/>
    </row>
    <row r="671" spans="1:31" x14ac:dyDescent="0.25">
      <c r="A671" s="8"/>
      <c r="B671" s="8"/>
      <c r="C671" s="8"/>
      <c r="D671" s="8"/>
      <c r="E671" s="8"/>
      <c r="F671" s="8"/>
      <c r="G671" s="8"/>
      <c r="H671" s="8"/>
      <c r="I671" s="8"/>
      <c r="J671" s="8"/>
      <c r="K671" s="8"/>
      <c r="L671" s="8"/>
      <c r="T671" s="8"/>
      <c r="U671" s="8"/>
      <c r="V671" s="8"/>
      <c r="W671" s="8"/>
      <c r="X671" s="8"/>
      <c r="Y671" s="8"/>
      <c r="Z671" s="8"/>
      <c r="AA671" s="8"/>
      <c r="AB671" s="8"/>
      <c r="AC671" s="8"/>
      <c r="AD671" s="8"/>
      <c r="AE671" s="8"/>
    </row>
    <row r="672" spans="1:31" x14ac:dyDescent="0.25">
      <c r="A672" s="8"/>
      <c r="B672" s="8"/>
      <c r="C672" s="8"/>
      <c r="D672" s="8"/>
      <c r="E672" s="8"/>
      <c r="F672" s="8"/>
      <c r="G672" s="8"/>
      <c r="H672" s="8"/>
      <c r="I672" s="8"/>
      <c r="J672" s="8"/>
      <c r="K672" s="8"/>
      <c r="L672" s="8"/>
      <c r="T672" s="8"/>
      <c r="U672" s="8"/>
      <c r="V672" s="8"/>
      <c r="W672" s="8"/>
      <c r="X672" s="8"/>
      <c r="Y672" s="8"/>
      <c r="Z672" s="8"/>
      <c r="AA672" s="8"/>
      <c r="AB672" s="8"/>
      <c r="AC672" s="8"/>
      <c r="AD672" s="8"/>
      <c r="AE672" s="8"/>
    </row>
    <row r="673" spans="1:31" x14ac:dyDescent="0.25">
      <c r="A673" s="8"/>
      <c r="B673" s="8"/>
      <c r="C673" s="8"/>
      <c r="D673" s="8"/>
      <c r="E673" s="8"/>
      <c r="F673" s="8"/>
      <c r="G673" s="8"/>
      <c r="H673" s="8"/>
      <c r="I673" s="8"/>
      <c r="J673" s="8"/>
      <c r="K673" s="8"/>
      <c r="L673" s="8"/>
      <c r="T673" s="8"/>
      <c r="U673" s="8"/>
      <c r="V673" s="8"/>
      <c r="W673" s="8"/>
      <c r="X673" s="8"/>
      <c r="Y673" s="8"/>
      <c r="Z673" s="8"/>
      <c r="AA673" s="8"/>
      <c r="AB673" s="8"/>
      <c r="AC673" s="8"/>
      <c r="AD673" s="8"/>
      <c r="AE673" s="8"/>
    </row>
    <row r="674" spans="1:31" x14ac:dyDescent="0.25">
      <c r="A674" s="8"/>
      <c r="B674" s="8"/>
      <c r="C674" s="8"/>
      <c r="D674" s="8"/>
      <c r="E674" s="8"/>
      <c r="F674" s="8"/>
      <c r="G674" s="8"/>
      <c r="H674" s="8"/>
      <c r="I674" s="8"/>
      <c r="J674" s="8"/>
      <c r="K674" s="8"/>
      <c r="L674" s="8"/>
      <c r="T674" s="8"/>
      <c r="U674" s="8"/>
      <c r="V674" s="8"/>
      <c r="W674" s="8"/>
      <c r="X674" s="8"/>
      <c r="Y674" s="8"/>
      <c r="Z674" s="8"/>
      <c r="AA674" s="8"/>
      <c r="AB674" s="8"/>
      <c r="AC674" s="8"/>
      <c r="AD674" s="8"/>
      <c r="AE674" s="8"/>
    </row>
    <row r="675" spans="1:31" x14ac:dyDescent="0.25">
      <c r="A675" s="8"/>
      <c r="B675" s="8"/>
      <c r="C675" s="8"/>
      <c r="D675" s="8"/>
      <c r="E675" s="8"/>
      <c r="F675" s="8"/>
      <c r="G675" s="8"/>
      <c r="H675" s="8"/>
      <c r="I675" s="8"/>
      <c r="J675" s="8"/>
      <c r="K675" s="8"/>
      <c r="L675" s="8"/>
      <c r="T675" s="8"/>
      <c r="U675" s="8"/>
      <c r="V675" s="8"/>
      <c r="W675" s="8"/>
      <c r="X675" s="8"/>
      <c r="Y675" s="8"/>
      <c r="Z675" s="8"/>
      <c r="AA675" s="8"/>
      <c r="AB675" s="8"/>
      <c r="AC675" s="8"/>
      <c r="AD675" s="8"/>
      <c r="AE675" s="8"/>
    </row>
    <row r="676" spans="1:31" x14ac:dyDescent="0.25">
      <c r="A676" s="8"/>
      <c r="B676" s="8"/>
      <c r="C676" s="8"/>
      <c r="D676" s="8"/>
      <c r="E676" s="8"/>
      <c r="F676" s="8"/>
      <c r="G676" s="8"/>
      <c r="H676" s="8"/>
      <c r="I676" s="8"/>
      <c r="J676" s="8"/>
      <c r="K676" s="8"/>
      <c r="L676" s="8"/>
      <c r="T676" s="8"/>
      <c r="U676" s="8"/>
      <c r="V676" s="8"/>
      <c r="W676" s="8"/>
      <c r="X676" s="8"/>
      <c r="Y676" s="8"/>
      <c r="Z676" s="8"/>
      <c r="AA676" s="8"/>
      <c r="AB676" s="8"/>
      <c r="AC676" s="8"/>
      <c r="AD676" s="8"/>
      <c r="AE676" s="8"/>
    </row>
    <row r="677" spans="1:31" x14ac:dyDescent="0.25">
      <c r="A677" s="8"/>
      <c r="B677" s="8"/>
      <c r="C677" s="8"/>
      <c r="D677" s="8"/>
      <c r="E677" s="8"/>
      <c r="F677" s="8"/>
      <c r="G677" s="8"/>
      <c r="H677" s="8"/>
      <c r="I677" s="8"/>
      <c r="J677" s="8"/>
      <c r="K677" s="8"/>
      <c r="L677" s="8"/>
      <c r="T677" s="8"/>
      <c r="U677" s="8"/>
      <c r="V677" s="8"/>
      <c r="W677" s="8"/>
      <c r="X677" s="8"/>
      <c r="Y677" s="8"/>
      <c r="Z677" s="8"/>
      <c r="AA677" s="8"/>
      <c r="AB677" s="8"/>
      <c r="AC677" s="8"/>
      <c r="AD677" s="8"/>
      <c r="AE677" s="8"/>
    </row>
    <row r="678" spans="1:31" x14ac:dyDescent="0.25">
      <c r="A678" s="8"/>
      <c r="B678" s="8"/>
      <c r="C678" s="8"/>
      <c r="D678" s="8"/>
      <c r="E678" s="8"/>
      <c r="F678" s="8"/>
      <c r="G678" s="8"/>
      <c r="H678" s="8"/>
      <c r="I678" s="8"/>
      <c r="J678" s="8"/>
      <c r="K678" s="8"/>
      <c r="L678" s="8"/>
      <c r="T678" s="8"/>
      <c r="U678" s="8"/>
      <c r="V678" s="8"/>
      <c r="W678" s="8"/>
      <c r="X678" s="8"/>
      <c r="Y678" s="8"/>
      <c r="Z678" s="8"/>
      <c r="AA678" s="8"/>
      <c r="AB678" s="8"/>
      <c r="AC678" s="8"/>
      <c r="AD678" s="8"/>
      <c r="AE678" s="8"/>
    </row>
    <row r="679" spans="1:31" x14ac:dyDescent="0.25">
      <c r="A679" s="8"/>
      <c r="B679" s="8"/>
      <c r="C679" s="8"/>
      <c r="D679" s="8"/>
      <c r="E679" s="8"/>
      <c r="F679" s="8"/>
      <c r="G679" s="8"/>
      <c r="H679" s="8"/>
      <c r="I679" s="8"/>
      <c r="J679" s="8"/>
      <c r="K679" s="8"/>
      <c r="L679" s="8"/>
      <c r="T679" s="8"/>
      <c r="U679" s="8"/>
      <c r="V679" s="8"/>
      <c r="W679" s="8"/>
      <c r="X679" s="8"/>
      <c r="Y679" s="8"/>
      <c r="Z679" s="8"/>
      <c r="AA679" s="8"/>
      <c r="AB679" s="8"/>
      <c r="AC679" s="8"/>
      <c r="AD679" s="8"/>
      <c r="AE679" s="8"/>
    </row>
    <row r="680" spans="1:31" x14ac:dyDescent="0.25">
      <c r="A680" s="8"/>
      <c r="B680" s="8"/>
      <c r="C680" s="8"/>
      <c r="D680" s="8"/>
      <c r="E680" s="8"/>
      <c r="F680" s="8"/>
      <c r="G680" s="8"/>
      <c r="H680" s="8"/>
      <c r="I680" s="8"/>
      <c r="J680" s="8"/>
      <c r="K680" s="8"/>
      <c r="L680" s="8"/>
      <c r="T680" s="8"/>
      <c r="U680" s="8"/>
      <c r="V680" s="8"/>
      <c r="W680" s="8"/>
      <c r="X680" s="8"/>
      <c r="Y680" s="8"/>
      <c r="Z680" s="8"/>
      <c r="AA680" s="8"/>
      <c r="AB680" s="8"/>
      <c r="AC680" s="8"/>
      <c r="AD680" s="8"/>
      <c r="AE680" s="8"/>
    </row>
    <row r="681" spans="1:31" x14ac:dyDescent="0.25">
      <c r="A681" s="8"/>
      <c r="B681" s="8"/>
      <c r="C681" s="8"/>
      <c r="D681" s="8"/>
      <c r="E681" s="8"/>
      <c r="F681" s="8"/>
      <c r="G681" s="8"/>
      <c r="H681" s="8"/>
      <c r="I681" s="8"/>
      <c r="J681" s="8"/>
      <c r="K681" s="8"/>
      <c r="L681" s="8"/>
      <c r="T681" s="8"/>
      <c r="U681" s="8"/>
      <c r="V681" s="8"/>
      <c r="W681" s="8"/>
      <c r="X681" s="8"/>
      <c r="Y681" s="8"/>
      <c r="Z681" s="8"/>
      <c r="AA681" s="8"/>
      <c r="AB681" s="8"/>
      <c r="AC681" s="8"/>
      <c r="AD681" s="8"/>
      <c r="AE681" s="8"/>
    </row>
    <row r="682" spans="1:31" x14ac:dyDescent="0.25">
      <c r="A682" s="8"/>
      <c r="B682" s="8"/>
      <c r="C682" s="8"/>
      <c r="D682" s="8"/>
      <c r="E682" s="8"/>
      <c r="F682" s="8"/>
      <c r="G682" s="8"/>
      <c r="H682" s="8"/>
      <c r="I682" s="8"/>
      <c r="J682" s="8"/>
      <c r="K682" s="8"/>
      <c r="L682" s="8"/>
      <c r="T682" s="8"/>
      <c r="U682" s="8"/>
      <c r="V682" s="8"/>
      <c r="W682" s="8"/>
      <c r="X682" s="8"/>
      <c r="Y682" s="8"/>
      <c r="Z682" s="8"/>
      <c r="AA682" s="8"/>
      <c r="AB682" s="8"/>
      <c r="AC682" s="8"/>
      <c r="AD682" s="8"/>
      <c r="AE682" s="8"/>
    </row>
    <row r="683" spans="1:31" x14ac:dyDescent="0.25">
      <c r="A683" s="8"/>
      <c r="B683" s="8"/>
      <c r="C683" s="8"/>
      <c r="D683" s="8"/>
      <c r="E683" s="8"/>
      <c r="F683" s="8"/>
      <c r="G683" s="8"/>
      <c r="H683" s="8"/>
      <c r="I683" s="8"/>
      <c r="J683" s="8"/>
      <c r="K683" s="8"/>
      <c r="L683" s="8"/>
      <c r="T683" s="8"/>
      <c r="U683" s="8"/>
      <c r="V683" s="8"/>
      <c r="W683" s="8"/>
      <c r="X683" s="8"/>
      <c r="Y683" s="8"/>
      <c r="Z683" s="8"/>
      <c r="AA683" s="8"/>
      <c r="AB683" s="8"/>
      <c r="AC683" s="8"/>
      <c r="AD683" s="8"/>
      <c r="AE683" s="8"/>
    </row>
    <row r="684" spans="1:31" x14ac:dyDescent="0.25">
      <c r="A684" s="8"/>
      <c r="B684" s="8"/>
      <c r="C684" s="8"/>
      <c r="D684" s="8"/>
      <c r="E684" s="8"/>
      <c r="F684" s="8"/>
      <c r="G684" s="8"/>
      <c r="H684" s="8"/>
      <c r="I684" s="8"/>
      <c r="J684" s="8"/>
      <c r="K684" s="8"/>
      <c r="L684" s="8"/>
      <c r="T684" s="8"/>
      <c r="U684" s="8"/>
      <c r="V684" s="8"/>
      <c r="W684" s="8"/>
      <c r="X684" s="8"/>
      <c r="Y684" s="8"/>
      <c r="Z684" s="8"/>
      <c r="AA684" s="8"/>
      <c r="AB684" s="8"/>
      <c r="AC684" s="8"/>
      <c r="AD684" s="8"/>
      <c r="AE684" s="8"/>
    </row>
    <row r="685" spans="1:31" x14ac:dyDescent="0.25">
      <c r="A685" s="8"/>
      <c r="B685" s="8"/>
      <c r="C685" s="8"/>
      <c r="D685" s="8"/>
      <c r="E685" s="8"/>
      <c r="F685" s="8"/>
      <c r="G685" s="8"/>
      <c r="H685" s="8"/>
      <c r="I685" s="8"/>
      <c r="J685" s="8"/>
      <c r="K685" s="8"/>
      <c r="L685" s="8"/>
      <c r="T685" s="8"/>
      <c r="U685" s="8"/>
      <c r="V685" s="8"/>
      <c r="W685" s="8"/>
      <c r="X685" s="8"/>
      <c r="Y685" s="8"/>
      <c r="Z685" s="8"/>
      <c r="AA685" s="8"/>
      <c r="AB685" s="8"/>
      <c r="AC685" s="8"/>
      <c r="AD685" s="8"/>
      <c r="AE685" s="8"/>
    </row>
    <row r="686" spans="1:31" x14ac:dyDescent="0.25">
      <c r="A686" s="8"/>
      <c r="B686" s="8"/>
      <c r="C686" s="8"/>
      <c r="D686" s="8"/>
      <c r="E686" s="8"/>
      <c r="F686" s="8"/>
      <c r="G686" s="8"/>
      <c r="H686" s="8"/>
      <c r="I686" s="8"/>
      <c r="J686" s="8"/>
      <c r="K686" s="8"/>
      <c r="L686" s="8"/>
      <c r="T686" s="8"/>
      <c r="U686" s="8"/>
      <c r="V686" s="8"/>
      <c r="W686" s="8"/>
      <c r="X686" s="8"/>
      <c r="Y686" s="8"/>
      <c r="Z686" s="8"/>
      <c r="AA686" s="8"/>
      <c r="AB686" s="8"/>
      <c r="AC686" s="8"/>
      <c r="AD686" s="8"/>
      <c r="AE686" s="8"/>
    </row>
    <row r="687" spans="1:31" x14ac:dyDescent="0.25">
      <c r="A687" s="8"/>
      <c r="B687" s="8"/>
      <c r="C687" s="8"/>
      <c r="D687" s="8"/>
      <c r="E687" s="8"/>
      <c r="F687" s="8"/>
      <c r="G687" s="8"/>
      <c r="H687" s="8"/>
      <c r="I687" s="8"/>
      <c r="J687" s="8"/>
      <c r="K687" s="8"/>
      <c r="L687" s="8"/>
      <c r="T687" s="8"/>
      <c r="U687" s="8"/>
      <c r="V687" s="8"/>
      <c r="W687" s="8"/>
      <c r="X687" s="8"/>
      <c r="Y687" s="8"/>
      <c r="Z687" s="8"/>
      <c r="AA687" s="8"/>
      <c r="AB687" s="8"/>
      <c r="AC687" s="8"/>
      <c r="AD687" s="8"/>
      <c r="AE687" s="8"/>
    </row>
    <row r="688" spans="1:31" x14ac:dyDescent="0.25">
      <c r="A688" s="8"/>
      <c r="B688" s="8"/>
      <c r="C688" s="8"/>
      <c r="D688" s="8"/>
      <c r="E688" s="8"/>
      <c r="F688" s="8"/>
      <c r="G688" s="8"/>
      <c r="H688" s="8"/>
      <c r="I688" s="8"/>
      <c r="J688" s="8"/>
      <c r="K688" s="8"/>
      <c r="L688" s="8"/>
      <c r="T688" s="8"/>
      <c r="U688" s="8"/>
      <c r="V688" s="8"/>
      <c r="W688" s="8"/>
      <c r="X688" s="8"/>
      <c r="Y688" s="8"/>
      <c r="Z688" s="8"/>
      <c r="AA688" s="8"/>
      <c r="AB688" s="8"/>
      <c r="AC688" s="8"/>
      <c r="AD688" s="8"/>
      <c r="AE688" s="8"/>
    </row>
    <row r="689" spans="1:31" x14ac:dyDescent="0.25">
      <c r="A689" s="8"/>
      <c r="B689" s="8"/>
      <c r="C689" s="8"/>
      <c r="D689" s="8"/>
      <c r="E689" s="8"/>
      <c r="F689" s="8"/>
      <c r="G689" s="8"/>
      <c r="H689" s="8"/>
      <c r="I689" s="8"/>
      <c r="J689" s="8"/>
      <c r="K689" s="8"/>
      <c r="L689" s="8"/>
      <c r="T689" s="8"/>
      <c r="U689" s="8"/>
      <c r="V689" s="8"/>
      <c r="W689" s="8"/>
      <c r="X689" s="8"/>
      <c r="Y689" s="8"/>
      <c r="Z689" s="8"/>
      <c r="AA689" s="8"/>
      <c r="AB689" s="8"/>
      <c r="AC689" s="8"/>
      <c r="AD689" s="8"/>
      <c r="AE689" s="8"/>
    </row>
    <row r="690" spans="1:31" x14ac:dyDescent="0.25">
      <c r="A690" s="8"/>
      <c r="B690" s="8"/>
      <c r="C690" s="8"/>
      <c r="D690" s="8"/>
      <c r="E690" s="8"/>
      <c r="F690" s="8"/>
      <c r="G690" s="8"/>
      <c r="H690" s="8"/>
      <c r="I690" s="8"/>
      <c r="J690" s="8"/>
      <c r="K690" s="8"/>
      <c r="L690" s="8"/>
      <c r="T690" s="8"/>
      <c r="U690" s="8"/>
      <c r="V690" s="8"/>
      <c r="W690" s="8"/>
      <c r="X690" s="8"/>
      <c r="Y690" s="8"/>
      <c r="Z690" s="8"/>
      <c r="AA690" s="8"/>
      <c r="AB690" s="8"/>
      <c r="AC690" s="8"/>
      <c r="AD690" s="8"/>
      <c r="AE690" s="8"/>
    </row>
    <row r="691" spans="1:31" x14ac:dyDescent="0.25">
      <c r="A691" s="8"/>
      <c r="B691" s="8"/>
      <c r="C691" s="8"/>
      <c r="D691" s="8"/>
      <c r="E691" s="8"/>
      <c r="F691" s="8"/>
      <c r="G691" s="8"/>
      <c r="H691" s="8"/>
      <c r="I691" s="8"/>
      <c r="J691" s="8"/>
      <c r="K691" s="8"/>
      <c r="L691" s="8"/>
      <c r="T691" s="8"/>
      <c r="U691" s="8"/>
      <c r="V691" s="8"/>
      <c r="W691" s="8"/>
      <c r="X691" s="8"/>
      <c r="Y691" s="8"/>
      <c r="Z691" s="8"/>
      <c r="AA691" s="8"/>
      <c r="AB691" s="8"/>
      <c r="AC691" s="8"/>
      <c r="AD691" s="8"/>
      <c r="AE691" s="8"/>
    </row>
    <row r="692" spans="1:31" x14ac:dyDescent="0.25">
      <c r="A692" s="8"/>
      <c r="B692" s="8"/>
      <c r="C692" s="8"/>
      <c r="D692" s="8"/>
      <c r="E692" s="8"/>
      <c r="F692" s="8"/>
      <c r="G692" s="8"/>
      <c r="H692" s="8"/>
      <c r="I692" s="8"/>
      <c r="J692" s="8"/>
      <c r="K692" s="8"/>
      <c r="L692" s="8"/>
      <c r="T692" s="8"/>
      <c r="U692" s="8"/>
      <c r="V692" s="8"/>
      <c r="W692" s="8"/>
      <c r="X692" s="8"/>
      <c r="Y692" s="8"/>
      <c r="Z692" s="8"/>
      <c r="AA692" s="8"/>
      <c r="AB692" s="8"/>
      <c r="AC692" s="8"/>
      <c r="AD692" s="8"/>
      <c r="AE692" s="8"/>
    </row>
    <row r="693" spans="1:31" x14ac:dyDescent="0.25">
      <c r="A693" s="8"/>
      <c r="B693" s="8"/>
      <c r="C693" s="8"/>
      <c r="D693" s="8"/>
      <c r="E693" s="8"/>
      <c r="F693" s="8"/>
      <c r="G693" s="8"/>
      <c r="H693" s="8"/>
      <c r="I693" s="8"/>
      <c r="J693" s="8"/>
      <c r="K693" s="8"/>
      <c r="L693" s="8"/>
      <c r="T693" s="8"/>
      <c r="U693" s="8"/>
      <c r="V693" s="8"/>
      <c r="W693" s="8"/>
      <c r="X693" s="8"/>
      <c r="Y693" s="8"/>
      <c r="Z693" s="8"/>
      <c r="AA693" s="8"/>
      <c r="AB693" s="8"/>
      <c r="AC693" s="8"/>
      <c r="AD693" s="8"/>
      <c r="AE693" s="8"/>
    </row>
    <row r="694" spans="1:31" x14ac:dyDescent="0.25">
      <c r="A694" s="8"/>
      <c r="B694" s="8"/>
      <c r="C694" s="8"/>
      <c r="D694" s="8"/>
      <c r="E694" s="8"/>
      <c r="F694" s="8"/>
      <c r="G694" s="8"/>
      <c r="H694" s="8"/>
      <c r="I694" s="8"/>
      <c r="J694" s="8"/>
      <c r="K694" s="8"/>
      <c r="L694" s="8"/>
      <c r="T694" s="8"/>
      <c r="U694" s="8"/>
      <c r="V694" s="8"/>
      <c r="W694" s="8"/>
      <c r="X694" s="8"/>
      <c r="Y694" s="8"/>
      <c r="Z694" s="8"/>
      <c r="AA694" s="8"/>
      <c r="AB694" s="8"/>
      <c r="AC694" s="8"/>
      <c r="AD694" s="8"/>
      <c r="AE694" s="8"/>
    </row>
    <row r="695" spans="1:31" x14ac:dyDescent="0.25">
      <c r="A695" s="8"/>
      <c r="B695" s="8"/>
      <c r="C695" s="8"/>
      <c r="D695" s="8"/>
      <c r="E695" s="8"/>
      <c r="F695" s="8"/>
      <c r="G695" s="8"/>
      <c r="H695" s="8"/>
      <c r="I695" s="8"/>
      <c r="J695" s="8"/>
      <c r="K695" s="8"/>
      <c r="L695" s="8"/>
      <c r="T695" s="8"/>
      <c r="U695" s="8"/>
      <c r="V695" s="8"/>
      <c r="W695" s="8"/>
      <c r="X695" s="8"/>
      <c r="Y695" s="8"/>
      <c r="Z695" s="8"/>
      <c r="AA695" s="8"/>
      <c r="AB695" s="8"/>
      <c r="AC695" s="8"/>
      <c r="AD695" s="8"/>
      <c r="AE695" s="8"/>
    </row>
    <row r="696" spans="1:31" x14ac:dyDescent="0.25">
      <c r="A696" s="8"/>
      <c r="B696" s="8"/>
      <c r="C696" s="8"/>
      <c r="D696" s="8"/>
      <c r="E696" s="8"/>
      <c r="F696" s="8"/>
      <c r="G696" s="8"/>
      <c r="H696" s="8"/>
      <c r="I696" s="8"/>
      <c r="J696" s="8"/>
      <c r="K696" s="8"/>
      <c r="L696" s="8"/>
      <c r="T696" s="8"/>
      <c r="U696" s="8"/>
      <c r="V696" s="8"/>
      <c r="W696" s="8"/>
      <c r="X696" s="8"/>
      <c r="Y696" s="8"/>
      <c r="Z696" s="8"/>
      <c r="AA696" s="8"/>
      <c r="AB696" s="8"/>
      <c r="AC696" s="8"/>
      <c r="AD696" s="8"/>
      <c r="AE696" s="8"/>
    </row>
    <row r="697" spans="1:31" x14ac:dyDescent="0.25">
      <c r="A697" s="8"/>
      <c r="B697" s="8"/>
      <c r="C697" s="8"/>
      <c r="D697" s="8"/>
      <c r="E697" s="8"/>
      <c r="F697" s="8"/>
      <c r="G697" s="8"/>
      <c r="H697" s="8"/>
      <c r="I697" s="8"/>
      <c r="J697" s="8"/>
      <c r="K697" s="8"/>
      <c r="L697" s="8"/>
      <c r="T697" s="8"/>
      <c r="U697" s="8"/>
      <c r="V697" s="8"/>
      <c r="W697" s="8"/>
      <c r="X697" s="8"/>
      <c r="Y697" s="8"/>
      <c r="Z697" s="8"/>
      <c r="AA697" s="8"/>
      <c r="AB697" s="8"/>
      <c r="AC697" s="8"/>
      <c r="AD697" s="8"/>
      <c r="AE697" s="8"/>
    </row>
    <row r="698" spans="1:31" x14ac:dyDescent="0.25">
      <c r="A698" s="8"/>
      <c r="B698" s="8"/>
      <c r="C698" s="8"/>
      <c r="D698" s="8"/>
      <c r="E698" s="8"/>
      <c r="F698" s="8"/>
      <c r="G698" s="8"/>
      <c r="H698" s="8"/>
      <c r="I698" s="8"/>
      <c r="J698" s="8"/>
      <c r="K698" s="8"/>
      <c r="L698" s="8"/>
      <c r="T698" s="8"/>
      <c r="U698" s="8"/>
      <c r="V698" s="8"/>
      <c r="W698" s="8"/>
      <c r="X698" s="8"/>
      <c r="Y698" s="8"/>
      <c r="Z698" s="8"/>
      <c r="AA698" s="8"/>
      <c r="AB698" s="8"/>
      <c r="AC698" s="8"/>
      <c r="AD698" s="8"/>
      <c r="AE698" s="8"/>
    </row>
    <row r="699" spans="1:31" x14ac:dyDescent="0.25">
      <c r="A699" s="8"/>
      <c r="B699" s="8"/>
      <c r="C699" s="8"/>
      <c r="D699" s="8"/>
      <c r="E699" s="8"/>
      <c r="F699" s="8"/>
      <c r="G699" s="8"/>
      <c r="H699" s="8"/>
      <c r="I699" s="8"/>
      <c r="J699" s="8"/>
      <c r="K699" s="8"/>
      <c r="L699" s="8"/>
      <c r="T699" s="8"/>
      <c r="U699" s="8"/>
      <c r="V699" s="8"/>
      <c r="W699" s="8"/>
      <c r="X699" s="8"/>
      <c r="Y699" s="8"/>
      <c r="Z699" s="8"/>
      <c r="AA699" s="8"/>
      <c r="AB699" s="8"/>
      <c r="AC699" s="8"/>
      <c r="AD699" s="8"/>
      <c r="AE699" s="8"/>
    </row>
    <row r="700" spans="1:31" x14ac:dyDescent="0.25">
      <c r="A700" s="8"/>
      <c r="B700" s="8"/>
      <c r="C700" s="8"/>
      <c r="D700" s="8"/>
      <c r="E700" s="8"/>
      <c r="F700" s="8"/>
      <c r="G700" s="8"/>
      <c r="H700" s="8"/>
      <c r="I700" s="8"/>
      <c r="J700" s="8"/>
      <c r="K700" s="8"/>
      <c r="L700" s="8"/>
      <c r="T700" s="8"/>
      <c r="U700" s="8"/>
      <c r="V700" s="8"/>
      <c r="W700" s="8"/>
      <c r="X700" s="8"/>
      <c r="Y700" s="8"/>
      <c r="Z700" s="8"/>
      <c r="AA700" s="8"/>
      <c r="AB700" s="8"/>
      <c r="AC700" s="8"/>
      <c r="AD700" s="8"/>
      <c r="AE700" s="8"/>
    </row>
    <row r="701" spans="1:31" x14ac:dyDescent="0.25">
      <c r="A701" s="8"/>
      <c r="B701" s="8"/>
      <c r="C701" s="8"/>
      <c r="D701" s="8"/>
      <c r="E701" s="8"/>
      <c r="F701" s="8"/>
      <c r="G701" s="8"/>
      <c r="H701" s="8"/>
      <c r="I701" s="8"/>
      <c r="J701" s="8"/>
      <c r="K701" s="8"/>
      <c r="L701" s="8"/>
      <c r="T701" s="8"/>
      <c r="U701" s="8"/>
      <c r="V701" s="8"/>
      <c r="W701" s="8"/>
      <c r="X701" s="8"/>
      <c r="Y701" s="8"/>
      <c r="Z701" s="8"/>
      <c r="AA701" s="8"/>
      <c r="AB701" s="8"/>
      <c r="AC701" s="8"/>
      <c r="AD701" s="8"/>
      <c r="AE701" s="8"/>
    </row>
    <row r="702" spans="1:31" x14ac:dyDescent="0.25">
      <c r="A702" s="8"/>
      <c r="B702" s="8"/>
      <c r="C702" s="8"/>
      <c r="D702" s="8"/>
      <c r="E702" s="8"/>
      <c r="F702" s="8"/>
      <c r="G702" s="8"/>
      <c r="H702" s="8"/>
      <c r="I702" s="8"/>
      <c r="J702" s="8"/>
      <c r="K702" s="8"/>
      <c r="L702" s="8"/>
      <c r="T702" s="8"/>
      <c r="U702" s="8"/>
      <c r="V702" s="8"/>
      <c r="W702" s="8"/>
      <c r="X702" s="8"/>
      <c r="Y702" s="8"/>
      <c r="Z702" s="8"/>
      <c r="AA702" s="8"/>
      <c r="AB702" s="8"/>
      <c r="AC702" s="8"/>
      <c r="AD702" s="8"/>
      <c r="AE702" s="8"/>
    </row>
    <row r="703" spans="1:31" x14ac:dyDescent="0.25">
      <c r="A703" s="8"/>
      <c r="B703" s="8"/>
      <c r="C703" s="8"/>
      <c r="D703" s="8"/>
      <c r="E703" s="8"/>
      <c r="F703" s="8"/>
      <c r="G703" s="8"/>
      <c r="H703" s="8"/>
      <c r="I703" s="8"/>
      <c r="J703" s="8"/>
      <c r="K703" s="8"/>
      <c r="L703" s="8"/>
      <c r="T703" s="8"/>
      <c r="U703" s="8"/>
      <c r="V703" s="8"/>
      <c r="W703" s="8"/>
      <c r="X703" s="8"/>
      <c r="Y703" s="8"/>
      <c r="Z703" s="8"/>
      <c r="AA703" s="8"/>
      <c r="AB703" s="8"/>
      <c r="AC703" s="8"/>
      <c r="AD703" s="8"/>
      <c r="AE703" s="8"/>
    </row>
    <row r="704" spans="1:31" x14ac:dyDescent="0.25">
      <c r="A704" s="8"/>
      <c r="B704" s="8"/>
      <c r="C704" s="8"/>
      <c r="D704" s="8"/>
      <c r="E704" s="8"/>
      <c r="F704" s="8"/>
      <c r="G704" s="8"/>
      <c r="H704" s="8"/>
      <c r="I704" s="8"/>
      <c r="J704" s="8"/>
      <c r="K704" s="8"/>
      <c r="L704" s="8"/>
      <c r="T704" s="8"/>
      <c r="U704" s="8"/>
      <c r="V704" s="8"/>
      <c r="W704" s="8"/>
      <c r="X704" s="8"/>
      <c r="Y704" s="8"/>
      <c r="Z704" s="8"/>
      <c r="AA704" s="8"/>
      <c r="AB704" s="8"/>
      <c r="AC704" s="8"/>
      <c r="AD704" s="8"/>
      <c r="AE704" s="8"/>
    </row>
    <row r="705" spans="1:31" x14ac:dyDescent="0.25">
      <c r="A705" s="8"/>
      <c r="B705" s="8"/>
      <c r="C705" s="8"/>
      <c r="D705" s="8"/>
      <c r="E705" s="8"/>
      <c r="F705" s="8"/>
      <c r="G705" s="8"/>
      <c r="H705" s="8"/>
      <c r="I705" s="8"/>
      <c r="J705" s="8"/>
      <c r="K705" s="8"/>
      <c r="L705" s="8"/>
      <c r="T705" s="8"/>
      <c r="U705" s="8"/>
      <c r="V705" s="8"/>
      <c r="W705" s="8"/>
      <c r="X705" s="8"/>
      <c r="Y705" s="8"/>
      <c r="Z705" s="8"/>
      <c r="AA705" s="8"/>
      <c r="AB705" s="8"/>
      <c r="AC705" s="8"/>
      <c r="AD705" s="8"/>
      <c r="AE705" s="8"/>
    </row>
    <row r="706" spans="1:31" x14ac:dyDescent="0.25">
      <c r="A706" s="8"/>
      <c r="B706" s="8"/>
      <c r="C706" s="8"/>
      <c r="D706" s="8"/>
      <c r="E706" s="8"/>
      <c r="F706" s="8"/>
      <c r="G706" s="8"/>
      <c r="H706" s="8"/>
      <c r="I706" s="8"/>
      <c r="J706" s="8"/>
      <c r="K706" s="8"/>
      <c r="L706" s="8"/>
      <c r="T706" s="8"/>
      <c r="U706" s="8"/>
      <c r="V706" s="8"/>
      <c r="W706" s="8"/>
      <c r="X706" s="8"/>
      <c r="Y706" s="8"/>
      <c r="Z706" s="8"/>
      <c r="AA706" s="8"/>
      <c r="AB706" s="8"/>
      <c r="AC706" s="8"/>
      <c r="AD706" s="8"/>
      <c r="AE706" s="8"/>
    </row>
    <row r="707" spans="1:31" x14ac:dyDescent="0.25">
      <c r="A707" s="8"/>
      <c r="B707" s="8"/>
      <c r="C707" s="8"/>
      <c r="D707" s="8"/>
      <c r="E707" s="8"/>
      <c r="F707" s="8"/>
      <c r="G707" s="8"/>
      <c r="H707" s="8"/>
      <c r="I707" s="8"/>
      <c r="J707" s="8"/>
      <c r="K707" s="8"/>
      <c r="L707" s="8"/>
      <c r="T707" s="8"/>
      <c r="U707" s="8"/>
      <c r="V707" s="8"/>
      <c r="W707" s="8"/>
      <c r="X707" s="8"/>
      <c r="Y707" s="8"/>
      <c r="Z707" s="8"/>
      <c r="AA707" s="8"/>
      <c r="AB707" s="8"/>
      <c r="AC707" s="8"/>
      <c r="AD707" s="8"/>
      <c r="AE707" s="8"/>
    </row>
    <row r="708" spans="1:31" x14ac:dyDescent="0.25">
      <c r="A708" s="8"/>
      <c r="B708" s="8"/>
      <c r="C708" s="8"/>
      <c r="D708" s="8"/>
      <c r="E708" s="8"/>
      <c r="F708" s="8"/>
      <c r="G708" s="8"/>
      <c r="H708" s="8"/>
      <c r="I708" s="8"/>
      <c r="J708" s="8"/>
      <c r="K708" s="8"/>
      <c r="L708" s="8"/>
      <c r="T708" s="8"/>
      <c r="U708" s="8"/>
      <c r="V708" s="8"/>
      <c r="W708" s="8"/>
      <c r="X708" s="8"/>
      <c r="Y708" s="8"/>
      <c r="Z708" s="8"/>
      <c r="AA708" s="8"/>
      <c r="AB708" s="8"/>
      <c r="AC708" s="8"/>
      <c r="AD708" s="8"/>
      <c r="AE708" s="8"/>
    </row>
    <row r="709" spans="1:31" x14ac:dyDescent="0.25">
      <c r="A709" s="8"/>
      <c r="B709" s="8"/>
      <c r="C709" s="8"/>
      <c r="D709" s="8"/>
      <c r="E709" s="8"/>
      <c r="F709" s="8"/>
      <c r="G709" s="8"/>
      <c r="H709" s="8"/>
      <c r="I709" s="8"/>
      <c r="J709" s="8"/>
      <c r="K709" s="8"/>
      <c r="L709" s="8"/>
      <c r="T709" s="8"/>
      <c r="U709" s="8"/>
      <c r="V709" s="8"/>
      <c r="W709" s="8"/>
      <c r="X709" s="8"/>
      <c r="Y709" s="8"/>
      <c r="Z709" s="8"/>
      <c r="AA709" s="8"/>
      <c r="AB709" s="8"/>
      <c r="AC709" s="8"/>
      <c r="AD709" s="8"/>
      <c r="AE709" s="8"/>
    </row>
    <row r="710" spans="1:31" x14ac:dyDescent="0.25">
      <c r="A710" s="8"/>
      <c r="B710" s="8"/>
      <c r="C710" s="8"/>
      <c r="D710" s="8"/>
      <c r="E710" s="8"/>
      <c r="F710" s="8"/>
      <c r="G710" s="8"/>
      <c r="H710" s="8"/>
      <c r="I710" s="8"/>
      <c r="J710" s="8"/>
      <c r="K710" s="8"/>
      <c r="L710" s="8"/>
      <c r="T710" s="8"/>
      <c r="U710" s="8"/>
      <c r="V710" s="8"/>
      <c r="W710" s="8"/>
      <c r="X710" s="8"/>
      <c r="Y710" s="8"/>
      <c r="Z710" s="8"/>
      <c r="AA710" s="8"/>
      <c r="AB710" s="8"/>
      <c r="AC710" s="8"/>
      <c r="AD710" s="8"/>
      <c r="AE710" s="8"/>
    </row>
    <row r="711" spans="1:31" x14ac:dyDescent="0.25">
      <c r="A711" s="8"/>
      <c r="B711" s="8"/>
      <c r="C711" s="8"/>
      <c r="D711" s="8"/>
      <c r="E711" s="8"/>
      <c r="F711" s="8"/>
      <c r="G711" s="8"/>
      <c r="H711" s="8"/>
      <c r="I711" s="8"/>
      <c r="J711" s="8"/>
      <c r="K711" s="8"/>
      <c r="L711" s="8"/>
      <c r="T711" s="8"/>
      <c r="U711" s="8"/>
      <c r="V711" s="8"/>
      <c r="W711" s="8"/>
      <c r="X711" s="8"/>
      <c r="Y711" s="8"/>
      <c r="Z711" s="8"/>
      <c r="AA711" s="8"/>
      <c r="AB711" s="8"/>
      <c r="AC711" s="8"/>
      <c r="AD711" s="8"/>
      <c r="AE711" s="8"/>
    </row>
    <row r="712" spans="1:31" x14ac:dyDescent="0.25">
      <c r="A712" s="8"/>
      <c r="B712" s="8"/>
      <c r="C712" s="8"/>
      <c r="D712" s="8"/>
      <c r="E712" s="8"/>
      <c r="F712" s="8"/>
      <c r="G712" s="8"/>
      <c r="H712" s="8"/>
      <c r="I712" s="8"/>
      <c r="J712" s="8"/>
      <c r="K712" s="8"/>
      <c r="L712" s="8"/>
      <c r="T712" s="8"/>
      <c r="U712" s="8"/>
      <c r="V712" s="8"/>
      <c r="W712" s="8"/>
      <c r="X712" s="8"/>
      <c r="Y712" s="8"/>
      <c r="Z712" s="8"/>
      <c r="AA712" s="8"/>
      <c r="AB712" s="8"/>
      <c r="AC712" s="8"/>
      <c r="AD712" s="8"/>
      <c r="AE712" s="8"/>
    </row>
    <row r="713" spans="1:31" x14ac:dyDescent="0.25">
      <c r="A713" s="8"/>
      <c r="B713" s="8"/>
      <c r="C713" s="8"/>
      <c r="D713" s="8"/>
      <c r="E713" s="8"/>
      <c r="F713" s="8"/>
      <c r="G713" s="8"/>
      <c r="H713" s="8"/>
      <c r="I713" s="8"/>
      <c r="J713" s="8"/>
      <c r="K713" s="8"/>
      <c r="L713" s="8"/>
      <c r="T713" s="8"/>
      <c r="U713" s="8"/>
      <c r="V713" s="8"/>
      <c r="W713" s="8"/>
      <c r="X713" s="8"/>
      <c r="Y713" s="8"/>
      <c r="Z713" s="8"/>
      <c r="AA713" s="8"/>
      <c r="AB713" s="8"/>
      <c r="AC713" s="8"/>
      <c r="AD713" s="8"/>
      <c r="AE713" s="8"/>
    </row>
    <row r="714" spans="1:31" x14ac:dyDescent="0.25">
      <c r="A714" s="8"/>
      <c r="B714" s="8"/>
      <c r="C714" s="8"/>
      <c r="D714" s="8"/>
      <c r="E714" s="8"/>
      <c r="F714" s="8"/>
      <c r="G714" s="8"/>
      <c r="H714" s="8"/>
      <c r="I714" s="8"/>
      <c r="J714" s="8"/>
      <c r="K714" s="8"/>
      <c r="L714" s="8"/>
      <c r="T714" s="8"/>
      <c r="U714" s="8"/>
      <c r="V714" s="8"/>
      <c r="W714" s="8"/>
      <c r="X714" s="8"/>
      <c r="Y714" s="8"/>
      <c r="Z714" s="8"/>
      <c r="AA714" s="8"/>
      <c r="AB714" s="8"/>
      <c r="AC714" s="8"/>
      <c r="AD714" s="8"/>
      <c r="AE714" s="8"/>
    </row>
    <row r="715" spans="1:31" x14ac:dyDescent="0.25">
      <c r="A715" s="8"/>
      <c r="B715" s="8"/>
      <c r="C715" s="8"/>
      <c r="D715" s="8"/>
      <c r="E715" s="8"/>
      <c r="F715" s="8"/>
      <c r="G715" s="8"/>
      <c r="H715" s="8"/>
      <c r="I715" s="8"/>
      <c r="J715" s="8"/>
      <c r="K715" s="8"/>
      <c r="L715" s="8"/>
      <c r="T715" s="8"/>
      <c r="U715" s="8"/>
      <c r="V715" s="8"/>
      <c r="W715" s="8"/>
      <c r="X715" s="8"/>
      <c r="Y715" s="8"/>
      <c r="Z715" s="8"/>
      <c r="AA715" s="8"/>
      <c r="AB715" s="8"/>
      <c r="AC715" s="8"/>
      <c r="AD715" s="8"/>
      <c r="AE715" s="8"/>
    </row>
    <row r="716" spans="1:31" x14ac:dyDescent="0.25">
      <c r="A716" s="8"/>
      <c r="B716" s="8"/>
      <c r="C716" s="8"/>
      <c r="D716" s="8"/>
      <c r="E716" s="8"/>
      <c r="F716" s="8"/>
      <c r="G716" s="8"/>
      <c r="H716" s="8"/>
      <c r="I716" s="8"/>
      <c r="J716" s="8"/>
      <c r="K716" s="8"/>
      <c r="L716" s="8"/>
      <c r="T716" s="8"/>
      <c r="U716" s="8"/>
      <c r="V716" s="8"/>
      <c r="W716" s="8"/>
      <c r="X716" s="8"/>
      <c r="Y716" s="8"/>
      <c r="Z716" s="8"/>
      <c r="AA716" s="8"/>
      <c r="AB716" s="8"/>
      <c r="AC716" s="8"/>
      <c r="AD716" s="8"/>
      <c r="AE716" s="8"/>
    </row>
    <row r="717" spans="1:31" x14ac:dyDescent="0.25">
      <c r="A717" s="8"/>
      <c r="B717" s="8"/>
      <c r="C717" s="8"/>
      <c r="D717" s="8"/>
      <c r="E717" s="8"/>
      <c r="F717" s="8"/>
      <c r="G717" s="8"/>
      <c r="H717" s="8"/>
      <c r="I717" s="8"/>
      <c r="J717" s="8"/>
      <c r="K717" s="8"/>
      <c r="L717" s="8"/>
      <c r="T717" s="8"/>
      <c r="U717" s="8"/>
      <c r="V717" s="8"/>
      <c r="W717" s="8"/>
      <c r="X717" s="8"/>
      <c r="Y717" s="8"/>
      <c r="Z717" s="8"/>
      <c r="AA717" s="8"/>
      <c r="AB717" s="8"/>
      <c r="AC717" s="8"/>
      <c r="AD717" s="8"/>
      <c r="AE717" s="8"/>
    </row>
    <row r="718" spans="1:31" x14ac:dyDescent="0.25">
      <c r="A718" s="8"/>
      <c r="B718" s="8"/>
      <c r="C718" s="8"/>
      <c r="D718" s="8"/>
      <c r="E718" s="8"/>
      <c r="F718" s="8"/>
      <c r="G718" s="8"/>
      <c r="H718" s="8"/>
      <c r="I718" s="8"/>
      <c r="J718" s="8"/>
      <c r="K718" s="8"/>
      <c r="L718" s="8"/>
      <c r="T718" s="8"/>
      <c r="U718" s="8"/>
      <c r="V718" s="8"/>
      <c r="W718" s="8"/>
      <c r="X718" s="8"/>
      <c r="Y718" s="8"/>
      <c r="Z718" s="8"/>
      <c r="AA718" s="8"/>
      <c r="AB718" s="8"/>
      <c r="AC718" s="8"/>
      <c r="AD718" s="8"/>
      <c r="AE718" s="8"/>
    </row>
    <row r="719" spans="1:31" x14ac:dyDescent="0.25">
      <c r="A719" s="8"/>
      <c r="B719" s="8"/>
      <c r="C719" s="8"/>
      <c r="D719" s="8"/>
      <c r="E719" s="8"/>
      <c r="F719" s="8"/>
      <c r="G719" s="8"/>
      <c r="H719" s="8"/>
      <c r="I719" s="8"/>
      <c r="J719" s="8"/>
      <c r="K719" s="8"/>
      <c r="L719" s="8"/>
      <c r="T719" s="8"/>
      <c r="U719" s="8"/>
      <c r="V719" s="8"/>
      <c r="W719" s="8"/>
      <c r="X719" s="8"/>
      <c r="Y719" s="8"/>
      <c r="Z719" s="8"/>
      <c r="AA719" s="8"/>
      <c r="AB719" s="8"/>
      <c r="AC719" s="8"/>
      <c r="AD719" s="8"/>
      <c r="AE719" s="8"/>
    </row>
    <row r="720" spans="1:31" x14ac:dyDescent="0.25">
      <c r="A720" s="8"/>
      <c r="B720" s="8"/>
      <c r="C720" s="8"/>
      <c r="D720" s="8"/>
      <c r="E720" s="8"/>
      <c r="F720" s="8"/>
      <c r="G720" s="8"/>
      <c r="H720" s="8"/>
      <c r="I720" s="8"/>
      <c r="J720" s="8"/>
      <c r="K720" s="8"/>
      <c r="L720" s="8"/>
      <c r="T720" s="8"/>
      <c r="U720" s="8"/>
      <c r="V720" s="8"/>
      <c r="W720" s="8"/>
      <c r="X720" s="8"/>
      <c r="Y720" s="8"/>
      <c r="Z720" s="8"/>
      <c r="AA720" s="8"/>
      <c r="AB720" s="8"/>
      <c r="AC720" s="8"/>
      <c r="AD720" s="8"/>
      <c r="AE720" s="8"/>
    </row>
    <row r="721" spans="1:31" x14ac:dyDescent="0.25">
      <c r="A721" s="8"/>
      <c r="B721" s="8"/>
      <c r="C721" s="8"/>
      <c r="D721" s="8"/>
      <c r="E721" s="8"/>
      <c r="F721" s="8"/>
      <c r="G721" s="8"/>
      <c r="H721" s="8"/>
      <c r="I721" s="8"/>
      <c r="J721" s="8"/>
      <c r="K721" s="8"/>
      <c r="L721" s="8"/>
      <c r="T721" s="8"/>
      <c r="U721" s="8"/>
      <c r="V721" s="8"/>
      <c r="W721" s="8"/>
      <c r="X721" s="8"/>
      <c r="Y721" s="8"/>
      <c r="Z721" s="8"/>
      <c r="AA721" s="8"/>
      <c r="AB721" s="8"/>
      <c r="AC721" s="8"/>
      <c r="AD721" s="8"/>
      <c r="AE721" s="8"/>
    </row>
    <row r="722" spans="1:31" x14ac:dyDescent="0.25">
      <c r="A722" s="8"/>
      <c r="B722" s="8"/>
      <c r="C722" s="8"/>
      <c r="D722" s="8"/>
      <c r="E722" s="8"/>
      <c r="F722" s="8"/>
      <c r="G722" s="8"/>
      <c r="H722" s="8"/>
      <c r="I722" s="8"/>
      <c r="J722" s="8"/>
      <c r="K722" s="8"/>
      <c r="L722" s="8"/>
      <c r="T722" s="8"/>
      <c r="U722" s="8"/>
      <c r="V722" s="8"/>
      <c r="W722" s="8"/>
      <c r="X722" s="8"/>
      <c r="Y722" s="8"/>
      <c r="Z722" s="8"/>
      <c r="AA722" s="8"/>
      <c r="AB722" s="8"/>
      <c r="AC722" s="8"/>
      <c r="AD722" s="8"/>
      <c r="AE722" s="8"/>
    </row>
    <row r="723" spans="1:31" x14ac:dyDescent="0.25">
      <c r="A723" s="8"/>
      <c r="B723" s="8"/>
      <c r="C723" s="8"/>
      <c r="D723" s="8"/>
      <c r="E723" s="8"/>
      <c r="F723" s="8"/>
      <c r="G723" s="8"/>
      <c r="H723" s="8"/>
      <c r="I723" s="8"/>
      <c r="J723" s="8"/>
      <c r="K723" s="8"/>
      <c r="L723" s="8"/>
      <c r="T723" s="8"/>
      <c r="U723" s="8"/>
      <c r="V723" s="8"/>
      <c r="W723" s="8"/>
      <c r="X723" s="8"/>
      <c r="Y723" s="8"/>
      <c r="Z723" s="8"/>
      <c r="AA723" s="8"/>
      <c r="AB723" s="8"/>
      <c r="AC723" s="8"/>
      <c r="AD723" s="8"/>
      <c r="AE723" s="8"/>
    </row>
    <row r="724" spans="1:31" x14ac:dyDescent="0.25">
      <c r="A724" s="8"/>
      <c r="B724" s="8"/>
      <c r="C724" s="8"/>
      <c r="D724" s="8"/>
      <c r="E724" s="8"/>
      <c r="F724" s="8"/>
      <c r="G724" s="8"/>
      <c r="H724" s="8"/>
      <c r="I724" s="8"/>
      <c r="J724" s="8"/>
      <c r="K724" s="8"/>
      <c r="L724" s="8"/>
      <c r="T724" s="8"/>
      <c r="U724" s="8"/>
      <c r="V724" s="8"/>
      <c r="W724" s="8"/>
      <c r="X724" s="8"/>
      <c r="Y724" s="8"/>
      <c r="Z724" s="8"/>
      <c r="AA724" s="8"/>
      <c r="AB724" s="8"/>
      <c r="AC724" s="8"/>
      <c r="AD724" s="8"/>
      <c r="AE724" s="8"/>
    </row>
    <row r="725" spans="1:31" x14ac:dyDescent="0.25">
      <c r="A725" s="8"/>
      <c r="B725" s="8"/>
      <c r="C725" s="8"/>
      <c r="D725" s="8"/>
      <c r="E725" s="8"/>
      <c r="F725" s="8"/>
      <c r="G725" s="8"/>
      <c r="H725" s="8"/>
      <c r="I725" s="8"/>
      <c r="J725" s="8"/>
      <c r="K725" s="8"/>
      <c r="L725" s="8"/>
      <c r="T725" s="8"/>
      <c r="U725" s="8"/>
      <c r="V725" s="8"/>
      <c r="W725" s="8"/>
      <c r="X725" s="8"/>
      <c r="Y725" s="8"/>
      <c r="Z725" s="8"/>
      <c r="AA725" s="8"/>
      <c r="AB725" s="8"/>
      <c r="AC725" s="8"/>
      <c r="AD725" s="8"/>
      <c r="AE725" s="8"/>
    </row>
    <row r="726" spans="1:31" x14ac:dyDescent="0.25">
      <c r="A726" s="8"/>
      <c r="B726" s="8"/>
      <c r="C726" s="8"/>
      <c r="D726" s="8"/>
      <c r="E726" s="8"/>
      <c r="F726" s="8"/>
      <c r="G726" s="8"/>
      <c r="H726" s="8"/>
      <c r="I726" s="8"/>
      <c r="J726" s="8"/>
      <c r="K726" s="8"/>
      <c r="L726" s="8"/>
      <c r="T726" s="8"/>
      <c r="U726" s="8"/>
      <c r="V726" s="8"/>
      <c r="W726" s="8"/>
      <c r="X726" s="8"/>
      <c r="Y726" s="8"/>
      <c r="Z726" s="8"/>
      <c r="AA726" s="8"/>
      <c r="AB726" s="8"/>
      <c r="AC726" s="8"/>
      <c r="AD726" s="8"/>
      <c r="AE726" s="8"/>
    </row>
    <row r="727" spans="1:31" x14ac:dyDescent="0.25">
      <c r="A727" s="8"/>
      <c r="B727" s="8"/>
      <c r="C727" s="8"/>
      <c r="D727" s="8"/>
      <c r="E727" s="8"/>
      <c r="F727" s="8"/>
      <c r="G727" s="8"/>
      <c r="H727" s="8"/>
      <c r="I727" s="8"/>
      <c r="J727" s="8"/>
      <c r="K727" s="8"/>
      <c r="L727" s="8"/>
      <c r="T727" s="8"/>
      <c r="U727" s="8"/>
      <c r="V727" s="8"/>
      <c r="W727" s="8"/>
      <c r="X727" s="8"/>
      <c r="Y727" s="8"/>
      <c r="Z727" s="8"/>
      <c r="AA727" s="8"/>
      <c r="AB727" s="8"/>
      <c r="AC727" s="8"/>
      <c r="AD727" s="8"/>
      <c r="AE727" s="8"/>
    </row>
    <row r="728" spans="1:31" x14ac:dyDescent="0.25">
      <c r="A728" s="8"/>
      <c r="B728" s="8"/>
      <c r="C728" s="8"/>
      <c r="D728" s="8"/>
      <c r="E728" s="8"/>
      <c r="F728" s="8"/>
      <c r="G728" s="8"/>
      <c r="H728" s="8"/>
      <c r="I728" s="8"/>
      <c r="J728" s="8"/>
      <c r="K728" s="8"/>
      <c r="L728" s="8"/>
      <c r="T728" s="8"/>
      <c r="U728" s="8"/>
      <c r="V728" s="8"/>
      <c r="W728" s="8"/>
      <c r="X728" s="8"/>
      <c r="Y728" s="8"/>
      <c r="Z728" s="8"/>
      <c r="AA728" s="8"/>
      <c r="AB728" s="8"/>
      <c r="AC728" s="8"/>
      <c r="AD728" s="8"/>
      <c r="AE728" s="8"/>
    </row>
    <row r="729" spans="1:31" x14ac:dyDescent="0.25">
      <c r="A729" s="8"/>
      <c r="B729" s="8"/>
      <c r="C729" s="8"/>
      <c r="D729" s="8"/>
      <c r="E729" s="8"/>
      <c r="F729" s="8"/>
      <c r="G729" s="8"/>
      <c r="H729" s="8"/>
      <c r="I729" s="8"/>
      <c r="J729" s="8"/>
      <c r="K729" s="8"/>
      <c r="L729" s="8"/>
      <c r="T729" s="8"/>
      <c r="U729" s="8"/>
      <c r="V729" s="8"/>
      <c r="W729" s="8"/>
      <c r="X729" s="8"/>
      <c r="Y729" s="8"/>
      <c r="Z729" s="8"/>
      <c r="AA729" s="8"/>
      <c r="AB729" s="8"/>
      <c r="AC729" s="8"/>
      <c r="AD729" s="8"/>
      <c r="AE729" s="8"/>
    </row>
    <row r="730" spans="1:31" x14ac:dyDescent="0.25">
      <c r="A730" s="8"/>
      <c r="B730" s="8"/>
      <c r="C730" s="8"/>
      <c r="D730" s="8"/>
      <c r="E730" s="8"/>
      <c r="F730" s="8"/>
      <c r="G730" s="8"/>
      <c r="H730" s="8"/>
      <c r="I730" s="8"/>
      <c r="J730" s="8"/>
      <c r="K730" s="8"/>
      <c r="L730" s="8"/>
      <c r="T730" s="8"/>
      <c r="U730" s="8"/>
      <c r="V730" s="8"/>
      <c r="W730" s="8"/>
      <c r="X730" s="8"/>
      <c r="Y730" s="8"/>
      <c r="Z730" s="8"/>
      <c r="AA730" s="8"/>
      <c r="AB730" s="8"/>
      <c r="AC730" s="8"/>
      <c r="AD730" s="8"/>
      <c r="AE730" s="8"/>
    </row>
    <row r="731" spans="1:31" x14ac:dyDescent="0.25">
      <c r="A731" s="8"/>
      <c r="B731" s="8"/>
      <c r="C731" s="8"/>
      <c r="D731" s="8"/>
      <c r="E731" s="8"/>
      <c r="F731" s="8"/>
      <c r="G731" s="8"/>
      <c r="H731" s="8"/>
      <c r="I731" s="8"/>
      <c r="J731" s="8"/>
      <c r="K731" s="8"/>
      <c r="L731" s="8"/>
      <c r="T731" s="8"/>
      <c r="U731" s="8"/>
      <c r="V731" s="8"/>
      <c r="W731" s="8"/>
      <c r="X731" s="8"/>
      <c r="Y731" s="8"/>
      <c r="Z731" s="8"/>
      <c r="AA731" s="8"/>
      <c r="AB731" s="8"/>
      <c r="AC731" s="8"/>
      <c r="AD731" s="8"/>
      <c r="AE731" s="8"/>
    </row>
    <row r="732" spans="1:31" x14ac:dyDescent="0.25">
      <c r="A732" s="8"/>
      <c r="B732" s="8"/>
      <c r="C732" s="8"/>
      <c r="D732" s="8"/>
      <c r="E732" s="8"/>
      <c r="F732" s="8"/>
      <c r="G732" s="8"/>
      <c r="H732" s="8"/>
      <c r="I732" s="8"/>
      <c r="J732" s="8"/>
      <c r="K732" s="8"/>
      <c r="L732" s="8"/>
      <c r="T732" s="8"/>
      <c r="U732" s="8"/>
      <c r="V732" s="8"/>
      <c r="W732" s="8"/>
      <c r="X732" s="8"/>
      <c r="Y732" s="8"/>
      <c r="Z732" s="8"/>
      <c r="AA732" s="8"/>
      <c r="AB732" s="8"/>
      <c r="AC732" s="8"/>
      <c r="AD732" s="8"/>
      <c r="AE732" s="8"/>
    </row>
    <row r="733" spans="1:31" x14ac:dyDescent="0.25">
      <c r="A733" s="8"/>
      <c r="B733" s="8"/>
      <c r="C733" s="8"/>
      <c r="D733" s="8"/>
      <c r="E733" s="8"/>
      <c r="F733" s="8"/>
      <c r="G733" s="8"/>
      <c r="H733" s="8"/>
      <c r="I733" s="8"/>
      <c r="J733" s="8"/>
      <c r="K733" s="8"/>
      <c r="L733" s="8"/>
      <c r="T733" s="8"/>
      <c r="U733" s="8"/>
      <c r="V733" s="8"/>
      <c r="W733" s="8"/>
      <c r="X733" s="8"/>
      <c r="Y733" s="8"/>
      <c r="Z733" s="8"/>
      <c r="AA733" s="8"/>
      <c r="AB733" s="8"/>
      <c r="AC733" s="8"/>
      <c r="AD733" s="8"/>
      <c r="AE733" s="8"/>
    </row>
    <row r="734" spans="1:31" x14ac:dyDescent="0.25">
      <c r="A734" s="8"/>
      <c r="B734" s="8"/>
      <c r="C734" s="8"/>
      <c r="D734" s="8"/>
      <c r="E734" s="8"/>
      <c r="F734" s="8"/>
      <c r="G734" s="8"/>
      <c r="H734" s="8"/>
      <c r="I734" s="8"/>
      <c r="J734" s="8"/>
      <c r="K734" s="8"/>
      <c r="L734" s="8"/>
      <c r="T734" s="8"/>
      <c r="U734" s="8"/>
      <c r="V734" s="8"/>
      <c r="W734" s="8"/>
      <c r="X734" s="8"/>
      <c r="Y734" s="8"/>
      <c r="Z734" s="8"/>
      <c r="AA734" s="8"/>
      <c r="AB734" s="8"/>
      <c r="AC734" s="8"/>
      <c r="AD734" s="8"/>
      <c r="AE734" s="8"/>
    </row>
    <row r="735" spans="1:31" x14ac:dyDescent="0.25">
      <c r="A735" s="8"/>
      <c r="B735" s="8"/>
      <c r="C735" s="8"/>
      <c r="D735" s="8"/>
      <c r="E735" s="8"/>
      <c r="F735" s="8"/>
      <c r="G735" s="8"/>
      <c r="H735" s="8"/>
      <c r="I735" s="8"/>
      <c r="J735" s="8"/>
      <c r="K735" s="8"/>
      <c r="L735" s="8"/>
      <c r="T735" s="8"/>
      <c r="U735" s="8"/>
      <c r="V735" s="8"/>
      <c r="W735" s="8"/>
      <c r="X735" s="8"/>
      <c r="Y735" s="8"/>
      <c r="Z735" s="8"/>
      <c r="AA735" s="8"/>
      <c r="AB735" s="8"/>
      <c r="AC735" s="8"/>
      <c r="AD735" s="8"/>
      <c r="AE735" s="8"/>
    </row>
    <row r="736" spans="1:31" x14ac:dyDescent="0.25">
      <c r="A736" s="8"/>
      <c r="B736" s="8"/>
      <c r="C736" s="8"/>
      <c r="D736" s="8"/>
      <c r="E736" s="8"/>
      <c r="F736" s="8"/>
      <c r="G736" s="8"/>
      <c r="H736" s="8"/>
      <c r="I736" s="8"/>
      <c r="J736" s="8"/>
      <c r="K736" s="8"/>
      <c r="L736" s="8"/>
      <c r="T736" s="8"/>
      <c r="U736" s="8"/>
      <c r="V736" s="8"/>
      <c r="W736" s="8"/>
      <c r="X736" s="8"/>
      <c r="Y736" s="8"/>
      <c r="Z736" s="8"/>
      <c r="AA736" s="8"/>
      <c r="AB736" s="8"/>
      <c r="AC736" s="8"/>
      <c r="AD736" s="8"/>
      <c r="AE736" s="8"/>
    </row>
    <row r="737" spans="1:31" x14ac:dyDescent="0.25">
      <c r="A737" s="8"/>
      <c r="B737" s="8"/>
      <c r="C737" s="8"/>
      <c r="D737" s="8"/>
      <c r="E737" s="8"/>
      <c r="F737" s="8"/>
      <c r="G737" s="8"/>
      <c r="H737" s="8"/>
      <c r="I737" s="8"/>
      <c r="J737" s="8"/>
      <c r="K737" s="8"/>
      <c r="L737" s="8"/>
      <c r="T737" s="8"/>
      <c r="U737" s="8"/>
      <c r="V737" s="8"/>
      <c r="W737" s="8"/>
      <c r="X737" s="8"/>
      <c r="Y737" s="8"/>
      <c r="Z737" s="8"/>
      <c r="AA737" s="8"/>
      <c r="AB737" s="8"/>
      <c r="AC737" s="8"/>
      <c r="AD737" s="8"/>
      <c r="AE737" s="8"/>
    </row>
    <row r="738" spans="1:31" x14ac:dyDescent="0.25">
      <c r="A738" s="8"/>
      <c r="B738" s="8"/>
      <c r="C738" s="8"/>
      <c r="D738" s="8"/>
      <c r="E738" s="8"/>
      <c r="F738" s="8"/>
      <c r="G738" s="8"/>
      <c r="H738" s="8"/>
      <c r="I738" s="8"/>
      <c r="J738" s="8"/>
      <c r="K738" s="8"/>
      <c r="L738" s="8"/>
      <c r="T738" s="8"/>
      <c r="U738" s="8"/>
      <c r="V738" s="8"/>
      <c r="W738" s="8"/>
      <c r="X738" s="8"/>
      <c r="Y738" s="8"/>
      <c r="Z738" s="8"/>
      <c r="AA738" s="8"/>
      <c r="AB738" s="8"/>
      <c r="AC738" s="8"/>
      <c r="AD738" s="8"/>
      <c r="AE738" s="8"/>
    </row>
    <row r="739" spans="1:31" x14ac:dyDescent="0.25">
      <c r="A739" s="8"/>
      <c r="B739" s="8"/>
      <c r="C739" s="8"/>
      <c r="D739" s="8"/>
      <c r="E739" s="8"/>
      <c r="F739" s="8"/>
      <c r="G739" s="8"/>
      <c r="H739" s="8"/>
      <c r="I739" s="8"/>
      <c r="J739" s="8"/>
      <c r="K739" s="8"/>
      <c r="L739" s="8"/>
      <c r="T739" s="8"/>
      <c r="U739" s="8"/>
      <c r="V739" s="8"/>
      <c r="W739" s="8"/>
      <c r="X739" s="8"/>
      <c r="Y739" s="8"/>
      <c r="Z739" s="8"/>
      <c r="AA739" s="8"/>
      <c r="AB739" s="8"/>
      <c r="AC739" s="8"/>
      <c r="AD739" s="8"/>
      <c r="AE739" s="8"/>
    </row>
    <row r="740" spans="1:31" x14ac:dyDescent="0.25">
      <c r="A740" s="8"/>
      <c r="B740" s="8"/>
      <c r="C740" s="8"/>
      <c r="D740" s="8"/>
      <c r="E740" s="8"/>
      <c r="F740" s="8"/>
      <c r="G740" s="8"/>
      <c r="H740" s="8"/>
      <c r="I740" s="8"/>
      <c r="J740" s="8"/>
      <c r="K740" s="8"/>
      <c r="L740" s="8"/>
      <c r="T740" s="8"/>
      <c r="U740" s="8"/>
      <c r="V740" s="8"/>
      <c r="W740" s="8"/>
      <c r="X740" s="8"/>
      <c r="Y740" s="8"/>
      <c r="Z740" s="8"/>
      <c r="AA740" s="8"/>
      <c r="AB740" s="8"/>
      <c r="AC740" s="8"/>
      <c r="AD740" s="8"/>
      <c r="AE740" s="8"/>
    </row>
    <row r="741" spans="1:31" x14ac:dyDescent="0.25">
      <c r="A741" s="8"/>
      <c r="B741" s="8"/>
      <c r="C741" s="8"/>
      <c r="D741" s="8"/>
      <c r="E741" s="8"/>
      <c r="F741" s="8"/>
      <c r="G741" s="8"/>
      <c r="H741" s="8"/>
      <c r="I741" s="8"/>
      <c r="J741" s="8"/>
      <c r="K741" s="8"/>
      <c r="L741" s="8"/>
      <c r="T741" s="8"/>
      <c r="U741" s="8"/>
      <c r="V741" s="8"/>
      <c r="W741" s="8"/>
      <c r="X741" s="8"/>
      <c r="Y741" s="8"/>
      <c r="Z741" s="8"/>
      <c r="AA741" s="8"/>
      <c r="AB741" s="8"/>
      <c r="AC741" s="8"/>
      <c r="AD741" s="8"/>
      <c r="AE741" s="8"/>
    </row>
    <row r="742" spans="1:31" x14ac:dyDescent="0.25">
      <c r="A742" s="8"/>
      <c r="B742" s="8"/>
      <c r="C742" s="8"/>
      <c r="D742" s="8"/>
      <c r="E742" s="8"/>
      <c r="F742" s="8"/>
      <c r="G742" s="8"/>
      <c r="H742" s="8"/>
      <c r="I742" s="8"/>
      <c r="J742" s="8"/>
      <c r="K742" s="8"/>
      <c r="L742" s="8"/>
      <c r="T742" s="8"/>
      <c r="U742" s="8"/>
      <c r="V742" s="8"/>
      <c r="W742" s="8"/>
      <c r="X742" s="8"/>
      <c r="Y742" s="8"/>
      <c r="Z742" s="8"/>
      <c r="AA742" s="8"/>
      <c r="AB742" s="8"/>
      <c r="AC742" s="8"/>
      <c r="AD742" s="8"/>
      <c r="AE742" s="8"/>
    </row>
    <row r="743" spans="1:31" x14ac:dyDescent="0.25">
      <c r="A743" s="8"/>
      <c r="B743" s="8"/>
      <c r="C743" s="8"/>
      <c r="D743" s="8"/>
      <c r="E743" s="8"/>
      <c r="F743" s="8"/>
      <c r="G743" s="8"/>
      <c r="H743" s="8"/>
      <c r="I743" s="8"/>
      <c r="J743" s="8"/>
      <c r="K743" s="8"/>
      <c r="L743" s="8"/>
      <c r="T743" s="8"/>
      <c r="U743" s="8"/>
      <c r="V743" s="8"/>
      <c r="W743" s="8"/>
      <c r="X743" s="8"/>
      <c r="Y743" s="8"/>
      <c r="Z743" s="8"/>
      <c r="AA743" s="8"/>
      <c r="AB743" s="8"/>
      <c r="AC743" s="8"/>
      <c r="AD743" s="8"/>
      <c r="AE743" s="8"/>
    </row>
    <row r="744" spans="1:31" x14ac:dyDescent="0.25">
      <c r="A744" s="8"/>
      <c r="B744" s="8"/>
      <c r="C744" s="8"/>
      <c r="D744" s="8"/>
      <c r="E744" s="8"/>
      <c r="F744" s="8"/>
      <c r="G744" s="8"/>
      <c r="H744" s="8"/>
      <c r="I744" s="8"/>
      <c r="J744" s="8"/>
      <c r="K744" s="8"/>
      <c r="L744" s="8"/>
      <c r="T744" s="8"/>
      <c r="U744" s="8"/>
      <c r="V744" s="8"/>
      <c r="W744" s="8"/>
      <c r="X744" s="8"/>
      <c r="Y744" s="8"/>
      <c r="Z744" s="8"/>
      <c r="AA744" s="8"/>
      <c r="AB744" s="8"/>
      <c r="AC744" s="8"/>
      <c r="AD744" s="8"/>
      <c r="AE744" s="8"/>
    </row>
    <row r="745" spans="1:31" x14ac:dyDescent="0.25">
      <c r="A745" s="8"/>
      <c r="B745" s="8"/>
      <c r="C745" s="8"/>
      <c r="D745" s="8"/>
      <c r="E745" s="8"/>
      <c r="F745" s="8"/>
      <c r="G745" s="8"/>
      <c r="H745" s="8"/>
      <c r="I745" s="8"/>
      <c r="J745" s="8"/>
      <c r="K745" s="8"/>
      <c r="L745" s="8"/>
      <c r="T745" s="8"/>
      <c r="U745" s="8"/>
      <c r="V745" s="8"/>
      <c r="W745" s="8"/>
      <c r="X745" s="8"/>
      <c r="Y745" s="8"/>
      <c r="Z745" s="8"/>
      <c r="AA745" s="8"/>
      <c r="AB745" s="8"/>
      <c r="AC745" s="8"/>
      <c r="AD745" s="8"/>
      <c r="AE745" s="8"/>
    </row>
    <row r="746" spans="1:31" x14ac:dyDescent="0.25">
      <c r="A746" s="8"/>
      <c r="B746" s="8"/>
      <c r="C746" s="8"/>
      <c r="D746" s="8"/>
      <c r="E746" s="8"/>
      <c r="F746" s="8"/>
      <c r="G746" s="8"/>
      <c r="H746" s="8"/>
      <c r="I746" s="8"/>
      <c r="J746" s="8"/>
      <c r="K746" s="8"/>
      <c r="L746" s="8"/>
      <c r="T746" s="8"/>
      <c r="U746" s="8"/>
      <c r="V746" s="8"/>
      <c r="W746" s="8"/>
      <c r="X746" s="8"/>
      <c r="Y746" s="8"/>
      <c r="Z746" s="8"/>
      <c r="AA746" s="8"/>
      <c r="AB746" s="8"/>
      <c r="AC746" s="8"/>
      <c r="AD746" s="8"/>
      <c r="AE746" s="8"/>
    </row>
    <row r="747" spans="1:31" x14ac:dyDescent="0.25">
      <c r="A747" s="8"/>
      <c r="B747" s="8"/>
      <c r="C747" s="8"/>
      <c r="D747" s="8"/>
      <c r="E747" s="8"/>
      <c r="F747" s="8"/>
      <c r="G747" s="8"/>
      <c r="H747" s="8"/>
      <c r="I747" s="8"/>
      <c r="J747" s="8"/>
      <c r="K747" s="8"/>
      <c r="L747" s="8"/>
      <c r="T747" s="8"/>
      <c r="U747" s="8"/>
      <c r="V747" s="8"/>
      <c r="W747" s="8"/>
      <c r="X747" s="8"/>
      <c r="Y747" s="8"/>
      <c r="Z747" s="8"/>
      <c r="AA747" s="8"/>
      <c r="AB747" s="8"/>
      <c r="AC747" s="8"/>
      <c r="AD747" s="8"/>
      <c r="AE747" s="8"/>
    </row>
    <row r="748" spans="1:31" x14ac:dyDescent="0.25">
      <c r="A748" s="8"/>
      <c r="B748" s="8"/>
      <c r="C748" s="8"/>
      <c r="D748" s="8"/>
      <c r="E748" s="8"/>
      <c r="F748" s="8"/>
      <c r="G748" s="8"/>
      <c r="H748" s="8"/>
      <c r="I748" s="8"/>
      <c r="J748" s="8"/>
      <c r="K748" s="8"/>
      <c r="L748" s="8"/>
      <c r="T748" s="8"/>
      <c r="U748" s="8"/>
      <c r="V748" s="8"/>
      <c r="W748" s="8"/>
      <c r="X748" s="8"/>
      <c r="Y748" s="8"/>
      <c r="Z748" s="8"/>
      <c r="AA748" s="8"/>
      <c r="AB748" s="8"/>
      <c r="AC748" s="8"/>
      <c r="AD748" s="8"/>
      <c r="AE748" s="8"/>
    </row>
    <row r="749" spans="1:31" x14ac:dyDescent="0.25">
      <c r="A749" s="8"/>
      <c r="B749" s="8"/>
      <c r="C749" s="8"/>
      <c r="D749" s="8"/>
      <c r="E749" s="8"/>
      <c r="F749" s="8"/>
      <c r="G749" s="8"/>
      <c r="H749" s="8"/>
      <c r="I749" s="8"/>
      <c r="J749" s="8"/>
      <c r="K749" s="8"/>
      <c r="L749" s="8"/>
      <c r="T749" s="8"/>
      <c r="U749" s="8"/>
      <c r="V749" s="8"/>
      <c r="W749" s="8"/>
      <c r="X749" s="8"/>
      <c r="Y749" s="8"/>
      <c r="Z749" s="8"/>
      <c r="AA749" s="8"/>
      <c r="AB749" s="8"/>
      <c r="AC749" s="8"/>
      <c r="AD749" s="8"/>
      <c r="AE749" s="8"/>
    </row>
    <row r="750" spans="1:31" x14ac:dyDescent="0.25">
      <c r="A750" s="8"/>
      <c r="B750" s="8"/>
      <c r="C750" s="8"/>
      <c r="D750" s="8"/>
      <c r="E750" s="8"/>
      <c r="F750" s="8"/>
      <c r="G750" s="8"/>
      <c r="H750" s="8"/>
      <c r="I750" s="8"/>
      <c r="J750" s="8"/>
      <c r="K750" s="8"/>
      <c r="L750" s="8"/>
      <c r="T750" s="8"/>
      <c r="U750" s="8"/>
      <c r="V750" s="8"/>
      <c r="W750" s="8"/>
      <c r="X750" s="8"/>
      <c r="Y750" s="8"/>
      <c r="Z750" s="8"/>
      <c r="AA750" s="8"/>
      <c r="AB750" s="8"/>
      <c r="AC750" s="8"/>
      <c r="AD750" s="8"/>
      <c r="AE750" s="8"/>
    </row>
    <row r="751" spans="1:31" x14ac:dyDescent="0.25">
      <c r="A751" s="8"/>
      <c r="B751" s="8"/>
      <c r="C751" s="8"/>
      <c r="D751" s="8"/>
      <c r="E751" s="8"/>
      <c r="F751" s="8"/>
      <c r="G751" s="8"/>
      <c r="H751" s="8"/>
      <c r="I751" s="8"/>
      <c r="J751" s="8"/>
      <c r="K751" s="8"/>
      <c r="L751" s="8"/>
      <c r="T751" s="8"/>
      <c r="U751" s="8"/>
      <c r="V751" s="8"/>
      <c r="W751" s="8"/>
      <c r="X751" s="8"/>
      <c r="Y751" s="8"/>
      <c r="Z751" s="8"/>
      <c r="AA751" s="8"/>
      <c r="AB751" s="8"/>
      <c r="AC751" s="8"/>
      <c r="AD751" s="8"/>
      <c r="AE751" s="8"/>
    </row>
    <row r="752" spans="1:31" x14ac:dyDescent="0.25">
      <c r="A752" s="8"/>
      <c r="B752" s="8"/>
      <c r="C752" s="8"/>
      <c r="D752" s="8"/>
      <c r="E752" s="8"/>
      <c r="F752" s="8"/>
      <c r="G752" s="8"/>
      <c r="H752" s="8"/>
      <c r="I752" s="8"/>
      <c r="J752" s="8"/>
      <c r="K752" s="8"/>
      <c r="L752" s="8"/>
      <c r="T752" s="8"/>
      <c r="U752" s="8"/>
      <c r="V752" s="8"/>
      <c r="W752" s="8"/>
      <c r="X752" s="8"/>
      <c r="Y752" s="8"/>
      <c r="Z752" s="8"/>
      <c r="AA752" s="8"/>
      <c r="AB752" s="8"/>
      <c r="AC752" s="8"/>
      <c r="AD752" s="8"/>
      <c r="AE752" s="8"/>
    </row>
    <row r="753" spans="1:31" x14ac:dyDescent="0.25">
      <c r="A753" s="8"/>
      <c r="B753" s="8"/>
      <c r="C753" s="8"/>
      <c r="D753" s="8"/>
      <c r="E753" s="8"/>
      <c r="F753" s="8"/>
      <c r="G753" s="8"/>
      <c r="H753" s="8"/>
      <c r="I753" s="8"/>
      <c r="J753" s="8"/>
      <c r="K753" s="8"/>
      <c r="L753" s="8"/>
      <c r="T753" s="8"/>
      <c r="U753" s="8"/>
      <c r="V753" s="8"/>
      <c r="W753" s="8"/>
      <c r="X753" s="8"/>
      <c r="Y753" s="8"/>
      <c r="Z753" s="8"/>
      <c r="AA753" s="8"/>
      <c r="AB753" s="8"/>
      <c r="AC753" s="8"/>
      <c r="AD753" s="8"/>
      <c r="AE753" s="8"/>
    </row>
    <row r="754" spans="1:31" x14ac:dyDescent="0.25">
      <c r="A754" s="8"/>
      <c r="B754" s="8"/>
      <c r="C754" s="8"/>
      <c r="D754" s="8"/>
      <c r="E754" s="8"/>
      <c r="F754" s="8"/>
      <c r="G754" s="8"/>
      <c r="H754" s="8"/>
      <c r="I754" s="8"/>
      <c r="J754" s="8"/>
      <c r="K754" s="8"/>
      <c r="L754" s="8"/>
      <c r="T754" s="8"/>
      <c r="U754" s="8"/>
      <c r="V754" s="8"/>
      <c r="W754" s="8"/>
      <c r="X754" s="8"/>
      <c r="Y754" s="8"/>
      <c r="Z754" s="8"/>
      <c r="AA754" s="8"/>
      <c r="AB754" s="8"/>
      <c r="AC754" s="8"/>
      <c r="AD754" s="8"/>
      <c r="AE754" s="8"/>
    </row>
    <row r="755" spans="1:31" x14ac:dyDescent="0.25">
      <c r="A755" s="8"/>
      <c r="B755" s="8"/>
      <c r="C755" s="8"/>
      <c r="D755" s="8"/>
      <c r="E755" s="8"/>
      <c r="F755" s="8"/>
      <c r="G755" s="8"/>
      <c r="H755" s="8"/>
      <c r="I755" s="8"/>
      <c r="J755" s="8"/>
      <c r="K755" s="8"/>
      <c r="L755" s="8"/>
      <c r="T755" s="8"/>
      <c r="U755" s="8"/>
      <c r="V755" s="8"/>
      <c r="W755" s="8"/>
      <c r="X755" s="8"/>
      <c r="Y755" s="8"/>
      <c r="Z755" s="8"/>
      <c r="AA755" s="8"/>
      <c r="AB755" s="8"/>
      <c r="AC755" s="8"/>
      <c r="AD755" s="8"/>
      <c r="AE755" s="8"/>
    </row>
    <row r="756" spans="1:31" x14ac:dyDescent="0.25">
      <c r="A756" s="8"/>
      <c r="B756" s="8"/>
      <c r="C756" s="8"/>
      <c r="D756" s="8"/>
      <c r="E756" s="8"/>
      <c r="F756" s="8"/>
      <c r="G756" s="8"/>
      <c r="H756" s="8"/>
      <c r="I756" s="8"/>
      <c r="J756" s="8"/>
      <c r="K756" s="8"/>
      <c r="L756" s="8"/>
      <c r="T756" s="8"/>
      <c r="U756" s="8"/>
      <c r="V756" s="8"/>
      <c r="W756" s="8"/>
      <c r="X756" s="8"/>
      <c r="Y756" s="8"/>
      <c r="Z756" s="8"/>
      <c r="AA756" s="8"/>
      <c r="AB756" s="8"/>
      <c r="AC756" s="8"/>
      <c r="AD756" s="8"/>
      <c r="AE756" s="8"/>
    </row>
    <row r="757" spans="1:31" x14ac:dyDescent="0.25">
      <c r="A757" s="8"/>
      <c r="B757" s="8"/>
      <c r="C757" s="8"/>
      <c r="D757" s="8"/>
      <c r="E757" s="8"/>
      <c r="F757" s="8"/>
      <c r="G757" s="8"/>
      <c r="H757" s="8"/>
      <c r="I757" s="8"/>
      <c r="J757" s="8"/>
      <c r="K757" s="8"/>
      <c r="L757" s="8"/>
      <c r="T757" s="8"/>
      <c r="U757" s="8"/>
      <c r="V757" s="8"/>
      <c r="W757" s="8"/>
      <c r="X757" s="8"/>
      <c r="Y757" s="8"/>
      <c r="Z757" s="8"/>
      <c r="AA757" s="8"/>
      <c r="AB757" s="8"/>
      <c r="AC757" s="8"/>
      <c r="AD757" s="8"/>
      <c r="AE757" s="8"/>
    </row>
    <row r="758" spans="1:31" x14ac:dyDescent="0.25">
      <c r="A758" s="8"/>
      <c r="B758" s="8"/>
      <c r="C758" s="8"/>
      <c r="D758" s="8"/>
      <c r="E758" s="8"/>
      <c r="F758" s="8"/>
      <c r="G758" s="8"/>
      <c r="H758" s="8"/>
      <c r="I758" s="8"/>
      <c r="J758" s="8"/>
      <c r="K758" s="8"/>
      <c r="L758" s="8"/>
      <c r="T758" s="8"/>
      <c r="U758" s="8"/>
      <c r="V758" s="8"/>
      <c r="W758" s="8"/>
      <c r="X758" s="8"/>
      <c r="Y758" s="8"/>
      <c r="Z758" s="8"/>
      <c r="AA758" s="8"/>
      <c r="AB758" s="8"/>
      <c r="AC758" s="8"/>
      <c r="AD758" s="8"/>
      <c r="AE758" s="8"/>
    </row>
    <row r="759" spans="1:31" x14ac:dyDescent="0.25">
      <c r="A759" s="8"/>
      <c r="B759" s="8"/>
      <c r="C759" s="8"/>
      <c r="D759" s="8"/>
      <c r="E759" s="8"/>
      <c r="F759" s="8"/>
      <c r="G759" s="8"/>
      <c r="H759" s="8"/>
      <c r="I759" s="8"/>
      <c r="J759" s="8"/>
      <c r="K759" s="8"/>
      <c r="L759" s="8"/>
      <c r="T759" s="8"/>
      <c r="U759" s="8"/>
      <c r="V759" s="8"/>
      <c r="W759" s="8"/>
      <c r="X759" s="8"/>
      <c r="Y759" s="8"/>
      <c r="Z759" s="8"/>
      <c r="AA759" s="8"/>
      <c r="AB759" s="8"/>
      <c r="AC759" s="8"/>
      <c r="AD759" s="8"/>
      <c r="AE759" s="8"/>
    </row>
    <row r="760" spans="1:31" x14ac:dyDescent="0.25">
      <c r="A760" s="8"/>
      <c r="B760" s="8"/>
      <c r="C760" s="8"/>
      <c r="D760" s="8"/>
      <c r="E760" s="8"/>
      <c r="F760" s="8"/>
      <c r="G760" s="8"/>
      <c r="H760" s="8"/>
      <c r="I760" s="8"/>
      <c r="J760" s="8"/>
      <c r="K760" s="8"/>
      <c r="L760" s="8"/>
      <c r="T760" s="8"/>
      <c r="U760" s="8"/>
      <c r="V760" s="8"/>
      <c r="W760" s="8"/>
      <c r="X760" s="8"/>
      <c r="Y760" s="8"/>
      <c r="Z760" s="8"/>
      <c r="AA760" s="8"/>
      <c r="AB760" s="8"/>
      <c r="AC760" s="8"/>
      <c r="AD760" s="8"/>
      <c r="AE760" s="8"/>
    </row>
    <row r="761" spans="1:31" x14ac:dyDescent="0.25">
      <c r="A761" s="8"/>
      <c r="B761" s="8"/>
      <c r="C761" s="8"/>
      <c r="D761" s="8"/>
      <c r="E761" s="8"/>
      <c r="F761" s="8"/>
      <c r="G761" s="8"/>
      <c r="H761" s="8"/>
      <c r="I761" s="8"/>
      <c r="J761" s="8"/>
      <c r="K761" s="8"/>
      <c r="L761" s="8"/>
      <c r="T761" s="8"/>
      <c r="U761" s="8"/>
      <c r="V761" s="8"/>
      <c r="W761" s="8"/>
      <c r="X761" s="8"/>
      <c r="Y761" s="8"/>
      <c r="Z761" s="8"/>
      <c r="AA761" s="8"/>
      <c r="AB761" s="8"/>
      <c r="AC761" s="8"/>
      <c r="AD761" s="8"/>
      <c r="AE761" s="8"/>
    </row>
    <row r="762" spans="1:31" x14ac:dyDescent="0.25">
      <c r="A762" s="8"/>
      <c r="B762" s="8"/>
      <c r="C762" s="8"/>
      <c r="D762" s="8"/>
      <c r="E762" s="8"/>
      <c r="F762" s="8"/>
      <c r="G762" s="8"/>
      <c r="H762" s="8"/>
      <c r="I762" s="8"/>
      <c r="J762" s="8"/>
      <c r="K762" s="8"/>
      <c r="L762" s="8"/>
      <c r="T762" s="8"/>
      <c r="U762" s="8"/>
      <c r="V762" s="8"/>
      <c r="W762" s="8"/>
      <c r="X762" s="8"/>
      <c r="Y762" s="8"/>
      <c r="Z762" s="8"/>
      <c r="AA762" s="8"/>
      <c r="AB762" s="8"/>
      <c r="AC762" s="8"/>
      <c r="AD762" s="8"/>
      <c r="AE762" s="8"/>
    </row>
    <row r="763" spans="1:31" x14ac:dyDescent="0.25">
      <c r="A763" s="8"/>
      <c r="B763" s="8"/>
      <c r="C763" s="8"/>
      <c r="D763" s="8"/>
      <c r="E763" s="8"/>
      <c r="F763" s="8"/>
      <c r="G763" s="8"/>
      <c r="H763" s="8"/>
      <c r="I763" s="8"/>
      <c r="J763" s="8"/>
      <c r="K763" s="8"/>
      <c r="L763" s="8"/>
      <c r="T763" s="8"/>
      <c r="U763" s="8"/>
      <c r="V763" s="8"/>
      <c r="W763" s="8"/>
      <c r="X763" s="8"/>
      <c r="Y763" s="8"/>
      <c r="Z763" s="8"/>
      <c r="AA763" s="8"/>
      <c r="AB763" s="8"/>
      <c r="AC763" s="8"/>
      <c r="AD763" s="8"/>
      <c r="AE763" s="8"/>
    </row>
    <row r="764" spans="1:31" x14ac:dyDescent="0.25">
      <c r="A764" s="8"/>
      <c r="B764" s="8"/>
      <c r="C764" s="8"/>
      <c r="D764" s="8"/>
      <c r="E764" s="8"/>
      <c r="F764" s="8"/>
      <c r="G764" s="8"/>
      <c r="H764" s="8"/>
      <c r="I764" s="8"/>
      <c r="J764" s="8"/>
      <c r="K764" s="8"/>
      <c r="L764" s="8"/>
      <c r="T764" s="8"/>
      <c r="U764" s="8"/>
      <c r="V764" s="8"/>
      <c r="W764" s="8"/>
      <c r="X764" s="8"/>
      <c r="Y764" s="8"/>
      <c r="Z764" s="8"/>
      <c r="AA764" s="8"/>
      <c r="AB764" s="8"/>
      <c r="AC764" s="8"/>
      <c r="AD764" s="8"/>
      <c r="AE764" s="8"/>
    </row>
    <row r="765" spans="1:31" x14ac:dyDescent="0.25">
      <c r="A765" s="8"/>
      <c r="B765" s="8"/>
      <c r="C765" s="8"/>
      <c r="D765" s="8"/>
      <c r="E765" s="8"/>
      <c r="F765" s="8"/>
      <c r="G765" s="8"/>
      <c r="H765" s="8"/>
      <c r="I765" s="8"/>
      <c r="J765" s="8"/>
      <c r="K765" s="8"/>
      <c r="L765" s="8"/>
      <c r="T765" s="8"/>
      <c r="U765" s="8"/>
      <c r="V765" s="8"/>
      <c r="W765" s="8"/>
      <c r="X765" s="8"/>
      <c r="Y765" s="8"/>
      <c r="Z765" s="8"/>
      <c r="AA765" s="8"/>
      <c r="AB765" s="8"/>
      <c r="AC765" s="8"/>
      <c r="AD765" s="8"/>
      <c r="AE765" s="8"/>
    </row>
    <row r="766" spans="1:31" x14ac:dyDescent="0.25">
      <c r="A766" s="8"/>
      <c r="B766" s="8"/>
      <c r="C766" s="8"/>
      <c r="D766" s="8"/>
      <c r="E766" s="8"/>
      <c r="F766" s="8"/>
      <c r="G766" s="8"/>
      <c r="H766" s="8"/>
      <c r="I766" s="8"/>
      <c r="J766" s="8"/>
      <c r="K766" s="8"/>
      <c r="L766" s="8"/>
      <c r="T766" s="8"/>
      <c r="U766" s="8"/>
      <c r="V766" s="8"/>
      <c r="W766" s="8"/>
      <c r="X766" s="8"/>
      <c r="Y766" s="8"/>
      <c r="Z766" s="8"/>
      <c r="AA766" s="8"/>
      <c r="AB766" s="8"/>
      <c r="AC766" s="8"/>
      <c r="AD766" s="8"/>
      <c r="AE766" s="8"/>
    </row>
    <row r="767" spans="1:31" x14ac:dyDescent="0.25">
      <c r="A767" s="8"/>
      <c r="B767" s="8"/>
      <c r="C767" s="8"/>
      <c r="D767" s="8"/>
      <c r="E767" s="8"/>
      <c r="F767" s="8"/>
      <c r="G767" s="8"/>
      <c r="H767" s="8"/>
      <c r="I767" s="8"/>
      <c r="J767" s="8"/>
      <c r="K767" s="8"/>
      <c r="L767" s="8"/>
      <c r="T767" s="8"/>
      <c r="U767" s="8"/>
      <c r="V767" s="8"/>
      <c r="W767" s="8"/>
      <c r="X767" s="8"/>
      <c r="Y767" s="8"/>
      <c r="Z767" s="8"/>
      <c r="AA767" s="8"/>
      <c r="AB767" s="8"/>
      <c r="AC767" s="8"/>
      <c r="AD767" s="8"/>
      <c r="AE767" s="8"/>
    </row>
    <row r="768" spans="1:31" x14ac:dyDescent="0.25">
      <c r="A768" s="8"/>
      <c r="B768" s="8"/>
      <c r="C768" s="8"/>
      <c r="D768" s="8"/>
      <c r="E768" s="8"/>
      <c r="F768" s="8"/>
      <c r="G768" s="8"/>
      <c r="H768" s="8"/>
      <c r="I768" s="8"/>
      <c r="J768" s="8"/>
      <c r="K768" s="8"/>
      <c r="L768" s="8"/>
      <c r="T768" s="8"/>
      <c r="U768" s="8"/>
      <c r="V768" s="8"/>
      <c r="W768" s="8"/>
      <c r="X768" s="8"/>
      <c r="Y768" s="8"/>
      <c r="Z768" s="8"/>
      <c r="AA768" s="8"/>
      <c r="AB768" s="8"/>
      <c r="AC768" s="8"/>
      <c r="AD768" s="8"/>
      <c r="AE768" s="8"/>
    </row>
    <row r="769" spans="1:31" x14ac:dyDescent="0.25">
      <c r="A769" s="8"/>
      <c r="B769" s="8"/>
      <c r="C769" s="8"/>
      <c r="D769" s="8"/>
      <c r="E769" s="8"/>
      <c r="F769" s="8"/>
      <c r="G769" s="8"/>
      <c r="H769" s="8"/>
      <c r="I769" s="8"/>
      <c r="J769" s="8"/>
      <c r="K769" s="8"/>
      <c r="L769" s="8"/>
      <c r="T769" s="8"/>
      <c r="U769" s="8"/>
      <c r="V769" s="8"/>
      <c r="W769" s="8"/>
      <c r="X769" s="8"/>
      <c r="Y769" s="8"/>
      <c r="Z769" s="8"/>
      <c r="AA769" s="8"/>
      <c r="AB769" s="8"/>
      <c r="AC769" s="8"/>
      <c r="AD769" s="8"/>
      <c r="AE769" s="8"/>
    </row>
    <row r="770" spans="1:31" x14ac:dyDescent="0.25">
      <c r="A770" s="8"/>
      <c r="B770" s="8"/>
      <c r="C770" s="8"/>
      <c r="D770" s="8"/>
      <c r="E770" s="8"/>
      <c r="F770" s="8"/>
      <c r="G770" s="8"/>
      <c r="H770" s="8"/>
      <c r="I770" s="8"/>
      <c r="J770" s="8"/>
      <c r="K770" s="8"/>
      <c r="L770" s="8"/>
      <c r="T770" s="8"/>
      <c r="U770" s="8"/>
      <c r="V770" s="8"/>
      <c r="W770" s="8"/>
      <c r="X770" s="8"/>
      <c r="Y770" s="8"/>
      <c r="Z770" s="8"/>
      <c r="AA770" s="8"/>
      <c r="AB770" s="8"/>
      <c r="AC770" s="8"/>
      <c r="AD770" s="8"/>
      <c r="AE770" s="8"/>
    </row>
    <row r="771" spans="1:31" x14ac:dyDescent="0.25">
      <c r="A771" s="8"/>
      <c r="B771" s="8"/>
      <c r="C771" s="8"/>
      <c r="D771" s="8"/>
      <c r="E771" s="8"/>
      <c r="F771" s="8"/>
      <c r="G771" s="8"/>
      <c r="H771" s="8"/>
      <c r="I771" s="8"/>
      <c r="J771" s="8"/>
      <c r="K771" s="8"/>
      <c r="L771" s="8"/>
      <c r="T771" s="8"/>
      <c r="U771" s="8"/>
      <c r="V771" s="8"/>
      <c r="W771" s="8"/>
      <c r="X771" s="8"/>
      <c r="Y771" s="8"/>
      <c r="Z771" s="8"/>
      <c r="AA771" s="8"/>
      <c r="AB771" s="8"/>
      <c r="AC771" s="8"/>
      <c r="AD771" s="8"/>
      <c r="AE771" s="8"/>
    </row>
    <row r="772" spans="1:31" x14ac:dyDescent="0.25">
      <c r="A772" s="8"/>
      <c r="B772" s="8"/>
      <c r="C772" s="8"/>
      <c r="D772" s="8"/>
      <c r="E772" s="8"/>
      <c r="F772" s="8"/>
      <c r="G772" s="8"/>
      <c r="H772" s="8"/>
      <c r="I772" s="8"/>
      <c r="J772" s="8"/>
      <c r="K772" s="8"/>
      <c r="L772" s="8"/>
      <c r="T772" s="8"/>
      <c r="U772" s="8"/>
      <c r="V772" s="8"/>
      <c r="W772" s="8"/>
      <c r="X772" s="8"/>
      <c r="Y772" s="8"/>
      <c r="Z772" s="8"/>
      <c r="AA772" s="8"/>
      <c r="AB772" s="8"/>
      <c r="AC772" s="8"/>
      <c r="AD772" s="8"/>
      <c r="AE772" s="8"/>
    </row>
    <row r="773" spans="1:31" x14ac:dyDescent="0.25">
      <c r="A773" s="8"/>
      <c r="B773" s="8"/>
      <c r="C773" s="8"/>
      <c r="D773" s="8"/>
      <c r="E773" s="8"/>
      <c r="F773" s="8"/>
      <c r="G773" s="8"/>
      <c r="H773" s="8"/>
      <c r="I773" s="8"/>
      <c r="J773" s="8"/>
      <c r="K773" s="8"/>
      <c r="L773" s="8"/>
      <c r="T773" s="8"/>
      <c r="U773" s="8"/>
      <c r="V773" s="8"/>
      <c r="W773" s="8"/>
      <c r="X773" s="8"/>
      <c r="Y773" s="8"/>
      <c r="Z773" s="8"/>
      <c r="AA773" s="8"/>
      <c r="AB773" s="8"/>
      <c r="AC773" s="8"/>
      <c r="AD773" s="8"/>
      <c r="AE773" s="8"/>
    </row>
    <row r="774" spans="1:31" x14ac:dyDescent="0.25">
      <c r="A774" s="8"/>
      <c r="B774" s="8"/>
      <c r="C774" s="8"/>
      <c r="D774" s="8"/>
      <c r="E774" s="8"/>
      <c r="F774" s="8"/>
      <c r="G774" s="8"/>
      <c r="H774" s="8"/>
      <c r="I774" s="8"/>
      <c r="J774" s="8"/>
      <c r="K774" s="8"/>
      <c r="L774" s="8"/>
      <c r="T774" s="8"/>
      <c r="U774" s="8"/>
      <c r="V774" s="8"/>
      <c r="W774" s="8"/>
      <c r="X774" s="8"/>
      <c r="Y774" s="8"/>
      <c r="Z774" s="8"/>
      <c r="AA774" s="8"/>
      <c r="AB774" s="8"/>
      <c r="AC774" s="8"/>
      <c r="AD774" s="8"/>
      <c r="AE774" s="8"/>
    </row>
    <row r="775" spans="1:31" x14ac:dyDescent="0.25">
      <c r="A775" s="8"/>
      <c r="B775" s="8"/>
      <c r="C775" s="8"/>
      <c r="D775" s="8"/>
      <c r="E775" s="8"/>
      <c r="F775" s="8"/>
      <c r="G775" s="8"/>
      <c r="H775" s="8"/>
      <c r="I775" s="8"/>
      <c r="J775" s="8"/>
      <c r="K775" s="8"/>
      <c r="L775" s="8"/>
      <c r="T775" s="8"/>
      <c r="U775" s="8"/>
      <c r="V775" s="8"/>
      <c r="W775" s="8"/>
      <c r="X775" s="8"/>
      <c r="Y775" s="8"/>
      <c r="Z775" s="8"/>
      <c r="AA775" s="8"/>
      <c r="AB775" s="8"/>
      <c r="AC775" s="8"/>
      <c r="AD775" s="8"/>
      <c r="AE775" s="8"/>
    </row>
    <row r="776" spans="1:31" x14ac:dyDescent="0.25">
      <c r="A776" s="8"/>
      <c r="B776" s="8"/>
      <c r="C776" s="8"/>
      <c r="D776" s="8"/>
      <c r="E776" s="8"/>
      <c r="F776" s="8"/>
      <c r="G776" s="8"/>
      <c r="H776" s="8"/>
      <c r="I776" s="8"/>
      <c r="J776" s="8"/>
      <c r="K776" s="8"/>
      <c r="L776" s="8"/>
      <c r="T776" s="8"/>
      <c r="U776" s="8"/>
      <c r="V776" s="8"/>
      <c r="W776" s="8"/>
      <c r="X776" s="8"/>
      <c r="Y776" s="8"/>
      <c r="Z776" s="8"/>
      <c r="AA776" s="8"/>
      <c r="AB776" s="8"/>
      <c r="AC776" s="8"/>
      <c r="AD776" s="8"/>
      <c r="AE776" s="8"/>
    </row>
    <row r="777" spans="1:31" x14ac:dyDescent="0.25">
      <c r="A777" s="8"/>
      <c r="B777" s="8"/>
      <c r="C777" s="8"/>
      <c r="D777" s="8"/>
      <c r="E777" s="8"/>
      <c r="F777" s="8"/>
      <c r="G777" s="8"/>
      <c r="H777" s="8"/>
      <c r="I777" s="8"/>
      <c r="J777" s="8"/>
      <c r="K777" s="8"/>
      <c r="L777" s="8"/>
      <c r="T777" s="8"/>
      <c r="U777" s="8"/>
      <c r="V777" s="8"/>
      <c r="W777" s="8"/>
      <c r="X777" s="8"/>
      <c r="Y777" s="8"/>
      <c r="Z777" s="8"/>
      <c r="AA777" s="8"/>
      <c r="AB777" s="8"/>
      <c r="AC777" s="8"/>
      <c r="AD777" s="8"/>
      <c r="AE777" s="8"/>
    </row>
    <row r="778" spans="1:31" x14ac:dyDescent="0.25">
      <c r="A778" s="8"/>
      <c r="B778" s="8"/>
      <c r="C778" s="8"/>
      <c r="D778" s="8"/>
      <c r="E778" s="8"/>
      <c r="F778" s="8"/>
      <c r="G778" s="8"/>
      <c r="H778" s="8"/>
      <c r="I778" s="8"/>
      <c r="J778" s="8"/>
      <c r="K778" s="8"/>
      <c r="L778" s="8"/>
      <c r="T778" s="8"/>
      <c r="U778" s="8"/>
      <c r="V778" s="8"/>
      <c r="W778" s="8"/>
      <c r="X778" s="8"/>
      <c r="Y778" s="8"/>
      <c r="Z778" s="8"/>
      <c r="AA778" s="8"/>
      <c r="AB778" s="8"/>
      <c r="AC778" s="8"/>
      <c r="AD778" s="8"/>
      <c r="AE778" s="8"/>
    </row>
    <row r="779" spans="1:31" x14ac:dyDescent="0.25">
      <c r="A779" s="8"/>
      <c r="B779" s="8"/>
      <c r="C779" s="8"/>
      <c r="D779" s="8"/>
      <c r="E779" s="8"/>
      <c r="F779" s="8"/>
      <c r="G779" s="8"/>
      <c r="H779" s="8"/>
      <c r="I779" s="8"/>
      <c r="J779" s="8"/>
      <c r="K779" s="8"/>
      <c r="L779" s="8"/>
      <c r="T779" s="8"/>
      <c r="U779" s="8"/>
      <c r="V779" s="8"/>
      <c r="W779" s="8"/>
      <c r="X779" s="8"/>
      <c r="Y779" s="8"/>
      <c r="Z779" s="8"/>
      <c r="AA779" s="8"/>
      <c r="AB779" s="8"/>
      <c r="AC779" s="8"/>
      <c r="AD779" s="8"/>
      <c r="AE779" s="8"/>
    </row>
    <row r="780" spans="1:31" x14ac:dyDescent="0.25">
      <c r="A780" s="8"/>
      <c r="B780" s="8"/>
      <c r="C780" s="8"/>
      <c r="D780" s="8"/>
      <c r="E780" s="8"/>
      <c r="F780" s="8"/>
      <c r="G780" s="8"/>
      <c r="H780" s="8"/>
      <c r="I780" s="8"/>
      <c r="J780" s="8"/>
      <c r="K780" s="8"/>
      <c r="L780" s="8"/>
      <c r="T780" s="8"/>
      <c r="U780" s="8"/>
      <c r="V780" s="8"/>
      <c r="W780" s="8"/>
      <c r="X780" s="8"/>
      <c r="Y780" s="8"/>
      <c r="Z780" s="8"/>
      <c r="AA780" s="8"/>
      <c r="AB780" s="8"/>
      <c r="AC780" s="8"/>
      <c r="AD780" s="8"/>
      <c r="AE780" s="8"/>
    </row>
    <row r="781" spans="1:31" x14ac:dyDescent="0.25">
      <c r="A781" s="8"/>
      <c r="B781" s="8"/>
      <c r="C781" s="8"/>
      <c r="D781" s="8"/>
      <c r="E781" s="8"/>
      <c r="F781" s="8"/>
      <c r="G781" s="8"/>
      <c r="H781" s="8"/>
      <c r="I781" s="8"/>
      <c r="J781" s="8"/>
      <c r="K781" s="8"/>
      <c r="L781" s="8"/>
      <c r="T781" s="8"/>
      <c r="U781" s="8"/>
      <c r="V781" s="8"/>
      <c r="W781" s="8"/>
      <c r="X781" s="8"/>
      <c r="Y781" s="8"/>
      <c r="Z781" s="8"/>
      <c r="AA781" s="8"/>
      <c r="AB781" s="8"/>
      <c r="AC781" s="8"/>
      <c r="AD781" s="8"/>
      <c r="AE781" s="8"/>
    </row>
    <row r="782" spans="1:31" x14ac:dyDescent="0.25">
      <c r="A782" s="8"/>
      <c r="B782" s="8"/>
      <c r="C782" s="8"/>
      <c r="D782" s="8"/>
      <c r="E782" s="8"/>
      <c r="F782" s="8"/>
      <c r="G782" s="8"/>
      <c r="H782" s="8"/>
      <c r="I782" s="8"/>
      <c r="J782" s="8"/>
      <c r="K782" s="8"/>
      <c r="L782" s="8"/>
      <c r="T782" s="8"/>
      <c r="U782" s="8"/>
      <c r="V782" s="8"/>
      <c r="W782" s="8"/>
      <c r="X782" s="8"/>
      <c r="Y782" s="8"/>
      <c r="Z782" s="8"/>
      <c r="AA782" s="8"/>
      <c r="AB782" s="8"/>
      <c r="AC782" s="8"/>
      <c r="AD782" s="8"/>
      <c r="AE782" s="8"/>
    </row>
    <row r="783" spans="1:31" x14ac:dyDescent="0.25">
      <c r="A783" s="8"/>
      <c r="B783" s="8"/>
      <c r="C783" s="8"/>
      <c r="D783" s="8"/>
      <c r="E783" s="8"/>
      <c r="F783" s="8"/>
      <c r="G783" s="8"/>
      <c r="H783" s="8"/>
      <c r="I783" s="8"/>
      <c r="J783" s="8"/>
      <c r="K783" s="8"/>
      <c r="L783" s="8"/>
      <c r="T783" s="8"/>
      <c r="U783" s="8"/>
      <c r="V783" s="8"/>
      <c r="W783" s="8"/>
      <c r="X783" s="8"/>
      <c r="Y783" s="8"/>
      <c r="Z783" s="8"/>
      <c r="AA783" s="8"/>
      <c r="AB783" s="8"/>
      <c r="AC783" s="8"/>
      <c r="AD783" s="8"/>
      <c r="AE783" s="8"/>
    </row>
    <row r="784" spans="1:31" x14ac:dyDescent="0.25">
      <c r="A784" s="8"/>
      <c r="B784" s="8"/>
      <c r="C784" s="8"/>
      <c r="D784" s="8"/>
      <c r="E784" s="8"/>
      <c r="F784" s="8"/>
      <c r="G784" s="8"/>
      <c r="H784" s="8"/>
      <c r="I784" s="8"/>
      <c r="J784" s="8"/>
      <c r="K784" s="8"/>
      <c r="L784" s="8"/>
      <c r="T784" s="8"/>
      <c r="U784" s="8"/>
      <c r="V784" s="8"/>
      <c r="W784" s="8"/>
      <c r="X784" s="8"/>
      <c r="Y784" s="8"/>
      <c r="Z784" s="8"/>
      <c r="AA784" s="8"/>
      <c r="AB784" s="8"/>
      <c r="AC784" s="8"/>
      <c r="AD784" s="8"/>
      <c r="AE784" s="8"/>
    </row>
    <row r="785" spans="1:31" x14ac:dyDescent="0.25">
      <c r="A785" s="8"/>
      <c r="B785" s="8"/>
      <c r="C785" s="8"/>
      <c r="D785" s="8"/>
      <c r="E785" s="8"/>
      <c r="F785" s="8"/>
      <c r="G785" s="8"/>
      <c r="H785" s="8"/>
      <c r="I785" s="8"/>
      <c r="J785" s="8"/>
      <c r="K785" s="8"/>
      <c r="L785" s="8"/>
      <c r="T785" s="8"/>
      <c r="U785" s="8"/>
      <c r="V785" s="8"/>
      <c r="W785" s="8"/>
      <c r="X785" s="8"/>
      <c r="Y785" s="8"/>
      <c r="Z785" s="8"/>
      <c r="AA785" s="8"/>
      <c r="AB785" s="8"/>
      <c r="AC785" s="8"/>
      <c r="AD785" s="8"/>
      <c r="AE785" s="8"/>
    </row>
    <row r="786" spans="1:31" x14ac:dyDescent="0.25">
      <c r="A786" s="8"/>
      <c r="B786" s="8"/>
      <c r="C786" s="8"/>
      <c r="D786" s="8"/>
      <c r="E786" s="8"/>
      <c r="F786" s="8"/>
      <c r="G786" s="8"/>
      <c r="H786" s="8"/>
      <c r="I786" s="8"/>
      <c r="J786" s="8"/>
      <c r="K786" s="8"/>
      <c r="L786" s="8"/>
      <c r="T786" s="8"/>
      <c r="U786" s="8"/>
      <c r="V786" s="8"/>
      <c r="W786" s="8"/>
      <c r="X786" s="8"/>
      <c r="Y786" s="8"/>
      <c r="Z786" s="8"/>
      <c r="AA786" s="8"/>
      <c r="AB786" s="8"/>
      <c r="AC786" s="8"/>
      <c r="AD786" s="8"/>
      <c r="AE786" s="8"/>
    </row>
    <row r="787" spans="1:31" x14ac:dyDescent="0.25">
      <c r="A787" s="8"/>
      <c r="B787" s="8"/>
      <c r="C787" s="8"/>
      <c r="D787" s="8"/>
      <c r="E787" s="8"/>
      <c r="F787" s="8"/>
      <c r="G787" s="8"/>
      <c r="H787" s="8"/>
      <c r="I787" s="8"/>
      <c r="J787" s="8"/>
      <c r="K787" s="8"/>
      <c r="L787" s="8"/>
      <c r="T787" s="8"/>
      <c r="U787" s="8"/>
      <c r="V787" s="8"/>
      <c r="W787" s="8"/>
      <c r="X787" s="8"/>
      <c r="Y787" s="8"/>
      <c r="Z787" s="8"/>
      <c r="AA787" s="8"/>
      <c r="AB787" s="8"/>
      <c r="AC787" s="8"/>
      <c r="AD787" s="8"/>
      <c r="AE787" s="8"/>
    </row>
    <row r="788" spans="1:31" x14ac:dyDescent="0.25">
      <c r="A788" s="8"/>
      <c r="B788" s="8"/>
      <c r="C788" s="8"/>
      <c r="D788" s="8"/>
      <c r="E788" s="8"/>
      <c r="F788" s="8"/>
      <c r="G788" s="8"/>
      <c r="H788" s="8"/>
      <c r="I788" s="8"/>
      <c r="J788" s="8"/>
      <c r="K788" s="8"/>
      <c r="L788" s="8"/>
      <c r="T788" s="8"/>
      <c r="U788" s="8"/>
      <c r="V788" s="8"/>
      <c r="W788" s="8"/>
      <c r="X788" s="8"/>
      <c r="Y788" s="8"/>
      <c r="Z788" s="8"/>
      <c r="AA788" s="8"/>
      <c r="AB788" s="8"/>
      <c r="AC788" s="8"/>
      <c r="AD788" s="8"/>
      <c r="AE788" s="8"/>
    </row>
    <row r="789" spans="1:31" x14ac:dyDescent="0.25">
      <c r="A789" s="8"/>
      <c r="B789" s="8"/>
      <c r="C789" s="8"/>
      <c r="D789" s="8"/>
      <c r="E789" s="8"/>
      <c r="F789" s="8"/>
      <c r="G789" s="8"/>
      <c r="H789" s="8"/>
      <c r="I789" s="8"/>
      <c r="J789" s="8"/>
      <c r="K789" s="8"/>
      <c r="L789" s="8"/>
      <c r="T789" s="8"/>
      <c r="U789" s="8"/>
      <c r="V789" s="8"/>
      <c r="W789" s="8"/>
      <c r="X789" s="8"/>
      <c r="Y789" s="8"/>
      <c r="Z789" s="8"/>
      <c r="AA789" s="8"/>
      <c r="AB789" s="8"/>
      <c r="AC789" s="8"/>
      <c r="AD789" s="8"/>
      <c r="AE789" s="8"/>
    </row>
    <row r="790" spans="1:31" x14ac:dyDescent="0.25">
      <c r="A790" s="8"/>
      <c r="B790" s="8"/>
      <c r="C790" s="8"/>
      <c r="D790" s="8"/>
      <c r="E790" s="8"/>
      <c r="F790" s="8"/>
      <c r="G790" s="8"/>
      <c r="H790" s="8"/>
      <c r="I790" s="8"/>
      <c r="J790" s="8"/>
      <c r="K790" s="8"/>
      <c r="L790" s="8"/>
      <c r="T790" s="8"/>
      <c r="U790" s="8"/>
      <c r="V790" s="8"/>
      <c r="W790" s="8"/>
      <c r="X790" s="8"/>
      <c r="Y790" s="8"/>
      <c r="Z790" s="8"/>
      <c r="AA790" s="8"/>
      <c r="AB790" s="8"/>
      <c r="AC790" s="8"/>
      <c r="AD790" s="8"/>
      <c r="AE790" s="8"/>
    </row>
    <row r="791" spans="1:31" x14ac:dyDescent="0.25">
      <c r="A791" s="8"/>
      <c r="B791" s="8"/>
      <c r="C791" s="8"/>
      <c r="D791" s="8"/>
      <c r="E791" s="8"/>
      <c r="F791" s="8"/>
      <c r="G791" s="8"/>
      <c r="H791" s="8"/>
      <c r="I791" s="8"/>
      <c r="J791" s="8"/>
      <c r="K791" s="8"/>
      <c r="L791" s="8"/>
      <c r="T791" s="8"/>
      <c r="U791" s="8"/>
      <c r="V791" s="8"/>
      <c r="W791" s="8"/>
      <c r="X791" s="8"/>
      <c r="Y791" s="8"/>
      <c r="Z791" s="8"/>
      <c r="AA791" s="8"/>
      <c r="AB791" s="8"/>
      <c r="AC791" s="8"/>
      <c r="AD791" s="8"/>
      <c r="AE791" s="8"/>
    </row>
    <row r="792" spans="1:31" x14ac:dyDescent="0.25">
      <c r="A792" s="8"/>
      <c r="B792" s="8"/>
      <c r="C792" s="8"/>
      <c r="D792" s="8"/>
      <c r="E792" s="8"/>
      <c r="F792" s="8"/>
      <c r="G792" s="8"/>
      <c r="H792" s="8"/>
      <c r="I792" s="8"/>
      <c r="J792" s="8"/>
      <c r="K792" s="8"/>
      <c r="L792" s="8"/>
      <c r="T792" s="8"/>
      <c r="U792" s="8"/>
      <c r="V792" s="8"/>
      <c r="W792" s="8"/>
      <c r="X792" s="8"/>
      <c r="Y792" s="8"/>
      <c r="Z792" s="8"/>
      <c r="AA792" s="8"/>
      <c r="AB792" s="8"/>
      <c r="AC792" s="8"/>
      <c r="AD792" s="8"/>
      <c r="AE792" s="8"/>
    </row>
    <row r="793" spans="1:31" x14ac:dyDescent="0.25">
      <c r="A793" s="8"/>
      <c r="B793" s="8"/>
      <c r="C793" s="8"/>
      <c r="D793" s="8"/>
      <c r="E793" s="8"/>
      <c r="F793" s="8"/>
      <c r="G793" s="8"/>
      <c r="H793" s="8"/>
      <c r="I793" s="8"/>
      <c r="J793" s="8"/>
      <c r="K793" s="8"/>
      <c r="L793" s="8"/>
      <c r="T793" s="8"/>
      <c r="U793" s="8"/>
      <c r="V793" s="8"/>
      <c r="W793" s="8"/>
      <c r="X793" s="8"/>
      <c r="Y793" s="8"/>
      <c r="Z793" s="8"/>
      <c r="AA793" s="8"/>
      <c r="AB793" s="8"/>
      <c r="AC793" s="8"/>
      <c r="AD793" s="8"/>
      <c r="AE793" s="8"/>
    </row>
    <row r="794" spans="1:31" x14ac:dyDescent="0.25">
      <c r="A794" s="8"/>
      <c r="B794" s="8"/>
      <c r="C794" s="8"/>
      <c r="D794" s="8"/>
      <c r="E794" s="8"/>
      <c r="F794" s="8"/>
      <c r="G794" s="8"/>
      <c r="H794" s="8"/>
      <c r="I794" s="8"/>
      <c r="J794" s="8"/>
      <c r="K794" s="8"/>
      <c r="L794" s="8"/>
      <c r="T794" s="8"/>
      <c r="U794" s="8"/>
      <c r="V794" s="8"/>
      <c r="W794" s="8"/>
      <c r="X794" s="8"/>
      <c r="Y794" s="8"/>
      <c r="Z794" s="8"/>
      <c r="AA794" s="8"/>
      <c r="AB794" s="8"/>
      <c r="AC794" s="8"/>
      <c r="AD794" s="8"/>
      <c r="AE794" s="8"/>
    </row>
    <row r="795" spans="1:31" x14ac:dyDescent="0.25">
      <c r="A795" s="8"/>
      <c r="B795" s="8"/>
      <c r="C795" s="8"/>
      <c r="D795" s="8"/>
      <c r="E795" s="8"/>
      <c r="F795" s="8"/>
      <c r="G795" s="8"/>
      <c r="H795" s="8"/>
      <c r="I795" s="8"/>
      <c r="J795" s="8"/>
      <c r="K795" s="8"/>
      <c r="L795" s="8"/>
      <c r="T795" s="8"/>
      <c r="U795" s="8"/>
      <c r="V795" s="8"/>
      <c r="W795" s="8"/>
      <c r="X795" s="8"/>
      <c r="Y795" s="8"/>
      <c r="Z795" s="8"/>
      <c r="AA795" s="8"/>
      <c r="AB795" s="8"/>
      <c r="AC795" s="8"/>
      <c r="AD795" s="8"/>
      <c r="AE795" s="8"/>
    </row>
    <row r="796" spans="1:31" x14ac:dyDescent="0.25">
      <c r="A796" s="8"/>
      <c r="B796" s="8"/>
      <c r="C796" s="8"/>
      <c r="D796" s="8"/>
      <c r="E796" s="8"/>
      <c r="F796" s="8"/>
      <c r="G796" s="8"/>
      <c r="H796" s="8"/>
      <c r="I796" s="8"/>
      <c r="J796" s="8"/>
      <c r="K796" s="8"/>
      <c r="L796" s="8"/>
      <c r="T796" s="8"/>
      <c r="U796" s="8"/>
      <c r="V796" s="8"/>
      <c r="W796" s="8"/>
      <c r="X796" s="8"/>
      <c r="Y796" s="8"/>
      <c r="Z796" s="8"/>
      <c r="AA796" s="8"/>
      <c r="AB796" s="8"/>
      <c r="AC796" s="8"/>
      <c r="AD796" s="8"/>
      <c r="AE796" s="8"/>
    </row>
    <row r="797" spans="1:31" x14ac:dyDescent="0.25">
      <c r="A797" s="8"/>
      <c r="B797" s="8"/>
      <c r="C797" s="8"/>
      <c r="D797" s="8"/>
      <c r="E797" s="8"/>
      <c r="F797" s="8"/>
      <c r="G797" s="8"/>
      <c r="H797" s="8"/>
      <c r="I797" s="8"/>
      <c r="J797" s="8"/>
      <c r="K797" s="8"/>
      <c r="L797" s="8"/>
      <c r="T797" s="8"/>
      <c r="U797" s="8"/>
      <c r="V797" s="8"/>
      <c r="W797" s="8"/>
      <c r="X797" s="8"/>
      <c r="Y797" s="8"/>
      <c r="Z797" s="8"/>
      <c r="AA797" s="8"/>
      <c r="AB797" s="8"/>
      <c r="AC797" s="8"/>
      <c r="AD797" s="8"/>
      <c r="AE797" s="8"/>
    </row>
    <row r="798" spans="1:31" x14ac:dyDescent="0.25">
      <c r="A798" s="8"/>
      <c r="B798" s="8"/>
      <c r="C798" s="8"/>
      <c r="D798" s="8"/>
      <c r="E798" s="8"/>
      <c r="F798" s="8"/>
      <c r="G798" s="8"/>
      <c r="H798" s="8"/>
      <c r="I798" s="8"/>
      <c r="J798" s="8"/>
      <c r="K798" s="8"/>
      <c r="L798" s="8"/>
      <c r="T798" s="8"/>
      <c r="U798" s="8"/>
      <c r="V798" s="8"/>
      <c r="W798" s="8"/>
      <c r="X798" s="8"/>
      <c r="Y798" s="8"/>
      <c r="Z798" s="8"/>
      <c r="AA798" s="8"/>
      <c r="AB798" s="8"/>
      <c r="AC798" s="8"/>
      <c r="AD798" s="8"/>
      <c r="AE798" s="8"/>
    </row>
    <row r="799" spans="1:31" x14ac:dyDescent="0.25">
      <c r="A799" s="8"/>
      <c r="B799" s="8"/>
      <c r="C799" s="8"/>
      <c r="D799" s="8"/>
      <c r="E799" s="8"/>
      <c r="F799" s="8"/>
      <c r="G799" s="8"/>
      <c r="H799" s="8"/>
      <c r="I799" s="8"/>
      <c r="J799" s="8"/>
      <c r="K799" s="8"/>
      <c r="L799" s="8"/>
      <c r="T799" s="8"/>
      <c r="U799" s="8"/>
      <c r="V799" s="8"/>
      <c r="W799" s="8"/>
      <c r="X799" s="8"/>
      <c r="Y799" s="8"/>
      <c r="Z799" s="8"/>
      <c r="AA799" s="8"/>
      <c r="AB799" s="8"/>
      <c r="AC799" s="8"/>
      <c r="AD799" s="8"/>
      <c r="AE799" s="8"/>
    </row>
    <row r="800" spans="1:31" x14ac:dyDescent="0.25">
      <c r="A800" s="8"/>
      <c r="B800" s="8"/>
      <c r="C800" s="8"/>
      <c r="D800" s="8"/>
      <c r="E800" s="8"/>
      <c r="F800" s="8"/>
      <c r="G800" s="8"/>
      <c r="H800" s="8"/>
      <c r="I800" s="8"/>
      <c r="J800" s="8"/>
      <c r="K800" s="8"/>
      <c r="L800" s="8"/>
      <c r="T800" s="8"/>
      <c r="U800" s="8"/>
      <c r="V800" s="8"/>
      <c r="W800" s="8"/>
      <c r="X800" s="8"/>
      <c r="Y800" s="8"/>
      <c r="Z800" s="8"/>
      <c r="AA800" s="8"/>
      <c r="AB800" s="8"/>
      <c r="AC800" s="8"/>
      <c r="AD800" s="8"/>
      <c r="AE800" s="8"/>
    </row>
    <row r="801" spans="1:31" x14ac:dyDescent="0.25">
      <c r="A801" s="8"/>
      <c r="B801" s="8"/>
      <c r="C801" s="8"/>
      <c r="D801" s="8"/>
      <c r="E801" s="8"/>
      <c r="F801" s="8"/>
      <c r="G801" s="8"/>
      <c r="H801" s="8"/>
      <c r="I801" s="8"/>
      <c r="J801" s="8"/>
      <c r="K801" s="8"/>
      <c r="L801" s="8"/>
      <c r="T801" s="8"/>
      <c r="U801" s="8"/>
      <c r="V801" s="8"/>
      <c r="W801" s="8"/>
      <c r="X801" s="8"/>
      <c r="Y801" s="8"/>
      <c r="Z801" s="8"/>
      <c r="AA801" s="8"/>
      <c r="AB801" s="8"/>
      <c r="AC801" s="8"/>
      <c r="AD801" s="8"/>
      <c r="AE801" s="8"/>
    </row>
    <row r="802" spans="1:31" x14ac:dyDescent="0.25">
      <c r="A802" s="8"/>
      <c r="B802" s="8"/>
      <c r="C802" s="8"/>
      <c r="D802" s="8"/>
      <c r="E802" s="8"/>
      <c r="F802" s="8"/>
      <c r="G802" s="8"/>
      <c r="H802" s="8"/>
      <c r="I802" s="8"/>
      <c r="J802" s="8"/>
      <c r="K802" s="8"/>
      <c r="L802" s="8"/>
      <c r="T802" s="8"/>
      <c r="U802" s="8"/>
      <c r="V802" s="8"/>
      <c r="W802" s="8"/>
      <c r="X802" s="8"/>
      <c r="Y802" s="8"/>
      <c r="Z802" s="8"/>
      <c r="AA802" s="8"/>
      <c r="AB802" s="8"/>
      <c r="AC802" s="8"/>
      <c r="AD802" s="8"/>
      <c r="AE802" s="8"/>
    </row>
    <row r="803" spans="1:31" x14ac:dyDescent="0.25">
      <c r="A803" s="8"/>
      <c r="B803" s="8"/>
      <c r="C803" s="8"/>
      <c r="D803" s="8"/>
      <c r="E803" s="8"/>
      <c r="F803" s="8"/>
      <c r="G803" s="8"/>
      <c r="H803" s="8"/>
      <c r="I803" s="8"/>
      <c r="J803" s="8"/>
      <c r="K803" s="8"/>
      <c r="L803" s="8"/>
      <c r="T803" s="8"/>
      <c r="U803" s="8"/>
      <c r="V803" s="8"/>
      <c r="W803" s="8"/>
      <c r="X803" s="8"/>
      <c r="Y803" s="8"/>
      <c r="Z803" s="8"/>
      <c r="AA803" s="8"/>
      <c r="AB803" s="8"/>
      <c r="AC803" s="8"/>
      <c r="AD803" s="8"/>
      <c r="AE803" s="8"/>
    </row>
    <row r="804" spans="1:31" x14ac:dyDescent="0.25">
      <c r="A804" s="8"/>
      <c r="B804" s="8"/>
      <c r="C804" s="8"/>
      <c r="D804" s="8"/>
      <c r="E804" s="8"/>
      <c r="F804" s="8"/>
      <c r="G804" s="8"/>
      <c r="H804" s="8"/>
      <c r="I804" s="8"/>
      <c r="J804" s="8"/>
      <c r="K804" s="8"/>
      <c r="L804" s="8"/>
      <c r="T804" s="8"/>
      <c r="U804" s="8"/>
      <c r="V804" s="8"/>
      <c r="W804" s="8"/>
      <c r="X804" s="8"/>
      <c r="Y804" s="8"/>
      <c r="Z804" s="8"/>
      <c r="AA804" s="8"/>
      <c r="AB804" s="8"/>
      <c r="AC804" s="8"/>
      <c r="AD804" s="8"/>
      <c r="AE804" s="8"/>
    </row>
    <row r="805" spans="1:31" x14ac:dyDescent="0.25">
      <c r="A805" s="8"/>
      <c r="B805" s="8"/>
      <c r="C805" s="8"/>
      <c r="D805" s="8"/>
      <c r="E805" s="8"/>
      <c r="F805" s="8"/>
      <c r="G805" s="8"/>
      <c r="H805" s="8"/>
      <c r="I805" s="8"/>
      <c r="J805" s="8"/>
      <c r="K805" s="8"/>
      <c r="L805" s="8"/>
      <c r="T805" s="8"/>
      <c r="U805" s="8"/>
      <c r="V805" s="8"/>
      <c r="W805" s="8"/>
      <c r="X805" s="8"/>
      <c r="Y805" s="8"/>
      <c r="Z805" s="8"/>
      <c r="AA805" s="8"/>
      <c r="AB805" s="8"/>
      <c r="AC805" s="8"/>
      <c r="AD805" s="8"/>
      <c r="AE805" s="8"/>
    </row>
    <row r="806" spans="1:31" x14ac:dyDescent="0.25">
      <c r="A806" s="8"/>
      <c r="B806" s="8"/>
      <c r="C806" s="8"/>
      <c r="D806" s="8"/>
      <c r="E806" s="8"/>
      <c r="F806" s="8"/>
      <c r="G806" s="8"/>
      <c r="H806" s="8"/>
      <c r="I806" s="8"/>
      <c r="J806" s="8"/>
      <c r="K806" s="8"/>
      <c r="L806" s="8"/>
      <c r="T806" s="8"/>
      <c r="U806" s="8"/>
      <c r="V806" s="8"/>
      <c r="W806" s="8"/>
      <c r="X806" s="8"/>
      <c r="Y806" s="8"/>
      <c r="Z806" s="8"/>
      <c r="AA806" s="8"/>
      <c r="AB806" s="8"/>
      <c r="AC806" s="8"/>
      <c r="AD806" s="8"/>
      <c r="AE806" s="8"/>
    </row>
    <row r="807" spans="1:31" x14ac:dyDescent="0.25">
      <c r="A807" s="8"/>
      <c r="B807" s="8"/>
      <c r="C807" s="8"/>
      <c r="D807" s="8"/>
      <c r="E807" s="8"/>
      <c r="F807" s="8"/>
      <c r="G807" s="8"/>
      <c r="H807" s="8"/>
      <c r="I807" s="8"/>
      <c r="J807" s="8"/>
      <c r="K807" s="8"/>
      <c r="L807" s="8"/>
      <c r="T807" s="8"/>
      <c r="U807" s="8"/>
      <c r="V807" s="8"/>
      <c r="W807" s="8"/>
      <c r="X807" s="8"/>
      <c r="Y807" s="8"/>
      <c r="Z807" s="8"/>
      <c r="AA807" s="8"/>
      <c r="AB807" s="8"/>
      <c r="AC807" s="8"/>
      <c r="AD807" s="8"/>
      <c r="AE807" s="8"/>
    </row>
    <row r="808" spans="1:31" x14ac:dyDescent="0.25">
      <c r="A808" s="8"/>
      <c r="B808" s="8"/>
      <c r="C808" s="8"/>
      <c r="D808" s="8"/>
      <c r="E808" s="8"/>
      <c r="F808" s="8"/>
      <c r="G808" s="8"/>
      <c r="H808" s="8"/>
      <c r="I808" s="8"/>
      <c r="J808" s="8"/>
      <c r="K808" s="8"/>
      <c r="L808" s="8"/>
      <c r="T808" s="8"/>
      <c r="U808" s="8"/>
      <c r="V808" s="8"/>
      <c r="W808" s="8"/>
      <c r="X808" s="8"/>
      <c r="Y808" s="8"/>
      <c r="Z808" s="8"/>
      <c r="AA808" s="8"/>
      <c r="AB808" s="8"/>
      <c r="AC808" s="8"/>
      <c r="AD808" s="8"/>
      <c r="AE808" s="8"/>
    </row>
    <row r="809" spans="1:31" x14ac:dyDescent="0.25">
      <c r="A809" s="8"/>
      <c r="B809" s="8"/>
      <c r="C809" s="8"/>
      <c r="D809" s="8"/>
      <c r="E809" s="8"/>
      <c r="F809" s="8"/>
      <c r="G809" s="8"/>
      <c r="H809" s="8"/>
      <c r="I809" s="8"/>
      <c r="J809" s="8"/>
      <c r="K809" s="8"/>
      <c r="L809" s="8"/>
      <c r="T809" s="8"/>
      <c r="U809" s="8"/>
      <c r="V809" s="8"/>
      <c r="W809" s="8"/>
      <c r="X809" s="8"/>
      <c r="Y809" s="8"/>
      <c r="Z809" s="8"/>
      <c r="AA809" s="8"/>
      <c r="AB809" s="8"/>
      <c r="AC809" s="8"/>
      <c r="AD809" s="8"/>
      <c r="AE809" s="8"/>
    </row>
    <row r="810" spans="1:31" x14ac:dyDescent="0.25">
      <c r="A810" s="8"/>
      <c r="B810" s="8"/>
      <c r="C810" s="8"/>
      <c r="D810" s="8"/>
      <c r="E810" s="8"/>
      <c r="F810" s="8"/>
      <c r="G810" s="8"/>
      <c r="H810" s="8"/>
      <c r="I810" s="8"/>
      <c r="J810" s="8"/>
      <c r="K810" s="8"/>
      <c r="L810" s="8"/>
      <c r="T810" s="8"/>
      <c r="U810" s="8"/>
      <c r="V810" s="8"/>
      <c r="W810" s="8"/>
      <c r="X810" s="8"/>
      <c r="Y810" s="8"/>
      <c r="Z810" s="8"/>
      <c r="AA810" s="8"/>
      <c r="AB810" s="8"/>
      <c r="AC810" s="8"/>
      <c r="AD810" s="8"/>
      <c r="AE810" s="8"/>
    </row>
    <row r="811" spans="1:31" x14ac:dyDescent="0.25">
      <c r="A811" s="8"/>
      <c r="B811" s="8"/>
      <c r="C811" s="8"/>
      <c r="D811" s="8"/>
      <c r="E811" s="8"/>
      <c r="F811" s="8"/>
      <c r="G811" s="8"/>
      <c r="H811" s="8"/>
      <c r="I811" s="8"/>
      <c r="J811" s="8"/>
      <c r="K811" s="8"/>
      <c r="L811" s="8"/>
      <c r="T811" s="8"/>
      <c r="U811" s="8"/>
      <c r="V811" s="8"/>
      <c r="W811" s="8"/>
      <c r="X811" s="8"/>
      <c r="Y811" s="8"/>
      <c r="Z811" s="8"/>
      <c r="AA811" s="8"/>
      <c r="AB811" s="8"/>
      <c r="AC811" s="8"/>
      <c r="AD811" s="8"/>
      <c r="AE811" s="8"/>
    </row>
    <row r="812" spans="1:31" x14ac:dyDescent="0.25">
      <c r="A812" s="8"/>
      <c r="B812" s="8"/>
      <c r="C812" s="8"/>
      <c r="D812" s="8"/>
      <c r="E812" s="8"/>
      <c r="F812" s="8"/>
      <c r="G812" s="8"/>
      <c r="H812" s="8"/>
      <c r="I812" s="8"/>
      <c r="J812" s="8"/>
      <c r="K812" s="8"/>
      <c r="L812" s="8"/>
      <c r="T812" s="8"/>
      <c r="U812" s="8"/>
      <c r="V812" s="8"/>
      <c r="W812" s="8"/>
      <c r="X812" s="8"/>
      <c r="Y812" s="8"/>
      <c r="Z812" s="8"/>
      <c r="AA812" s="8"/>
      <c r="AB812" s="8"/>
      <c r="AC812" s="8"/>
      <c r="AD812" s="8"/>
      <c r="AE812" s="8"/>
    </row>
    <row r="813" spans="1:31" x14ac:dyDescent="0.25">
      <c r="A813" s="8"/>
      <c r="B813" s="8"/>
      <c r="C813" s="8"/>
      <c r="D813" s="8"/>
      <c r="E813" s="8"/>
      <c r="F813" s="8"/>
      <c r="G813" s="8"/>
      <c r="H813" s="8"/>
      <c r="I813" s="8"/>
      <c r="J813" s="8"/>
      <c r="K813" s="8"/>
      <c r="L813" s="8"/>
      <c r="T813" s="8"/>
      <c r="U813" s="8"/>
      <c r="V813" s="8"/>
      <c r="W813" s="8"/>
      <c r="X813" s="8"/>
      <c r="Y813" s="8"/>
      <c r="Z813" s="8"/>
      <c r="AA813" s="8"/>
      <c r="AB813" s="8"/>
      <c r="AC813" s="8"/>
      <c r="AD813" s="8"/>
      <c r="AE813" s="8"/>
    </row>
    <row r="814" spans="1:31" x14ac:dyDescent="0.25">
      <c r="A814" s="8"/>
      <c r="B814" s="8"/>
      <c r="C814" s="8"/>
      <c r="D814" s="8"/>
      <c r="E814" s="8"/>
      <c r="F814" s="8"/>
      <c r="G814" s="8"/>
      <c r="H814" s="8"/>
      <c r="I814" s="8"/>
      <c r="J814" s="8"/>
      <c r="K814" s="8"/>
      <c r="L814" s="8"/>
      <c r="T814" s="8"/>
      <c r="U814" s="8"/>
      <c r="V814" s="8"/>
      <c r="W814" s="8"/>
      <c r="X814" s="8"/>
      <c r="Y814" s="8"/>
      <c r="Z814" s="8"/>
      <c r="AA814" s="8"/>
      <c r="AB814" s="8"/>
      <c r="AC814" s="8"/>
      <c r="AD814" s="8"/>
      <c r="AE814" s="8"/>
    </row>
    <row r="815" spans="1:31" x14ac:dyDescent="0.25">
      <c r="A815" s="8"/>
      <c r="B815" s="8"/>
      <c r="C815" s="8"/>
      <c r="D815" s="8"/>
      <c r="E815" s="8"/>
      <c r="F815" s="8"/>
      <c r="G815" s="8"/>
      <c r="H815" s="8"/>
      <c r="I815" s="8"/>
      <c r="J815" s="8"/>
      <c r="K815" s="8"/>
      <c r="L815" s="8"/>
      <c r="T815" s="8"/>
      <c r="U815" s="8"/>
      <c r="V815" s="8"/>
      <c r="W815" s="8"/>
      <c r="X815" s="8"/>
      <c r="Y815" s="8"/>
      <c r="Z815" s="8"/>
      <c r="AA815" s="8"/>
      <c r="AB815" s="8"/>
      <c r="AC815" s="8"/>
      <c r="AD815" s="8"/>
      <c r="AE815" s="8"/>
    </row>
    <row r="816" spans="1:31" x14ac:dyDescent="0.25">
      <c r="A816" s="8"/>
      <c r="B816" s="8"/>
      <c r="C816" s="8"/>
      <c r="D816" s="8"/>
      <c r="E816" s="8"/>
      <c r="F816" s="8"/>
      <c r="G816" s="8"/>
      <c r="H816" s="8"/>
      <c r="I816" s="8"/>
      <c r="J816" s="8"/>
      <c r="K816" s="8"/>
      <c r="L816" s="8"/>
      <c r="T816" s="8"/>
      <c r="U816" s="8"/>
      <c r="V816" s="8"/>
      <c r="W816" s="8"/>
      <c r="X816" s="8"/>
      <c r="Y816" s="8"/>
      <c r="Z816" s="8"/>
      <c r="AA816" s="8"/>
      <c r="AB816" s="8"/>
      <c r="AC816" s="8"/>
      <c r="AD816" s="8"/>
      <c r="AE816" s="8"/>
    </row>
    <row r="817" spans="1:31" x14ac:dyDescent="0.25">
      <c r="A817" s="8"/>
      <c r="B817" s="8"/>
      <c r="C817" s="8"/>
      <c r="D817" s="8"/>
      <c r="E817" s="8"/>
      <c r="F817" s="8"/>
      <c r="G817" s="8"/>
      <c r="H817" s="8"/>
      <c r="I817" s="8"/>
      <c r="J817" s="8"/>
      <c r="K817" s="8"/>
      <c r="L817" s="8"/>
      <c r="T817" s="8"/>
      <c r="U817" s="8"/>
      <c r="V817" s="8"/>
      <c r="W817" s="8"/>
      <c r="X817" s="8"/>
      <c r="Y817" s="8"/>
      <c r="Z817" s="8"/>
      <c r="AA817" s="8"/>
      <c r="AB817" s="8"/>
      <c r="AC817" s="8"/>
      <c r="AD817" s="8"/>
      <c r="AE817" s="8"/>
    </row>
    <row r="818" spans="1:31" x14ac:dyDescent="0.25">
      <c r="A818" s="8"/>
      <c r="B818" s="8"/>
      <c r="C818" s="8"/>
      <c r="D818" s="8"/>
      <c r="E818" s="8"/>
      <c r="F818" s="8"/>
      <c r="G818" s="8"/>
      <c r="H818" s="8"/>
      <c r="I818" s="8"/>
      <c r="J818" s="8"/>
      <c r="K818" s="8"/>
      <c r="L818" s="8"/>
      <c r="T818" s="8"/>
      <c r="U818" s="8"/>
      <c r="V818" s="8"/>
      <c r="W818" s="8"/>
      <c r="X818" s="8"/>
      <c r="Y818" s="8"/>
      <c r="Z818" s="8"/>
      <c r="AA818" s="8"/>
      <c r="AB818" s="8"/>
      <c r="AC818" s="8"/>
      <c r="AD818" s="8"/>
      <c r="AE818" s="8"/>
    </row>
    <row r="819" spans="1:31" x14ac:dyDescent="0.25">
      <c r="A819" s="8"/>
      <c r="B819" s="8"/>
      <c r="C819" s="8"/>
      <c r="D819" s="8"/>
      <c r="E819" s="8"/>
      <c r="F819" s="8"/>
      <c r="G819" s="8"/>
      <c r="H819" s="8"/>
      <c r="I819" s="8"/>
      <c r="J819" s="8"/>
      <c r="K819" s="8"/>
      <c r="L819" s="8"/>
      <c r="T819" s="8"/>
      <c r="U819" s="8"/>
      <c r="V819" s="8"/>
      <c r="W819" s="8"/>
      <c r="X819" s="8"/>
      <c r="Y819" s="8"/>
      <c r="Z819" s="8"/>
      <c r="AA819" s="8"/>
      <c r="AB819" s="8"/>
      <c r="AC819" s="8"/>
      <c r="AD819" s="8"/>
      <c r="AE819" s="8"/>
    </row>
    <row r="820" spans="1:31" x14ac:dyDescent="0.25">
      <c r="A820" s="8"/>
      <c r="B820" s="8"/>
      <c r="C820" s="8"/>
      <c r="D820" s="8"/>
      <c r="E820" s="8"/>
      <c r="F820" s="8"/>
      <c r="G820" s="8"/>
      <c r="H820" s="8"/>
      <c r="I820" s="8"/>
      <c r="J820" s="8"/>
      <c r="K820" s="8"/>
      <c r="L820" s="8"/>
      <c r="T820" s="8"/>
      <c r="U820" s="8"/>
      <c r="V820" s="8"/>
      <c r="W820" s="8"/>
      <c r="X820" s="8"/>
      <c r="Y820" s="8"/>
      <c r="Z820" s="8"/>
      <c r="AA820" s="8"/>
      <c r="AB820" s="8"/>
      <c r="AC820" s="8"/>
      <c r="AD820" s="8"/>
      <c r="AE820" s="8"/>
    </row>
    <row r="821" spans="1:31" x14ac:dyDescent="0.25">
      <c r="A821" s="8"/>
      <c r="B821" s="8"/>
      <c r="C821" s="8"/>
      <c r="D821" s="8"/>
      <c r="E821" s="8"/>
      <c r="F821" s="8"/>
      <c r="G821" s="8"/>
      <c r="H821" s="8"/>
      <c r="I821" s="8"/>
      <c r="J821" s="8"/>
      <c r="K821" s="8"/>
      <c r="L821" s="8"/>
      <c r="T821" s="8"/>
      <c r="U821" s="8"/>
      <c r="V821" s="8"/>
      <c r="W821" s="8"/>
      <c r="X821" s="8"/>
      <c r="Y821" s="8"/>
      <c r="Z821" s="8"/>
      <c r="AA821" s="8"/>
      <c r="AB821" s="8"/>
      <c r="AC821" s="8"/>
      <c r="AD821" s="8"/>
      <c r="AE821" s="8"/>
    </row>
    <row r="822" spans="1:31" x14ac:dyDescent="0.25">
      <c r="A822" s="8"/>
      <c r="B822" s="8"/>
      <c r="C822" s="8"/>
      <c r="D822" s="8"/>
      <c r="E822" s="8"/>
      <c r="F822" s="8"/>
      <c r="G822" s="8"/>
      <c r="H822" s="8"/>
      <c r="I822" s="8"/>
      <c r="J822" s="8"/>
      <c r="K822" s="8"/>
      <c r="L822" s="8"/>
      <c r="T822" s="8"/>
      <c r="U822" s="8"/>
      <c r="V822" s="8"/>
      <c r="W822" s="8"/>
      <c r="X822" s="8"/>
      <c r="Y822" s="8"/>
      <c r="Z822" s="8"/>
      <c r="AA822" s="8"/>
      <c r="AB822" s="8"/>
      <c r="AC822" s="8"/>
      <c r="AD822" s="8"/>
      <c r="AE822" s="8"/>
    </row>
    <row r="823" spans="1:31" x14ac:dyDescent="0.25">
      <c r="A823" s="8"/>
      <c r="B823" s="8"/>
      <c r="C823" s="8"/>
      <c r="D823" s="8"/>
      <c r="E823" s="8"/>
      <c r="F823" s="8"/>
      <c r="G823" s="8"/>
      <c r="H823" s="8"/>
      <c r="I823" s="8"/>
      <c r="J823" s="8"/>
      <c r="K823" s="8"/>
      <c r="L823" s="8"/>
      <c r="T823" s="8"/>
      <c r="U823" s="8"/>
      <c r="V823" s="8"/>
      <c r="W823" s="8"/>
      <c r="X823" s="8"/>
      <c r="Y823" s="8"/>
      <c r="Z823" s="8"/>
      <c r="AA823" s="8"/>
      <c r="AB823" s="8"/>
      <c r="AC823" s="8"/>
      <c r="AD823" s="8"/>
      <c r="AE823" s="8"/>
    </row>
    <row r="824" spans="1:31" x14ac:dyDescent="0.25">
      <c r="A824" s="8"/>
      <c r="B824" s="8"/>
      <c r="C824" s="8"/>
      <c r="D824" s="8"/>
      <c r="E824" s="8"/>
      <c r="F824" s="8"/>
      <c r="G824" s="8"/>
      <c r="H824" s="8"/>
      <c r="I824" s="8"/>
      <c r="J824" s="8"/>
      <c r="K824" s="8"/>
      <c r="L824" s="8"/>
      <c r="T824" s="8"/>
      <c r="U824" s="8"/>
      <c r="V824" s="8"/>
      <c r="W824" s="8"/>
      <c r="X824" s="8"/>
      <c r="Y824" s="8"/>
      <c r="Z824" s="8"/>
      <c r="AA824" s="8"/>
      <c r="AB824" s="8"/>
      <c r="AC824" s="8"/>
      <c r="AD824" s="8"/>
      <c r="AE824" s="8"/>
    </row>
    <row r="825" spans="1:31" x14ac:dyDescent="0.25">
      <c r="A825" s="8"/>
      <c r="B825" s="8"/>
      <c r="C825" s="8"/>
      <c r="D825" s="8"/>
      <c r="E825" s="8"/>
      <c r="F825" s="8"/>
      <c r="G825" s="8"/>
      <c r="H825" s="8"/>
      <c r="I825" s="8"/>
      <c r="J825" s="8"/>
      <c r="K825" s="8"/>
      <c r="L825" s="8"/>
      <c r="T825" s="8"/>
      <c r="U825" s="8"/>
      <c r="V825" s="8"/>
      <c r="W825" s="8"/>
      <c r="X825" s="8"/>
      <c r="Y825" s="8"/>
      <c r="Z825" s="8"/>
      <c r="AA825" s="8"/>
      <c r="AB825" s="8"/>
      <c r="AC825" s="8"/>
      <c r="AD825" s="8"/>
      <c r="AE825" s="8"/>
    </row>
    <row r="826" spans="1:31" x14ac:dyDescent="0.25">
      <c r="A826" s="8"/>
      <c r="B826" s="8"/>
      <c r="C826" s="8"/>
      <c r="D826" s="8"/>
      <c r="E826" s="8"/>
      <c r="F826" s="8"/>
      <c r="G826" s="8"/>
      <c r="H826" s="8"/>
      <c r="I826" s="8"/>
      <c r="J826" s="8"/>
      <c r="K826" s="8"/>
      <c r="L826" s="8"/>
      <c r="T826" s="8"/>
      <c r="U826" s="8"/>
      <c r="V826" s="8"/>
      <c r="W826" s="8"/>
      <c r="X826" s="8"/>
      <c r="Y826" s="8"/>
      <c r="Z826" s="8"/>
      <c r="AA826" s="8"/>
      <c r="AB826" s="8"/>
      <c r="AC826" s="8"/>
      <c r="AD826" s="8"/>
      <c r="AE826" s="8"/>
    </row>
    <row r="827" spans="1:31" x14ac:dyDescent="0.25">
      <c r="A827" s="8"/>
      <c r="B827" s="8"/>
      <c r="C827" s="8"/>
      <c r="D827" s="8"/>
      <c r="E827" s="8"/>
      <c r="F827" s="8"/>
      <c r="G827" s="8"/>
      <c r="H827" s="8"/>
      <c r="I827" s="8"/>
      <c r="J827" s="8"/>
      <c r="K827" s="8"/>
      <c r="L827" s="8"/>
      <c r="T827" s="8"/>
      <c r="U827" s="8"/>
      <c r="V827" s="8"/>
      <c r="W827" s="8"/>
      <c r="X827" s="8"/>
      <c r="Y827" s="8"/>
      <c r="Z827" s="8"/>
      <c r="AA827" s="8"/>
      <c r="AB827" s="8"/>
      <c r="AC827" s="8"/>
      <c r="AD827" s="8"/>
      <c r="AE827" s="8"/>
    </row>
    <row r="828" spans="1:31" x14ac:dyDescent="0.25">
      <c r="A828" s="8"/>
      <c r="B828" s="8"/>
      <c r="C828" s="8"/>
      <c r="D828" s="8"/>
      <c r="E828" s="8"/>
      <c r="F828" s="8"/>
      <c r="G828" s="8"/>
      <c r="H828" s="8"/>
      <c r="I828" s="8"/>
      <c r="J828" s="8"/>
      <c r="K828" s="8"/>
      <c r="L828" s="8"/>
      <c r="T828" s="8"/>
      <c r="U828" s="8"/>
      <c r="V828" s="8"/>
      <c r="W828" s="8"/>
      <c r="X828" s="8"/>
      <c r="Y828" s="8"/>
      <c r="Z828" s="8"/>
      <c r="AA828" s="8"/>
      <c r="AB828" s="8"/>
      <c r="AC828" s="8"/>
      <c r="AD828" s="8"/>
      <c r="AE828" s="8"/>
    </row>
    <row r="829" spans="1:31" x14ac:dyDescent="0.25">
      <c r="A829" s="8"/>
      <c r="B829" s="8"/>
      <c r="C829" s="8"/>
      <c r="D829" s="8"/>
      <c r="E829" s="8"/>
      <c r="F829" s="8"/>
      <c r="G829" s="8"/>
      <c r="H829" s="8"/>
      <c r="I829" s="8"/>
      <c r="J829" s="8"/>
      <c r="K829" s="8"/>
      <c r="L829" s="8"/>
      <c r="T829" s="8"/>
      <c r="U829" s="8"/>
      <c r="V829" s="8"/>
      <c r="W829" s="8"/>
      <c r="X829" s="8"/>
      <c r="Y829" s="8"/>
      <c r="Z829" s="8"/>
      <c r="AA829" s="8"/>
      <c r="AB829" s="8"/>
      <c r="AC829" s="8"/>
      <c r="AD829" s="8"/>
      <c r="AE829" s="8"/>
    </row>
    <row r="830" spans="1:31" x14ac:dyDescent="0.25">
      <c r="A830" s="8"/>
      <c r="B830" s="8"/>
      <c r="C830" s="8"/>
      <c r="D830" s="8"/>
      <c r="E830" s="8"/>
      <c r="F830" s="8"/>
      <c r="G830" s="8"/>
      <c r="H830" s="8"/>
      <c r="I830" s="8"/>
      <c r="J830" s="8"/>
      <c r="K830" s="8"/>
      <c r="L830" s="8"/>
      <c r="T830" s="8"/>
      <c r="U830" s="8"/>
      <c r="V830" s="8"/>
      <c r="W830" s="8"/>
      <c r="X830" s="8"/>
      <c r="Y830" s="8"/>
      <c r="Z830" s="8"/>
      <c r="AA830" s="8"/>
      <c r="AB830" s="8"/>
      <c r="AC830" s="8"/>
      <c r="AD830" s="8"/>
      <c r="AE830" s="8"/>
    </row>
    <row r="831" spans="1:31" x14ac:dyDescent="0.25">
      <c r="A831" s="8"/>
      <c r="B831" s="8"/>
      <c r="C831" s="8"/>
      <c r="D831" s="8"/>
      <c r="E831" s="8"/>
      <c r="F831" s="8"/>
      <c r="G831" s="8"/>
      <c r="H831" s="8"/>
      <c r="I831" s="8"/>
      <c r="J831" s="8"/>
      <c r="K831" s="8"/>
      <c r="L831" s="8"/>
      <c r="T831" s="8"/>
      <c r="U831" s="8"/>
      <c r="V831" s="8"/>
      <c r="W831" s="8"/>
      <c r="X831" s="8"/>
      <c r="Y831" s="8"/>
      <c r="Z831" s="8"/>
      <c r="AA831" s="8"/>
      <c r="AB831" s="8"/>
      <c r="AC831" s="8"/>
      <c r="AD831" s="8"/>
      <c r="AE831" s="8"/>
    </row>
    <row r="832" spans="1:31" x14ac:dyDescent="0.25">
      <c r="A832" s="8"/>
      <c r="B832" s="8"/>
      <c r="C832" s="8"/>
      <c r="D832" s="8"/>
      <c r="E832" s="8"/>
      <c r="F832" s="8"/>
      <c r="G832" s="8"/>
      <c r="H832" s="8"/>
      <c r="I832" s="8"/>
      <c r="J832" s="8"/>
      <c r="K832" s="8"/>
      <c r="L832" s="8"/>
      <c r="T832" s="8"/>
      <c r="U832" s="8"/>
      <c r="V832" s="8"/>
      <c r="W832" s="8"/>
      <c r="X832" s="8"/>
      <c r="Y832" s="8"/>
      <c r="Z832" s="8"/>
      <c r="AA832" s="8"/>
      <c r="AB832" s="8"/>
      <c r="AC832" s="8"/>
      <c r="AD832" s="8"/>
      <c r="AE832" s="8"/>
    </row>
    <row r="833" spans="1:31" x14ac:dyDescent="0.25">
      <c r="A833" s="8"/>
      <c r="B833" s="8"/>
      <c r="C833" s="8"/>
      <c r="D833" s="8"/>
      <c r="E833" s="8"/>
      <c r="F833" s="8"/>
      <c r="G833" s="8"/>
      <c r="H833" s="8"/>
      <c r="I833" s="8"/>
      <c r="J833" s="8"/>
      <c r="K833" s="8"/>
      <c r="L833" s="8"/>
      <c r="T833" s="8"/>
      <c r="U833" s="8"/>
      <c r="V833" s="8"/>
      <c r="W833" s="8"/>
      <c r="X833" s="8"/>
      <c r="Y833" s="8"/>
      <c r="Z833" s="8"/>
      <c r="AA833" s="8"/>
      <c r="AB833" s="8"/>
      <c r="AC833" s="8"/>
      <c r="AD833" s="8"/>
      <c r="AE833" s="8"/>
    </row>
    <row r="834" spans="1:31" x14ac:dyDescent="0.25">
      <c r="A834" s="8"/>
      <c r="B834" s="8"/>
      <c r="C834" s="8"/>
      <c r="D834" s="8"/>
      <c r="E834" s="8"/>
      <c r="F834" s="8"/>
      <c r="G834" s="8"/>
      <c r="H834" s="8"/>
      <c r="I834" s="8"/>
      <c r="J834" s="8"/>
      <c r="K834" s="8"/>
      <c r="L834" s="8"/>
      <c r="T834" s="8"/>
      <c r="U834" s="8"/>
      <c r="V834" s="8"/>
      <c r="W834" s="8"/>
      <c r="X834" s="8"/>
      <c r="Y834" s="8"/>
      <c r="Z834" s="8"/>
      <c r="AA834" s="8"/>
      <c r="AB834" s="8"/>
      <c r="AC834" s="8"/>
      <c r="AD834" s="8"/>
      <c r="AE834" s="8"/>
    </row>
    <row r="835" spans="1:31" x14ac:dyDescent="0.25">
      <c r="A835" s="8"/>
      <c r="B835" s="8"/>
      <c r="C835" s="8"/>
      <c r="D835" s="8"/>
      <c r="E835" s="8"/>
      <c r="F835" s="8"/>
      <c r="G835" s="8"/>
      <c r="H835" s="8"/>
      <c r="I835" s="8"/>
      <c r="J835" s="8"/>
      <c r="K835" s="8"/>
      <c r="L835" s="8"/>
      <c r="T835" s="8"/>
      <c r="U835" s="8"/>
      <c r="V835" s="8"/>
      <c r="W835" s="8"/>
      <c r="X835" s="8"/>
      <c r="Y835" s="8"/>
      <c r="Z835" s="8"/>
      <c r="AA835" s="8"/>
      <c r="AB835" s="8"/>
      <c r="AC835" s="8"/>
      <c r="AD835" s="8"/>
      <c r="AE835" s="8"/>
    </row>
    <row r="836" spans="1:31" x14ac:dyDescent="0.25">
      <c r="A836" s="8"/>
      <c r="B836" s="8"/>
      <c r="C836" s="8"/>
      <c r="D836" s="8"/>
      <c r="E836" s="8"/>
      <c r="F836" s="8"/>
      <c r="G836" s="8"/>
      <c r="H836" s="8"/>
      <c r="I836" s="8"/>
      <c r="J836" s="8"/>
      <c r="K836" s="8"/>
      <c r="L836" s="8"/>
      <c r="T836" s="8"/>
      <c r="U836" s="8"/>
      <c r="V836" s="8"/>
      <c r="W836" s="8"/>
      <c r="X836" s="8"/>
      <c r="Y836" s="8"/>
      <c r="Z836" s="8"/>
      <c r="AA836" s="8"/>
      <c r="AB836" s="8"/>
      <c r="AC836" s="8"/>
      <c r="AD836" s="8"/>
      <c r="AE836" s="8"/>
    </row>
    <row r="837" spans="1:31" x14ac:dyDescent="0.25">
      <c r="A837" s="8"/>
      <c r="B837" s="8"/>
      <c r="C837" s="8"/>
      <c r="D837" s="8"/>
      <c r="E837" s="8"/>
      <c r="F837" s="8"/>
      <c r="G837" s="8"/>
      <c r="H837" s="8"/>
      <c r="I837" s="8"/>
      <c r="J837" s="8"/>
      <c r="K837" s="8"/>
      <c r="L837" s="8"/>
      <c r="T837" s="8"/>
      <c r="U837" s="8"/>
      <c r="V837" s="8"/>
      <c r="W837" s="8"/>
      <c r="X837" s="8"/>
      <c r="Y837" s="8"/>
      <c r="Z837" s="8"/>
      <c r="AA837" s="8"/>
      <c r="AB837" s="8"/>
      <c r="AC837" s="8"/>
      <c r="AD837" s="8"/>
      <c r="AE837" s="8"/>
    </row>
    <row r="838" spans="1:31" x14ac:dyDescent="0.25">
      <c r="A838" s="8"/>
      <c r="B838" s="8"/>
      <c r="C838" s="8"/>
      <c r="D838" s="8"/>
      <c r="E838" s="8"/>
      <c r="F838" s="8"/>
      <c r="G838" s="8"/>
      <c r="H838" s="8"/>
      <c r="I838" s="8"/>
      <c r="J838" s="8"/>
      <c r="K838" s="8"/>
      <c r="L838" s="8"/>
      <c r="T838" s="8"/>
      <c r="U838" s="8"/>
      <c r="V838" s="8"/>
      <c r="W838" s="8"/>
      <c r="X838" s="8"/>
      <c r="Y838" s="8"/>
      <c r="Z838" s="8"/>
      <c r="AA838" s="8"/>
      <c r="AB838" s="8"/>
      <c r="AC838" s="8"/>
      <c r="AD838" s="8"/>
      <c r="AE838" s="8"/>
    </row>
    <row r="839" spans="1:31" x14ac:dyDescent="0.25">
      <c r="A839" s="8"/>
      <c r="B839" s="8"/>
      <c r="C839" s="8"/>
      <c r="D839" s="8"/>
      <c r="E839" s="8"/>
      <c r="F839" s="8"/>
      <c r="G839" s="8"/>
      <c r="H839" s="8"/>
      <c r="I839" s="8"/>
      <c r="J839" s="8"/>
      <c r="K839" s="8"/>
      <c r="L839" s="8"/>
      <c r="T839" s="8"/>
      <c r="U839" s="8"/>
      <c r="V839" s="8"/>
      <c r="W839" s="8"/>
      <c r="X839" s="8"/>
      <c r="Y839" s="8"/>
      <c r="Z839" s="8"/>
      <c r="AA839" s="8"/>
      <c r="AB839" s="8"/>
      <c r="AC839" s="8"/>
      <c r="AD839" s="8"/>
      <c r="AE839" s="8"/>
    </row>
    <row r="840" spans="1:31" x14ac:dyDescent="0.25">
      <c r="A840" s="8"/>
      <c r="B840" s="8"/>
      <c r="C840" s="8"/>
      <c r="D840" s="8"/>
      <c r="E840" s="8"/>
      <c r="F840" s="8"/>
      <c r="G840" s="8"/>
      <c r="H840" s="8"/>
      <c r="I840" s="8"/>
      <c r="J840" s="8"/>
      <c r="K840" s="8"/>
      <c r="L840" s="8"/>
      <c r="T840" s="8"/>
      <c r="U840" s="8"/>
      <c r="V840" s="8"/>
      <c r="W840" s="8"/>
      <c r="X840" s="8"/>
      <c r="Y840" s="8"/>
      <c r="Z840" s="8"/>
      <c r="AA840" s="8"/>
      <c r="AB840" s="8"/>
      <c r="AC840" s="8"/>
      <c r="AD840" s="8"/>
      <c r="AE840" s="8"/>
    </row>
    <row r="841" spans="1:31" x14ac:dyDescent="0.25">
      <c r="A841" s="8"/>
      <c r="B841" s="8"/>
      <c r="C841" s="8"/>
      <c r="D841" s="8"/>
      <c r="E841" s="8"/>
      <c r="F841" s="8"/>
      <c r="G841" s="8"/>
      <c r="H841" s="8"/>
      <c r="I841" s="8"/>
      <c r="J841" s="8"/>
      <c r="K841" s="8"/>
      <c r="L841" s="8"/>
      <c r="T841" s="8"/>
      <c r="U841" s="8"/>
      <c r="V841" s="8"/>
      <c r="W841" s="8"/>
      <c r="X841" s="8"/>
      <c r="Y841" s="8"/>
      <c r="Z841" s="8"/>
      <c r="AA841" s="8"/>
      <c r="AB841" s="8"/>
      <c r="AC841" s="8"/>
      <c r="AD841" s="8"/>
      <c r="AE841" s="8"/>
    </row>
    <row r="842" spans="1:31" x14ac:dyDescent="0.25">
      <c r="A842" s="8"/>
      <c r="B842" s="8"/>
      <c r="C842" s="8"/>
      <c r="D842" s="8"/>
      <c r="E842" s="8"/>
      <c r="F842" s="8"/>
      <c r="G842" s="8"/>
      <c r="H842" s="8"/>
      <c r="I842" s="8"/>
      <c r="J842" s="8"/>
      <c r="K842" s="8"/>
      <c r="L842" s="8"/>
      <c r="T842" s="8"/>
      <c r="U842" s="8"/>
      <c r="V842" s="8"/>
      <c r="W842" s="8"/>
      <c r="X842" s="8"/>
      <c r="Y842" s="8"/>
      <c r="Z842" s="8"/>
      <c r="AA842" s="8"/>
      <c r="AB842" s="8"/>
      <c r="AC842" s="8"/>
      <c r="AD842" s="8"/>
      <c r="AE842" s="8"/>
    </row>
    <row r="843" spans="1:31" x14ac:dyDescent="0.25">
      <c r="A843" s="8"/>
      <c r="B843" s="8"/>
      <c r="C843" s="8"/>
      <c r="D843" s="8"/>
      <c r="E843" s="8"/>
      <c r="F843" s="8"/>
      <c r="G843" s="8"/>
      <c r="H843" s="8"/>
      <c r="I843" s="8"/>
      <c r="J843" s="8"/>
      <c r="K843" s="8"/>
      <c r="L843" s="8"/>
      <c r="T843" s="8"/>
      <c r="U843" s="8"/>
      <c r="V843" s="8"/>
      <c r="W843" s="8"/>
      <c r="X843" s="8"/>
      <c r="Y843" s="8"/>
      <c r="Z843" s="8"/>
      <c r="AA843" s="8"/>
      <c r="AB843" s="8"/>
      <c r="AC843" s="8"/>
      <c r="AD843" s="8"/>
      <c r="AE843" s="8"/>
    </row>
    <row r="844" spans="1:31" x14ac:dyDescent="0.25">
      <c r="A844" s="8"/>
      <c r="B844" s="8"/>
      <c r="C844" s="8"/>
      <c r="D844" s="8"/>
      <c r="E844" s="8"/>
      <c r="F844" s="8"/>
      <c r="G844" s="8"/>
      <c r="H844" s="8"/>
      <c r="I844" s="8"/>
      <c r="J844" s="8"/>
      <c r="K844" s="8"/>
      <c r="L844" s="8"/>
      <c r="T844" s="8"/>
      <c r="U844" s="8"/>
      <c r="V844" s="8"/>
      <c r="W844" s="8"/>
      <c r="X844" s="8"/>
      <c r="Y844" s="8"/>
      <c r="Z844" s="8"/>
      <c r="AA844" s="8"/>
      <c r="AB844" s="8"/>
      <c r="AC844" s="8"/>
      <c r="AD844" s="8"/>
      <c r="AE844" s="8"/>
    </row>
    <row r="845" spans="1:31" x14ac:dyDescent="0.25">
      <c r="A845" s="8"/>
      <c r="B845" s="8"/>
      <c r="C845" s="8"/>
      <c r="D845" s="8"/>
      <c r="E845" s="8"/>
      <c r="F845" s="8"/>
      <c r="G845" s="8"/>
      <c r="H845" s="8"/>
      <c r="I845" s="8"/>
      <c r="J845" s="8"/>
      <c r="K845" s="8"/>
      <c r="L845" s="8"/>
      <c r="T845" s="8"/>
      <c r="U845" s="8"/>
      <c r="V845" s="8"/>
      <c r="W845" s="8"/>
      <c r="X845" s="8"/>
      <c r="Y845" s="8"/>
      <c r="Z845" s="8"/>
      <c r="AA845" s="8"/>
      <c r="AB845" s="8"/>
      <c r="AC845" s="8"/>
      <c r="AD845" s="8"/>
      <c r="AE845" s="8"/>
    </row>
    <row r="846" spans="1:31" x14ac:dyDescent="0.25">
      <c r="A846" s="8"/>
      <c r="B846" s="8"/>
      <c r="C846" s="8"/>
      <c r="D846" s="8"/>
      <c r="E846" s="8"/>
      <c r="F846" s="8"/>
      <c r="G846" s="8"/>
      <c r="H846" s="8"/>
      <c r="I846" s="8"/>
      <c r="J846" s="8"/>
      <c r="K846" s="8"/>
      <c r="L846" s="8"/>
      <c r="T846" s="8"/>
      <c r="U846" s="8"/>
      <c r="V846" s="8"/>
      <c r="W846" s="8"/>
      <c r="X846" s="8"/>
      <c r="Y846" s="8"/>
      <c r="Z846" s="8"/>
      <c r="AA846" s="8"/>
      <c r="AB846" s="8"/>
      <c r="AC846" s="8"/>
      <c r="AD846" s="8"/>
      <c r="AE846" s="8"/>
    </row>
    <row r="847" spans="1:31" x14ac:dyDescent="0.25">
      <c r="A847" s="8"/>
      <c r="B847" s="8"/>
      <c r="C847" s="8"/>
      <c r="D847" s="8"/>
      <c r="E847" s="8"/>
      <c r="F847" s="8"/>
      <c r="G847" s="8"/>
      <c r="H847" s="8"/>
      <c r="I847" s="8"/>
      <c r="J847" s="8"/>
      <c r="K847" s="8"/>
      <c r="L847" s="8"/>
      <c r="T847" s="8"/>
      <c r="U847" s="8"/>
      <c r="V847" s="8"/>
      <c r="W847" s="8"/>
      <c r="X847" s="8"/>
      <c r="Y847" s="8"/>
      <c r="Z847" s="8"/>
      <c r="AA847" s="8"/>
      <c r="AB847" s="8"/>
      <c r="AC847" s="8"/>
      <c r="AD847" s="8"/>
      <c r="AE847" s="8"/>
    </row>
    <row r="848" spans="1:31" x14ac:dyDescent="0.25">
      <c r="A848" s="8"/>
      <c r="B848" s="8"/>
      <c r="C848" s="8"/>
      <c r="D848" s="8"/>
      <c r="E848" s="8"/>
      <c r="F848" s="8"/>
      <c r="G848" s="8"/>
      <c r="H848" s="8"/>
      <c r="I848" s="8"/>
      <c r="J848" s="8"/>
      <c r="K848" s="8"/>
      <c r="L848" s="8"/>
      <c r="T848" s="8"/>
      <c r="U848" s="8"/>
      <c r="V848" s="8"/>
      <c r="W848" s="8"/>
      <c r="X848" s="8"/>
      <c r="Y848" s="8"/>
      <c r="Z848" s="8"/>
      <c r="AA848" s="8"/>
      <c r="AB848" s="8"/>
      <c r="AC848" s="8"/>
      <c r="AD848" s="8"/>
      <c r="AE848" s="8"/>
    </row>
    <row r="849" spans="1:31" x14ac:dyDescent="0.25">
      <c r="A849" s="8"/>
      <c r="B849" s="8"/>
      <c r="C849" s="8"/>
      <c r="D849" s="8"/>
      <c r="E849" s="8"/>
      <c r="F849" s="8"/>
      <c r="G849" s="8"/>
      <c r="H849" s="8"/>
      <c r="I849" s="8"/>
      <c r="J849" s="8"/>
      <c r="K849" s="8"/>
      <c r="L849" s="8"/>
      <c r="T849" s="8"/>
      <c r="U849" s="8"/>
      <c r="V849" s="8"/>
      <c r="W849" s="8"/>
      <c r="X849" s="8"/>
      <c r="Y849" s="8"/>
      <c r="Z849" s="8"/>
      <c r="AA849" s="8"/>
      <c r="AB849" s="8"/>
      <c r="AC849" s="8"/>
      <c r="AD849" s="8"/>
      <c r="AE849" s="8"/>
    </row>
    <row r="850" spans="1:31" x14ac:dyDescent="0.25">
      <c r="A850" s="8"/>
      <c r="B850" s="8"/>
      <c r="C850" s="8"/>
      <c r="D850" s="8"/>
      <c r="E850" s="8"/>
      <c r="F850" s="8"/>
      <c r="G850" s="8"/>
      <c r="H850" s="8"/>
      <c r="I850" s="8"/>
      <c r="J850" s="8"/>
      <c r="K850" s="8"/>
      <c r="L850" s="8"/>
      <c r="T850" s="8"/>
      <c r="U850" s="8"/>
      <c r="V850" s="8"/>
      <c r="W850" s="8"/>
      <c r="X850" s="8"/>
      <c r="Y850" s="8"/>
      <c r="Z850" s="8"/>
      <c r="AA850" s="8"/>
      <c r="AB850" s="8"/>
      <c r="AC850" s="8"/>
      <c r="AD850" s="8"/>
      <c r="AE850" s="8"/>
    </row>
    <row r="851" spans="1:31" x14ac:dyDescent="0.25">
      <c r="A851" s="8"/>
      <c r="B851" s="8"/>
      <c r="C851" s="8"/>
      <c r="D851" s="8"/>
      <c r="E851" s="8"/>
      <c r="F851" s="8"/>
      <c r="G851" s="8"/>
      <c r="H851" s="8"/>
      <c r="I851" s="8"/>
      <c r="J851" s="8"/>
      <c r="K851" s="8"/>
      <c r="L851" s="8"/>
      <c r="T851" s="8"/>
      <c r="U851" s="8"/>
      <c r="V851" s="8"/>
      <c r="W851" s="8"/>
      <c r="X851" s="8"/>
      <c r="Y851" s="8"/>
      <c r="Z851" s="8"/>
      <c r="AA851" s="8"/>
      <c r="AB851" s="8"/>
      <c r="AC851" s="8"/>
      <c r="AD851" s="8"/>
      <c r="AE851" s="8"/>
    </row>
    <row r="852" spans="1:31" x14ac:dyDescent="0.25">
      <c r="A852" s="8"/>
      <c r="B852" s="8"/>
      <c r="C852" s="8"/>
      <c r="D852" s="8"/>
      <c r="E852" s="8"/>
      <c r="F852" s="8"/>
      <c r="G852" s="8"/>
      <c r="H852" s="8"/>
      <c r="I852" s="8"/>
      <c r="J852" s="8"/>
      <c r="K852" s="8"/>
      <c r="L852" s="8"/>
      <c r="T852" s="8"/>
      <c r="U852" s="8"/>
      <c r="V852" s="8"/>
      <c r="W852" s="8"/>
      <c r="X852" s="8"/>
      <c r="Y852" s="8"/>
      <c r="Z852" s="8"/>
      <c r="AA852" s="8"/>
      <c r="AB852" s="8"/>
      <c r="AC852" s="8"/>
      <c r="AD852" s="8"/>
      <c r="AE852" s="8"/>
    </row>
    <row r="853" spans="1:31" x14ac:dyDescent="0.25">
      <c r="A853" s="8"/>
      <c r="B853" s="8"/>
      <c r="C853" s="8"/>
      <c r="D853" s="8"/>
      <c r="E853" s="8"/>
      <c r="F853" s="8"/>
      <c r="G853" s="8"/>
      <c r="H853" s="8"/>
      <c r="I853" s="8"/>
      <c r="J853" s="8"/>
      <c r="K853" s="8"/>
      <c r="L853" s="8"/>
      <c r="T853" s="8"/>
      <c r="U853" s="8"/>
      <c r="V853" s="8"/>
      <c r="W853" s="8"/>
      <c r="X853" s="8"/>
      <c r="Y853" s="8"/>
      <c r="Z853" s="8"/>
      <c r="AA853" s="8"/>
      <c r="AB853" s="8"/>
      <c r="AC853" s="8"/>
      <c r="AD853" s="8"/>
      <c r="AE853" s="8"/>
    </row>
    <row r="854" spans="1:31" x14ac:dyDescent="0.25">
      <c r="A854" s="8"/>
      <c r="B854" s="8"/>
      <c r="C854" s="8"/>
      <c r="D854" s="8"/>
      <c r="E854" s="8"/>
      <c r="F854" s="8"/>
      <c r="G854" s="8"/>
      <c r="H854" s="8"/>
      <c r="I854" s="8"/>
      <c r="J854" s="8"/>
      <c r="K854" s="8"/>
      <c r="L854" s="8"/>
      <c r="T854" s="8"/>
      <c r="U854" s="8"/>
      <c r="V854" s="8"/>
      <c r="W854" s="8"/>
      <c r="X854" s="8"/>
      <c r="Y854" s="8"/>
      <c r="Z854" s="8"/>
      <c r="AA854" s="8"/>
      <c r="AB854" s="8"/>
      <c r="AC854" s="8"/>
      <c r="AD854" s="8"/>
      <c r="AE854" s="8"/>
    </row>
    <row r="855" spans="1:31" x14ac:dyDescent="0.25">
      <c r="A855" s="8"/>
      <c r="B855" s="8"/>
      <c r="C855" s="8"/>
      <c r="D855" s="8"/>
      <c r="E855" s="8"/>
      <c r="F855" s="8"/>
      <c r="G855" s="8"/>
      <c r="H855" s="8"/>
      <c r="I855" s="8"/>
      <c r="J855" s="8"/>
      <c r="K855" s="8"/>
      <c r="L855" s="8"/>
      <c r="T855" s="8"/>
      <c r="U855" s="8"/>
      <c r="V855" s="8"/>
      <c r="W855" s="8"/>
      <c r="X855" s="8"/>
      <c r="Y855" s="8"/>
      <c r="Z855" s="8"/>
      <c r="AA855" s="8"/>
      <c r="AB855" s="8"/>
      <c r="AC855" s="8"/>
      <c r="AD855" s="8"/>
      <c r="AE855" s="8"/>
    </row>
    <row r="856" spans="1:31" x14ac:dyDescent="0.25">
      <c r="A856" s="8"/>
      <c r="B856" s="8"/>
      <c r="C856" s="8"/>
      <c r="D856" s="8"/>
      <c r="E856" s="8"/>
      <c r="F856" s="8"/>
      <c r="G856" s="8"/>
      <c r="H856" s="8"/>
      <c r="I856" s="8"/>
      <c r="J856" s="8"/>
      <c r="K856" s="8"/>
      <c r="L856" s="8"/>
      <c r="T856" s="8"/>
      <c r="U856" s="8"/>
      <c r="V856" s="8"/>
      <c r="W856" s="8"/>
      <c r="X856" s="8"/>
      <c r="Y856" s="8"/>
      <c r="Z856" s="8"/>
      <c r="AA856" s="8"/>
      <c r="AB856" s="8"/>
      <c r="AC856" s="8"/>
      <c r="AD856" s="8"/>
      <c r="AE856" s="8"/>
    </row>
    <row r="857" spans="1:31" x14ac:dyDescent="0.25">
      <c r="A857" s="8"/>
      <c r="B857" s="8"/>
      <c r="C857" s="8"/>
      <c r="D857" s="8"/>
      <c r="E857" s="8"/>
      <c r="F857" s="8"/>
      <c r="G857" s="8"/>
      <c r="H857" s="8"/>
      <c r="I857" s="8"/>
      <c r="J857" s="8"/>
      <c r="K857" s="8"/>
      <c r="L857" s="8"/>
      <c r="T857" s="8"/>
      <c r="U857" s="8"/>
      <c r="V857" s="8"/>
      <c r="W857" s="8"/>
      <c r="X857" s="8"/>
      <c r="Y857" s="8"/>
      <c r="Z857" s="8"/>
      <c r="AA857" s="8"/>
      <c r="AB857" s="8"/>
      <c r="AC857" s="8"/>
      <c r="AD857" s="8"/>
      <c r="AE857" s="8"/>
    </row>
    <row r="858" spans="1:31" x14ac:dyDescent="0.25">
      <c r="A858" s="8"/>
      <c r="B858" s="8"/>
      <c r="C858" s="8"/>
      <c r="D858" s="8"/>
      <c r="E858" s="8"/>
      <c r="F858" s="8"/>
      <c r="G858" s="8"/>
      <c r="H858" s="8"/>
      <c r="I858" s="8"/>
      <c r="J858" s="8"/>
      <c r="K858" s="8"/>
      <c r="L858" s="8"/>
      <c r="T858" s="8"/>
      <c r="U858" s="8"/>
      <c r="V858" s="8"/>
      <c r="W858" s="8"/>
      <c r="X858" s="8"/>
      <c r="Y858" s="8"/>
      <c r="Z858" s="8"/>
      <c r="AA858" s="8"/>
      <c r="AB858" s="8"/>
      <c r="AC858" s="8"/>
      <c r="AD858" s="8"/>
      <c r="AE858" s="8"/>
    </row>
    <row r="859" spans="1:31" x14ac:dyDescent="0.25">
      <c r="A859" s="8"/>
      <c r="B859" s="8"/>
      <c r="C859" s="8"/>
      <c r="D859" s="8"/>
      <c r="E859" s="8"/>
      <c r="F859" s="8"/>
      <c r="G859" s="8"/>
      <c r="H859" s="8"/>
      <c r="I859" s="8"/>
      <c r="J859" s="8"/>
      <c r="K859" s="8"/>
      <c r="L859" s="8"/>
      <c r="T859" s="8"/>
      <c r="U859" s="8"/>
      <c r="V859" s="8"/>
      <c r="W859" s="8"/>
      <c r="X859" s="8"/>
      <c r="Y859" s="8"/>
      <c r="Z859" s="8"/>
      <c r="AA859" s="8"/>
      <c r="AB859" s="8"/>
      <c r="AC859" s="8"/>
      <c r="AD859" s="8"/>
      <c r="AE859" s="8"/>
    </row>
    <row r="860" spans="1:31" x14ac:dyDescent="0.25">
      <c r="A860" s="8"/>
      <c r="B860" s="8"/>
      <c r="C860" s="8"/>
      <c r="D860" s="8"/>
      <c r="E860" s="8"/>
      <c r="F860" s="8"/>
      <c r="G860" s="8"/>
      <c r="H860" s="8"/>
      <c r="I860" s="8"/>
      <c r="J860" s="8"/>
      <c r="K860" s="8"/>
      <c r="L860" s="8"/>
      <c r="T860" s="8"/>
      <c r="U860" s="8"/>
      <c r="V860" s="8"/>
      <c r="W860" s="8"/>
      <c r="X860" s="8"/>
      <c r="Y860" s="8"/>
      <c r="Z860" s="8"/>
      <c r="AA860" s="8"/>
      <c r="AB860" s="8"/>
      <c r="AC860" s="8"/>
      <c r="AD860" s="8"/>
      <c r="AE860" s="8"/>
    </row>
    <row r="861" spans="1:31" x14ac:dyDescent="0.25">
      <c r="A861" s="8"/>
      <c r="B861" s="8"/>
      <c r="C861" s="8"/>
      <c r="D861" s="8"/>
      <c r="E861" s="8"/>
      <c r="F861" s="8"/>
      <c r="G861" s="8"/>
      <c r="H861" s="8"/>
      <c r="I861" s="8"/>
      <c r="J861" s="8"/>
      <c r="K861" s="8"/>
      <c r="L861" s="8"/>
      <c r="T861" s="8"/>
      <c r="U861" s="8"/>
      <c r="V861" s="8"/>
      <c r="W861" s="8"/>
      <c r="X861" s="8"/>
      <c r="Y861" s="8"/>
      <c r="Z861" s="8"/>
      <c r="AA861" s="8"/>
      <c r="AB861" s="8"/>
      <c r="AC861" s="8"/>
      <c r="AD861" s="8"/>
      <c r="AE861" s="8"/>
    </row>
    <row r="862" spans="1:31" x14ac:dyDescent="0.25">
      <c r="A862" s="8"/>
      <c r="B862" s="8"/>
      <c r="C862" s="8"/>
      <c r="D862" s="8"/>
      <c r="E862" s="8"/>
      <c r="F862" s="8"/>
      <c r="G862" s="8"/>
      <c r="H862" s="8"/>
      <c r="I862" s="8"/>
      <c r="J862" s="8"/>
      <c r="K862" s="8"/>
      <c r="L862" s="8"/>
      <c r="T862" s="8"/>
      <c r="U862" s="8"/>
      <c r="V862" s="8"/>
      <c r="W862" s="8"/>
      <c r="X862" s="8"/>
      <c r="Y862" s="8"/>
      <c r="Z862" s="8"/>
      <c r="AA862" s="8"/>
      <c r="AB862" s="8"/>
      <c r="AC862" s="8"/>
      <c r="AD862" s="8"/>
      <c r="AE862" s="8"/>
    </row>
    <row r="863" spans="1:31" x14ac:dyDescent="0.25">
      <c r="A863" s="8"/>
      <c r="B863" s="8"/>
      <c r="C863" s="8"/>
      <c r="D863" s="8"/>
      <c r="E863" s="8"/>
      <c r="F863" s="8"/>
      <c r="G863" s="8"/>
      <c r="H863" s="8"/>
      <c r="I863" s="8"/>
      <c r="J863" s="8"/>
      <c r="K863" s="8"/>
      <c r="L863" s="8"/>
      <c r="T863" s="8"/>
      <c r="U863" s="8"/>
      <c r="V863" s="8"/>
      <c r="W863" s="8"/>
      <c r="X863" s="8"/>
      <c r="Y863" s="8"/>
      <c r="Z863" s="8"/>
      <c r="AA863" s="8"/>
      <c r="AB863" s="8"/>
      <c r="AC863" s="8"/>
      <c r="AD863" s="8"/>
      <c r="AE863" s="8"/>
    </row>
    <row r="864" spans="1:31" x14ac:dyDescent="0.25">
      <c r="A864" s="8"/>
      <c r="B864" s="8"/>
      <c r="C864" s="8"/>
      <c r="D864" s="8"/>
      <c r="E864" s="8"/>
      <c r="F864" s="8"/>
      <c r="G864" s="8"/>
      <c r="H864" s="8"/>
      <c r="I864" s="8"/>
      <c r="J864" s="8"/>
      <c r="K864" s="8"/>
      <c r="L864" s="8"/>
      <c r="T864" s="8"/>
      <c r="U864" s="8"/>
      <c r="V864" s="8"/>
      <c r="W864" s="8"/>
      <c r="X864" s="8"/>
      <c r="Y864" s="8"/>
      <c r="Z864" s="8"/>
      <c r="AA864" s="8"/>
      <c r="AB864" s="8"/>
      <c r="AC864" s="8"/>
      <c r="AD864" s="8"/>
      <c r="AE864" s="8"/>
    </row>
    <row r="865" spans="1:31" x14ac:dyDescent="0.25">
      <c r="A865" s="8"/>
      <c r="B865" s="8"/>
      <c r="C865" s="8"/>
      <c r="D865" s="8"/>
      <c r="E865" s="8"/>
      <c r="F865" s="8"/>
      <c r="G865" s="8"/>
      <c r="H865" s="8"/>
      <c r="I865" s="8"/>
      <c r="J865" s="8"/>
      <c r="K865" s="8"/>
      <c r="L865" s="8"/>
      <c r="T865" s="8"/>
      <c r="U865" s="8"/>
      <c r="V865" s="8"/>
      <c r="W865" s="8"/>
      <c r="X865" s="8"/>
      <c r="Y865" s="8"/>
      <c r="Z865" s="8"/>
      <c r="AA865" s="8"/>
      <c r="AB865" s="8"/>
      <c r="AC865" s="8"/>
      <c r="AD865" s="8"/>
      <c r="AE865" s="8"/>
    </row>
    <row r="866" spans="1:31" x14ac:dyDescent="0.25">
      <c r="A866" s="8"/>
      <c r="B866" s="8"/>
      <c r="C866" s="8"/>
      <c r="D866" s="8"/>
      <c r="E866" s="8"/>
      <c r="F866" s="8"/>
      <c r="G866" s="8"/>
      <c r="H866" s="8"/>
      <c r="I866" s="8"/>
      <c r="J866" s="8"/>
      <c r="K866" s="8"/>
      <c r="L866" s="8"/>
      <c r="T866" s="8"/>
      <c r="U866" s="8"/>
      <c r="V866" s="8"/>
      <c r="W866" s="8"/>
      <c r="X866" s="8"/>
      <c r="Y866" s="8"/>
      <c r="Z866" s="8"/>
      <c r="AA866" s="8"/>
      <c r="AB866" s="8"/>
      <c r="AC866" s="8"/>
      <c r="AD866" s="8"/>
      <c r="AE866" s="8"/>
    </row>
    <row r="867" spans="1:31" x14ac:dyDescent="0.25">
      <c r="A867" s="8"/>
      <c r="B867" s="8"/>
      <c r="C867" s="8"/>
      <c r="D867" s="8"/>
      <c r="E867" s="8"/>
      <c r="F867" s="8"/>
      <c r="G867" s="8"/>
      <c r="H867" s="8"/>
      <c r="I867" s="8"/>
      <c r="J867" s="8"/>
      <c r="K867" s="8"/>
      <c r="L867" s="8"/>
      <c r="T867" s="8"/>
      <c r="U867" s="8"/>
      <c r="V867" s="8"/>
      <c r="W867" s="8"/>
      <c r="X867" s="8"/>
      <c r="Y867" s="8"/>
      <c r="Z867" s="8"/>
      <c r="AA867" s="8"/>
      <c r="AB867" s="8"/>
      <c r="AC867" s="8"/>
      <c r="AD867" s="8"/>
      <c r="AE867" s="8"/>
    </row>
    <row r="868" spans="1:31" x14ac:dyDescent="0.25">
      <c r="A868" s="8"/>
      <c r="B868" s="8"/>
      <c r="C868" s="8"/>
      <c r="D868" s="8"/>
      <c r="E868" s="8"/>
      <c r="F868" s="8"/>
      <c r="G868" s="8"/>
      <c r="H868" s="8"/>
      <c r="I868" s="8"/>
      <c r="J868" s="8"/>
      <c r="K868" s="8"/>
      <c r="L868" s="8"/>
      <c r="T868" s="8"/>
      <c r="U868" s="8"/>
      <c r="V868" s="8"/>
      <c r="W868" s="8"/>
      <c r="X868" s="8"/>
      <c r="Y868" s="8"/>
      <c r="Z868" s="8"/>
      <c r="AA868" s="8"/>
      <c r="AB868" s="8"/>
      <c r="AC868" s="8"/>
      <c r="AD868" s="8"/>
      <c r="AE868" s="8"/>
    </row>
    <row r="869" spans="1:31" x14ac:dyDescent="0.25">
      <c r="A869" s="8"/>
      <c r="B869" s="8"/>
      <c r="C869" s="8"/>
      <c r="D869" s="8"/>
      <c r="E869" s="8"/>
      <c r="F869" s="8"/>
      <c r="G869" s="8"/>
      <c r="H869" s="8"/>
      <c r="I869" s="8"/>
      <c r="J869" s="8"/>
      <c r="K869" s="8"/>
      <c r="L869" s="8"/>
      <c r="T869" s="8"/>
      <c r="U869" s="8"/>
      <c r="V869" s="8"/>
      <c r="W869" s="8"/>
      <c r="X869" s="8"/>
      <c r="Y869" s="8"/>
      <c r="Z869" s="8"/>
      <c r="AA869" s="8"/>
      <c r="AB869" s="8"/>
      <c r="AC869" s="8"/>
      <c r="AD869" s="8"/>
      <c r="AE869" s="8"/>
    </row>
    <row r="870" spans="1:31" x14ac:dyDescent="0.25">
      <c r="A870" s="8"/>
      <c r="B870" s="8"/>
      <c r="C870" s="8"/>
      <c r="D870" s="8"/>
      <c r="E870" s="8"/>
      <c r="F870" s="8"/>
      <c r="G870" s="8"/>
      <c r="H870" s="8"/>
      <c r="I870" s="8"/>
      <c r="J870" s="8"/>
      <c r="K870" s="8"/>
      <c r="L870" s="8"/>
      <c r="T870" s="8"/>
      <c r="U870" s="8"/>
      <c r="V870" s="8"/>
      <c r="W870" s="8"/>
      <c r="X870" s="8"/>
      <c r="Y870" s="8"/>
      <c r="Z870" s="8"/>
      <c r="AA870" s="8"/>
      <c r="AB870" s="8"/>
      <c r="AC870" s="8"/>
      <c r="AD870" s="8"/>
      <c r="AE870" s="8"/>
    </row>
    <row r="871" spans="1:31" x14ac:dyDescent="0.25">
      <c r="A871" s="8"/>
      <c r="B871" s="8"/>
      <c r="C871" s="8"/>
      <c r="D871" s="8"/>
      <c r="E871" s="8"/>
      <c r="F871" s="8"/>
      <c r="G871" s="8"/>
      <c r="H871" s="8"/>
      <c r="I871" s="8"/>
      <c r="J871" s="8"/>
      <c r="K871" s="8"/>
      <c r="L871" s="8"/>
      <c r="T871" s="8"/>
      <c r="U871" s="8"/>
      <c r="V871" s="8"/>
      <c r="W871" s="8"/>
      <c r="X871" s="8"/>
      <c r="Y871" s="8"/>
      <c r="Z871" s="8"/>
      <c r="AA871" s="8"/>
      <c r="AB871" s="8"/>
      <c r="AC871" s="8"/>
      <c r="AD871" s="8"/>
      <c r="AE871" s="8"/>
    </row>
    <row r="872" spans="1:31" x14ac:dyDescent="0.25">
      <c r="A872" s="8"/>
      <c r="B872" s="8"/>
      <c r="C872" s="8"/>
      <c r="D872" s="8"/>
      <c r="E872" s="8"/>
      <c r="F872" s="8"/>
      <c r="G872" s="8"/>
      <c r="H872" s="8"/>
      <c r="I872" s="8"/>
      <c r="J872" s="8"/>
      <c r="K872" s="8"/>
      <c r="L872" s="8"/>
      <c r="T872" s="8"/>
      <c r="U872" s="8"/>
      <c r="V872" s="8"/>
      <c r="W872" s="8"/>
      <c r="X872" s="8"/>
      <c r="Y872" s="8"/>
      <c r="Z872" s="8"/>
      <c r="AA872" s="8"/>
      <c r="AB872" s="8"/>
      <c r="AC872" s="8"/>
      <c r="AD872" s="8"/>
      <c r="AE872" s="8"/>
    </row>
    <row r="873" spans="1:31" x14ac:dyDescent="0.25">
      <c r="A873" s="8"/>
      <c r="B873" s="8"/>
      <c r="C873" s="8"/>
      <c r="D873" s="8"/>
      <c r="E873" s="8"/>
      <c r="F873" s="8"/>
      <c r="G873" s="8"/>
      <c r="H873" s="8"/>
      <c r="I873" s="8"/>
      <c r="J873" s="8"/>
      <c r="K873" s="8"/>
      <c r="L873" s="8"/>
      <c r="T873" s="8"/>
      <c r="U873" s="8"/>
      <c r="V873" s="8"/>
      <c r="W873" s="8"/>
      <c r="X873" s="8"/>
      <c r="Y873" s="8"/>
      <c r="Z873" s="8"/>
      <c r="AA873" s="8"/>
      <c r="AB873" s="8"/>
      <c r="AC873" s="8"/>
      <c r="AD873" s="8"/>
      <c r="AE873" s="8"/>
    </row>
    <row r="874" spans="1:31" x14ac:dyDescent="0.25">
      <c r="A874" s="8"/>
      <c r="B874" s="8"/>
      <c r="C874" s="8"/>
      <c r="D874" s="8"/>
      <c r="E874" s="8"/>
      <c r="F874" s="8"/>
      <c r="G874" s="8"/>
      <c r="H874" s="8"/>
      <c r="I874" s="8"/>
      <c r="J874" s="8"/>
      <c r="K874" s="8"/>
      <c r="L874" s="8"/>
      <c r="T874" s="8"/>
      <c r="U874" s="8"/>
      <c r="V874" s="8"/>
      <c r="W874" s="8"/>
      <c r="X874" s="8"/>
      <c r="Y874" s="8"/>
      <c r="Z874" s="8"/>
      <c r="AA874" s="8"/>
      <c r="AB874" s="8"/>
      <c r="AC874" s="8"/>
      <c r="AD874" s="8"/>
      <c r="AE874" s="8"/>
    </row>
    <row r="875" spans="1:31" x14ac:dyDescent="0.25">
      <c r="A875" s="8"/>
      <c r="B875" s="8"/>
      <c r="C875" s="8"/>
      <c r="D875" s="8"/>
      <c r="E875" s="8"/>
      <c r="F875" s="8"/>
      <c r="G875" s="8"/>
      <c r="H875" s="8"/>
      <c r="I875" s="8"/>
      <c r="J875" s="8"/>
      <c r="K875" s="8"/>
      <c r="L875" s="8"/>
      <c r="T875" s="8"/>
      <c r="U875" s="8"/>
      <c r="V875" s="8"/>
      <c r="W875" s="8"/>
      <c r="X875" s="8"/>
      <c r="Y875" s="8"/>
      <c r="Z875" s="8"/>
      <c r="AA875" s="8"/>
      <c r="AB875" s="8"/>
      <c r="AC875" s="8"/>
      <c r="AD875" s="8"/>
      <c r="AE875" s="8"/>
    </row>
    <row r="876" spans="1:31" x14ac:dyDescent="0.25">
      <c r="A876" s="8"/>
      <c r="B876" s="8"/>
      <c r="C876" s="8"/>
      <c r="D876" s="8"/>
      <c r="E876" s="8"/>
      <c r="F876" s="8"/>
      <c r="G876" s="8"/>
      <c r="H876" s="8"/>
      <c r="I876" s="8"/>
      <c r="J876" s="8"/>
      <c r="K876" s="8"/>
      <c r="L876" s="8"/>
      <c r="T876" s="8"/>
      <c r="U876" s="8"/>
      <c r="V876" s="8"/>
      <c r="W876" s="8"/>
      <c r="X876" s="8"/>
      <c r="Y876" s="8"/>
      <c r="Z876" s="8"/>
      <c r="AA876" s="8"/>
      <c r="AB876" s="8"/>
      <c r="AC876" s="8"/>
      <c r="AD876" s="8"/>
      <c r="AE876" s="8"/>
    </row>
    <row r="877" spans="1:31" x14ac:dyDescent="0.25">
      <c r="A877" s="8"/>
      <c r="B877" s="8"/>
      <c r="C877" s="8"/>
      <c r="D877" s="8"/>
      <c r="E877" s="8"/>
      <c r="F877" s="8"/>
      <c r="G877" s="8"/>
      <c r="H877" s="8"/>
      <c r="I877" s="8"/>
      <c r="J877" s="8"/>
      <c r="K877" s="8"/>
      <c r="L877" s="8"/>
      <c r="T877" s="8"/>
      <c r="U877" s="8"/>
      <c r="V877" s="8"/>
      <c r="W877" s="8"/>
      <c r="X877" s="8"/>
      <c r="Y877" s="8"/>
      <c r="Z877" s="8"/>
      <c r="AA877" s="8"/>
      <c r="AB877" s="8"/>
      <c r="AC877" s="8"/>
      <c r="AD877" s="8"/>
      <c r="AE877" s="8"/>
    </row>
    <row r="878" spans="1:31" x14ac:dyDescent="0.25">
      <c r="A878" s="8"/>
      <c r="B878" s="8"/>
      <c r="C878" s="8"/>
      <c r="D878" s="8"/>
      <c r="E878" s="8"/>
      <c r="F878" s="8"/>
      <c r="G878" s="8"/>
      <c r="H878" s="8"/>
      <c r="I878" s="8"/>
      <c r="J878" s="8"/>
      <c r="K878" s="8"/>
      <c r="L878" s="8"/>
      <c r="T878" s="8"/>
      <c r="U878" s="8"/>
      <c r="V878" s="8"/>
      <c r="W878" s="8"/>
      <c r="X878" s="8"/>
      <c r="Y878" s="8"/>
      <c r="Z878" s="8"/>
      <c r="AA878" s="8"/>
      <c r="AB878" s="8"/>
      <c r="AC878" s="8"/>
      <c r="AD878" s="8"/>
      <c r="AE878" s="8"/>
    </row>
    <row r="879" spans="1:31" x14ac:dyDescent="0.25">
      <c r="A879" s="8"/>
      <c r="B879" s="8"/>
      <c r="C879" s="8"/>
      <c r="D879" s="8"/>
      <c r="E879" s="8"/>
      <c r="F879" s="8"/>
      <c r="G879" s="8"/>
      <c r="H879" s="8"/>
      <c r="I879" s="8"/>
      <c r="J879" s="8"/>
      <c r="K879" s="8"/>
      <c r="L879" s="8"/>
      <c r="T879" s="8"/>
      <c r="U879" s="8"/>
      <c r="V879" s="8"/>
      <c r="W879" s="8"/>
      <c r="X879" s="8"/>
      <c r="Y879" s="8"/>
      <c r="Z879" s="8"/>
      <c r="AA879" s="8"/>
      <c r="AB879" s="8"/>
      <c r="AC879" s="8"/>
      <c r="AD879" s="8"/>
      <c r="AE879" s="8"/>
    </row>
    <row r="880" spans="1:31" x14ac:dyDescent="0.25">
      <c r="A880" s="8"/>
      <c r="B880" s="8"/>
      <c r="C880" s="8"/>
      <c r="D880" s="8"/>
      <c r="E880" s="8"/>
      <c r="F880" s="8"/>
      <c r="G880" s="8"/>
      <c r="H880" s="8"/>
      <c r="I880" s="8"/>
      <c r="J880" s="8"/>
      <c r="K880" s="8"/>
      <c r="L880" s="8"/>
      <c r="T880" s="8"/>
      <c r="U880" s="8"/>
      <c r="V880" s="8"/>
      <c r="W880" s="8"/>
      <c r="X880" s="8"/>
      <c r="Y880" s="8"/>
      <c r="Z880" s="8"/>
      <c r="AA880" s="8"/>
      <c r="AB880" s="8"/>
      <c r="AC880" s="8"/>
      <c r="AD880" s="8"/>
      <c r="AE880" s="8"/>
    </row>
    <row r="881" spans="1:31" x14ac:dyDescent="0.25">
      <c r="A881" s="8"/>
      <c r="B881" s="8"/>
      <c r="C881" s="8"/>
      <c r="D881" s="8"/>
      <c r="E881" s="8"/>
      <c r="F881" s="8"/>
      <c r="G881" s="8"/>
      <c r="H881" s="8"/>
      <c r="I881" s="8"/>
      <c r="J881" s="8"/>
      <c r="K881" s="8"/>
      <c r="L881" s="8"/>
      <c r="T881" s="8"/>
      <c r="U881" s="8"/>
      <c r="V881" s="8"/>
      <c r="W881" s="8"/>
      <c r="X881" s="8"/>
      <c r="Y881" s="8"/>
      <c r="Z881" s="8"/>
      <c r="AA881" s="8"/>
      <c r="AB881" s="8"/>
      <c r="AC881" s="8"/>
      <c r="AD881" s="8"/>
      <c r="AE881" s="8"/>
    </row>
    <row r="882" spans="1:31" x14ac:dyDescent="0.25">
      <c r="A882" s="8"/>
      <c r="B882" s="8"/>
      <c r="C882" s="8"/>
      <c r="D882" s="8"/>
      <c r="E882" s="8"/>
      <c r="F882" s="8"/>
      <c r="G882" s="8"/>
      <c r="H882" s="8"/>
      <c r="I882" s="8"/>
      <c r="J882" s="8"/>
      <c r="K882" s="8"/>
      <c r="L882" s="8"/>
      <c r="T882" s="8"/>
      <c r="U882" s="8"/>
      <c r="V882" s="8"/>
      <c r="W882" s="8"/>
      <c r="X882" s="8"/>
      <c r="Y882" s="8"/>
      <c r="Z882" s="8"/>
      <c r="AA882" s="8"/>
      <c r="AB882" s="8"/>
      <c r="AC882" s="8"/>
      <c r="AD882" s="8"/>
      <c r="AE882" s="8"/>
    </row>
    <row r="883" spans="1:31" x14ac:dyDescent="0.25">
      <c r="A883" s="8"/>
      <c r="B883" s="8"/>
      <c r="C883" s="8"/>
      <c r="D883" s="8"/>
      <c r="E883" s="8"/>
      <c r="F883" s="8"/>
      <c r="G883" s="8"/>
      <c r="H883" s="8"/>
      <c r="I883" s="8"/>
      <c r="J883" s="8"/>
      <c r="K883" s="8"/>
      <c r="L883" s="8"/>
      <c r="T883" s="8"/>
      <c r="U883" s="8"/>
      <c r="V883" s="8"/>
      <c r="W883" s="8"/>
      <c r="X883" s="8"/>
      <c r="Y883" s="8"/>
      <c r="Z883" s="8"/>
      <c r="AA883" s="8"/>
      <c r="AB883" s="8"/>
      <c r="AC883" s="8"/>
      <c r="AD883" s="8"/>
      <c r="AE883" s="8"/>
    </row>
    <row r="884" spans="1:31" x14ac:dyDescent="0.25">
      <c r="A884" s="8"/>
      <c r="B884" s="8"/>
      <c r="C884" s="8"/>
      <c r="D884" s="8"/>
      <c r="E884" s="8"/>
      <c r="F884" s="8"/>
      <c r="G884" s="8"/>
      <c r="H884" s="8"/>
      <c r="I884" s="8"/>
      <c r="J884" s="8"/>
      <c r="K884" s="8"/>
      <c r="L884" s="8"/>
      <c r="T884" s="8"/>
      <c r="U884" s="8"/>
      <c r="V884" s="8"/>
      <c r="W884" s="8"/>
      <c r="X884" s="8"/>
      <c r="Y884" s="8"/>
      <c r="Z884" s="8"/>
      <c r="AA884" s="8"/>
      <c r="AB884" s="8"/>
      <c r="AC884" s="8"/>
      <c r="AD884" s="8"/>
      <c r="AE884" s="8"/>
    </row>
    <row r="885" spans="1:31" x14ac:dyDescent="0.25">
      <c r="A885" s="8"/>
      <c r="B885" s="8"/>
      <c r="C885" s="8"/>
      <c r="D885" s="8"/>
      <c r="E885" s="8"/>
      <c r="F885" s="8"/>
      <c r="G885" s="8"/>
      <c r="H885" s="8"/>
      <c r="I885" s="8"/>
      <c r="J885" s="8"/>
      <c r="K885" s="8"/>
      <c r="L885" s="8"/>
      <c r="T885" s="8"/>
      <c r="U885" s="8"/>
      <c r="V885" s="8"/>
      <c r="W885" s="8"/>
      <c r="X885" s="8"/>
      <c r="Y885" s="8"/>
      <c r="Z885" s="8"/>
      <c r="AA885" s="8"/>
      <c r="AB885" s="8"/>
      <c r="AC885" s="8"/>
      <c r="AD885" s="8"/>
      <c r="AE885" s="8"/>
    </row>
    <row r="886" spans="1:31" x14ac:dyDescent="0.25">
      <c r="A886" s="8"/>
      <c r="B886" s="8"/>
      <c r="C886" s="8"/>
      <c r="D886" s="8"/>
      <c r="E886" s="8"/>
      <c r="F886" s="8"/>
      <c r="G886" s="8"/>
      <c r="H886" s="8"/>
      <c r="I886" s="8"/>
      <c r="J886" s="8"/>
      <c r="K886" s="8"/>
      <c r="L886" s="8"/>
      <c r="T886" s="8"/>
      <c r="U886" s="8"/>
      <c r="V886" s="8"/>
      <c r="W886" s="8"/>
      <c r="X886" s="8"/>
      <c r="Y886" s="8"/>
      <c r="Z886" s="8"/>
      <c r="AA886" s="8"/>
      <c r="AB886" s="8"/>
      <c r="AC886" s="8"/>
      <c r="AD886" s="8"/>
      <c r="AE886" s="8"/>
    </row>
    <row r="887" spans="1:31" x14ac:dyDescent="0.25">
      <c r="A887" s="8"/>
      <c r="B887" s="8"/>
      <c r="C887" s="8"/>
      <c r="D887" s="8"/>
      <c r="E887" s="8"/>
      <c r="F887" s="8"/>
      <c r="G887" s="8"/>
      <c r="H887" s="8"/>
      <c r="I887" s="8"/>
      <c r="J887" s="8"/>
      <c r="K887" s="8"/>
      <c r="L887" s="8"/>
      <c r="T887" s="8"/>
      <c r="U887" s="8"/>
      <c r="V887" s="8"/>
      <c r="W887" s="8"/>
      <c r="X887" s="8"/>
      <c r="Y887" s="8"/>
      <c r="Z887" s="8"/>
      <c r="AA887" s="8"/>
      <c r="AB887" s="8"/>
      <c r="AC887" s="8"/>
      <c r="AD887" s="8"/>
      <c r="AE887" s="8"/>
    </row>
    <row r="888" spans="1:31" x14ac:dyDescent="0.25">
      <c r="A888" s="8"/>
      <c r="B888" s="8"/>
      <c r="C888" s="8"/>
      <c r="D888" s="8"/>
      <c r="E888" s="8"/>
      <c r="F888" s="8"/>
      <c r="G888" s="8"/>
      <c r="H888" s="8"/>
      <c r="I888" s="8"/>
      <c r="J888" s="8"/>
      <c r="K888" s="8"/>
      <c r="L888" s="8"/>
      <c r="T888" s="8"/>
      <c r="U888" s="8"/>
      <c r="V888" s="8"/>
      <c r="W888" s="8"/>
      <c r="X888" s="8"/>
      <c r="Y888" s="8"/>
      <c r="Z888" s="8"/>
      <c r="AA888" s="8"/>
      <c r="AB888" s="8"/>
      <c r="AC888" s="8"/>
      <c r="AD888" s="8"/>
      <c r="AE888" s="8"/>
    </row>
    <row r="889" spans="1:31" x14ac:dyDescent="0.25">
      <c r="A889" s="8"/>
      <c r="B889" s="8"/>
      <c r="C889" s="8"/>
      <c r="D889" s="8"/>
      <c r="E889" s="8"/>
      <c r="F889" s="8"/>
      <c r="G889" s="8"/>
      <c r="H889" s="8"/>
      <c r="I889" s="8"/>
      <c r="J889" s="8"/>
      <c r="K889" s="8"/>
      <c r="L889" s="8"/>
      <c r="T889" s="8"/>
      <c r="U889" s="8"/>
      <c r="V889" s="8"/>
      <c r="W889" s="8"/>
      <c r="X889" s="8"/>
      <c r="Y889" s="8"/>
      <c r="Z889" s="8"/>
      <c r="AA889" s="8"/>
      <c r="AB889" s="8"/>
      <c r="AC889" s="8"/>
      <c r="AD889" s="8"/>
      <c r="AE889" s="8"/>
    </row>
    <row r="890" spans="1:31" x14ac:dyDescent="0.25">
      <c r="A890" s="8"/>
      <c r="B890" s="8"/>
      <c r="C890" s="8"/>
      <c r="D890" s="8"/>
      <c r="E890" s="8"/>
      <c r="F890" s="8"/>
      <c r="G890" s="8"/>
      <c r="H890" s="8"/>
      <c r="I890" s="8"/>
      <c r="J890" s="8"/>
      <c r="K890" s="8"/>
      <c r="L890" s="8"/>
      <c r="T890" s="8"/>
      <c r="U890" s="8"/>
      <c r="V890" s="8"/>
      <c r="W890" s="8"/>
      <c r="X890" s="8"/>
      <c r="Y890" s="8"/>
      <c r="Z890" s="8"/>
      <c r="AA890" s="8"/>
      <c r="AB890" s="8"/>
      <c r="AC890" s="8"/>
      <c r="AD890" s="8"/>
      <c r="AE890" s="8"/>
    </row>
    <row r="891" spans="1:31" x14ac:dyDescent="0.25">
      <c r="A891" s="8"/>
      <c r="B891" s="8"/>
      <c r="C891" s="8"/>
      <c r="D891" s="8"/>
      <c r="E891" s="8"/>
      <c r="F891" s="8"/>
      <c r="G891" s="8"/>
      <c r="H891" s="8"/>
      <c r="I891" s="8"/>
      <c r="J891" s="8"/>
      <c r="K891" s="8"/>
      <c r="L891" s="8"/>
      <c r="T891" s="8"/>
      <c r="U891" s="8"/>
      <c r="V891" s="8"/>
      <c r="W891" s="8"/>
      <c r="X891" s="8"/>
      <c r="Y891" s="8"/>
      <c r="Z891" s="8"/>
      <c r="AA891" s="8"/>
      <c r="AB891" s="8"/>
      <c r="AC891" s="8"/>
      <c r="AD891" s="8"/>
      <c r="AE891" s="8"/>
    </row>
    <row r="892" spans="1:31" x14ac:dyDescent="0.25">
      <c r="A892" s="8"/>
      <c r="B892" s="8"/>
      <c r="C892" s="8"/>
      <c r="D892" s="8"/>
      <c r="E892" s="8"/>
      <c r="F892" s="8"/>
      <c r="G892" s="8"/>
      <c r="H892" s="8"/>
      <c r="I892" s="8"/>
      <c r="J892" s="8"/>
      <c r="K892" s="8"/>
      <c r="L892" s="8"/>
      <c r="T892" s="8"/>
      <c r="U892" s="8"/>
      <c r="V892" s="8"/>
      <c r="W892" s="8"/>
      <c r="X892" s="8"/>
      <c r="Y892" s="8"/>
      <c r="Z892" s="8"/>
      <c r="AA892" s="8"/>
      <c r="AB892" s="8"/>
      <c r="AC892" s="8"/>
      <c r="AD892" s="8"/>
      <c r="AE892" s="8"/>
    </row>
    <row r="893" spans="1:31" x14ac:dyDescent="0.25">
      <c r="A893" s="8"/>
      <c r="B893" s="8"/>
      <c r="C893" s="8"/>
      <c r="D893" s="8"/>
      <c r="E893" s="8"/>
      <c r="F893" s="8"/>
      <c r="G893" s="8"/>
      <c r="H893" s="8"/>
      <c r="I893" s="8"/>
      <c r="J893" s="8"/>
      <c r="K893" s="8"/>
      <c r="L893" s="8"/>
      <c r="T893" s="8"/>
      <c r="U893" s="8"/>
      <c r="V893" s="8"/>
      <c r="W893" s="8"/>
      <c r="X893" s="8"/>
      <c r="Y893" s="8"/>
      <c r="Z893" s="8"/>
      <c r="AA893" s="8"/>
      <c r="AB893" s="8"/>
      <c r="AC893" s="8"/>
      <c r="AD893" s="8"/>
      <c r="AE893" s="8"/>
    </row>
    <row r="894" spans="1:31" x14ac:dyDescent="0.25">
      <c r="A894" s="8"/>
      <c r="B894" s="8"/>
      <c r="C894" s="8"/>
      <c r="D894" s="8"/>
      <c r="E894" s="8"/>
      <c r="F894" s="8"/>
      <c r="G894" s="8"/>
      <c r="H894" s="8"/>
      <c r="I894" s="8"/>
      <c r="J894" s="8"/>
      <c r="K894" s="8"/>
      <c r="L894" s="8"/>
      <c r="T894" s="8"/>
      <c r="U894" s="8"/>
      <c r="V894" s="8"/>
      <c r="W894" s="8"/>
      <c r="X894" s="8"/>
      <c r="Y894" s="8"/>
      <c r="Z894" s="8"/>
      <c r="AA894" s="8"/>
      <c r="AB894" s="8"/>
      <c r="AC894" s="8"/>
      <c r="AD894" s="8"/>
      <c r="AE894" s="8"/>
    </row>
    <row r="895" spans="1:31" x14ac:dyDescent="0.25">
      <c r="A895" s="8"/>
      <c r="B895" s="8"/>
      <c r="C895" s="8"/>
      <c r="D895" s="8"/>
      <c r="E895" s="8"/>
      <c r="F895" s="8"/>
      <c r="G895" s="8"/>
      <c r="H895" s="8"/>
      <c r="I895" s="8"/>
      <c r="J895" s="8"/>
      <c r="K895" s="8"/>
      <c r="L895" s="8"/>
      <c r="T895" s="8"/>
      <c r="U895" s="8"/>
      <c r="V895" s="8"/>
      <c r="W895" s="8"/>
      <c r="X895" s="8"/>
      <c r="Y895" s="8"/>
      <c r="Z895" s="8"/>
      <c r="AA895" s="8"/>
      <c r="AB895" s="8"/>
      <c r="AC895" s="8"/>
      <c r="AD895" s="8"/>
      <c r="AE895" s="8"/>
    </row>
    <row r="896" spans="1:31" x14ac:dyDescent="0.25">
      <c r="A896" s="8"/>
      <c r="B896" s="8"/>
      <c r="C896" s="8"/>
      <c r="D896" s="8"/>
      <c r="E896" s="8"/>
      <c r="F896" s="8"/>
      <c r="G896" s="8"/>
      <c r="H896" s="8"/>
      <c r="I896" s="8"/>
      <c r="J896" s="8"/>
      <c r="K896" s="8"/>
      <c r="L896" s="8"/>
      <c r="T896" s="8"/>
      <c r="U896" s="8"/>
      <c r="V896" s="8"/>
      <c r="W896" s="8"/>
      <c r="X896" s="8"/>
      <c r="Y896" s="8"/>
      <c r="Z896" s="8"/>
      <c r="AA896" s="8"/>
      <c r="AB896" s="8"/>
      <c r="AC896" s="8"/>
      <c r="AD896" s="8"/>
      <c r="AE896" s="8"/>
    </row>
    <row r="897" spans="1:31" x14ac:dyDescent="0.25">
      <c r="A897" s="8"/>
      <c r="B897" s="8"/>
      <c r="C897" s="8"/>
      <c r="D897" s="8"/>
      <c r="E897" s="8"/>
      <c r="F897" s="8"/>
      <c r="G897" s="8"/>
      <c r="H897" s="8"/>
      <c r="I897" s="8"/>
      <c r="J897" s="8"/>
      <c r="K897" s="8"/>
      <c r="L897" s="8"/>
      <c r="T897" s="8"/>
      <c r="U897" s="8"/>
      <c r="V897" s="8"/>
      <c r="W897" s="8"/>
      <c r="X897" s="8"/>
      <c r="Y897" s="8"/>
      <c r="Z897" s="8"/>
      <c r="AA897" s="8"/>
      <c r="AB897" s="8"/>
      <c r="AC897" s="8"/>
      <c r="AD897" s="8"/>
      <c r="AE897" s="8"/>
    </row>
    <row r="898" spans="1:31" x14ac:dyDescent="0.25">
      <c r="A898" s="8"/>
      <c r="B898" s="8"/>
      <c r="C898" s="8"/>
      <c r="D898" s="8"/>
      <c r="E898" s="8"/>
      <c r="F898" s="8"/>
      <c r="G898" s="8"/>
      <c r="H898" s="8"/>
      <c r="I898" s="8"/>
      <c r="J898" s="8"/>
      <c r="K898" s="8"/>
      <c r="L898" s="8"/>
      <c r="T898" s="8"/>
      <c r="U898" s="8"/>
      <c r="V898" s="8"/>
      <c r="W898" s="8"/>
      <c r="X898" s="8"/>
      <c r="Y898" s="8"/>
      <c r="Z898" s="8"/>
      <c r="AA898" s="8"/>
      <c r="AB898" s="8"/>
      <c r="AC898" s="8"/>
      <c r="AD898" s="8"/>
      <c r="AE898" s="8"/>
    </row>
    <row r="899" spans="1:31" x14ac:dyDescent="0.25">
      <c r="A899" s="8"/>
      <c r="B899" s="8"/>
      <c r="C899" s="8"/>
      <c r="D899" s="8"/>
      <c r="E899" s="8"/>
      <c r="F899" s="8"/>
      <c r="G899" s="8"/>
      <c r="H899" s="8"/>
      <c r="I899" s="8"/>
      <c r="J899" s="8"/>
      <c r="K899" s="8"/>
      <c r="L899" s="8"/>
      <c r="T899" s="8"/>
      <c r="U899" s="8"/>
      <c r="V899" s="8"/>
      <c r="W899" s="8"/>
      <c r="X899" s="8"/>
      <c r="Y899" s="8"/>
      <c r="Z899" s="8"/>
      <c r="AA899" s="8"/>
      <c r="AB899" s="8"/>
      <c r="AC899" s="8"/>
      <c r="AD899" s="8"/>
      <c r="AE899" s="8"/>
    </row>
    <row r="900" spans="1:31" x14ac:dyDescent="0.25">
      <c r="A900" s="8"/>
      <c r="B900" s="8"/>
      <c r="C900" s="8"/>
      <c r="D900" s="8"/>
      <c r="E900" s="8"/>
      <c r="F900" s="8"/>
      <c r="G900" s="8"/>
      <c r="H900" s="8"/>
      <c r="I900" s="8"/>
      <c r="J900" s="8"/>
      <c r="K900" s="8"/>
      <c r="L900" s="8"/>
      <c r="T900" s="8"/>
      <c r="U900" s="8"/>
      <c r="V900" s="8"/>
      <c r="W900" s="8"/>
      <c r="X900" s="8"/>
      <c r="Y900" s="8"/>
      <c r="Z900" s="8"/>
      <c r="AA900" s="8"/>
      <c r="AB900" s="8"/>
      <c r="AC900" s="8"/>
      <c r="AD900" s="8"/>
      <c r="AE900" s="8"/>
    </row>
    <row r="901" spans="1:31" x14ac:dyDescent="0.25">
      <c r="A901" s="8"/>
      <c r="B901" s="8"/>
      <c r="C901" s="8"/>
      <c r="D901" s="8"/>
      <c r="E901" s="8"/>
      <c r="F901" s="8"/>
      <c r="G901" s="8"/>
      <c r="H901" s="8"/>
      <c r="I901" s="8"/>
      <c r="J901" s="8"/>
      <c r="K901" s="8"/>
      <c r="L901" s="8"/>
      <c r="T901" s="8"/>
      <c r="U901" s="8"/>
      <c r="V901" s="8"/>
      <c r="W901" s="8"/>
      <c r="X901" s="8"/>
      <c r="Y901" s="8"/>
      <c r="Z901" s="8"/>
      <c r="AA901" s="8"/>
      <c r="AB901" s="8"/>
      <c r="AC901" s="8"/>
      <c r="AD901" s="8"/>
      <c r="AE901" s="8"/>
    </row>
    <row r="902" spans="1:31" x14ac:dyDescent="0.25">
      <c r="A902" s="8"/>
      <c r="B902" s="8"/>
      <c r="C902" s="8"/>
      <c r="D902" s="8"/>
      <c r="E902" s="8"/>
      <c r="F902" s="8"/>
      <c r="G902" s="8"/>
      <c r="H902" s="8"/>
      <c r="I902" s="8"/>
      <c r="J902" s="8"/>
      <c r="K902" s="8"/>
      <c r="L902" s="8"/>
      <c r="T902" s="8"/>
      <c r="U902" s="8"/>
      <c r="V902" s="8"/>
      <c r="W902" s="8"/>
      <c r="X902" s="8"/>
      <c r="Y902" s="8"/>
      <c r="Z902" s="8"/>
      <c r="AA902" s="8"/>
      <c r="AB902" s="8"/>
      <c r="AC902" s="8"/>
      <c r="AD902" s="8"/>
      <c r="AE902" s="8"/>
    </row>
    <row r="903" spans="1:31" x14ac:dyDescent="0.25">
      <c r="A903" s="8"/>
      <c r="B903" s="8"/>
      <c r="C903" s="8"/>
      <c r="D903" s="8"/>
      <c r="E903" s="8"/>
      <c r="F903" s="8"/>
      <c r="G903" s="8"/>
      <c r="H903" s="8"/>
      <c r="I903" s="8"/>
      <c r="J903" s="8"/>
      <c r="K903" s="8"/>
      <c r="L903" s="8"/>
      <c r="T903" s="8"/>
      <c r="U903" s="8"/>
      <c r="V903" s="8"/>
      <c r="W903" s="8"/>
      <c r="X903" s="8"/>
      <c r="Y903" s="8"/>
      <c r="Z903" s="8"/>
      <c r="AA903" s="8"/>
      <c r="AB903" s="8"/>
      <c r="AC903" s="8"/>
      <c r="AD903" s="8"/>
      <c r="AE903" s="8"/>
    </row>
    <row r="904" spans="1:31" x14ac:dyDescent="0.25">
      <c r="A904" s="8"/>
      <c r="B904" s="8"/>
      <c r="C904" s="8"/>
      <c r="D904" s="8"/>
      <c r="E904" s="8"/>
      <c r="F904" s="8"/>
      <c r="G904" s="8"/>
      <c r="H904" s="8"/>
      <c r="I904" s="8"/>
      <c r="J904" s="8"/>
      <c r="K904" s="8"/>
      <c r="L904" s="8"/>
      <c r="T904" s="8"/>
      <c r="U904" s="8"/>
      <c r="V904" s="8"/>
      <c r="W904" s="8"/>
      <c r="X904" s="8"/>
      <c r="Y904" s="8"/>
      <c r="Z904" s="8"/>
      <c r="AA904" s="8"/>
      <c r="AB904" s="8"/>
      <c r="AC904" s="8"/>
      <c r="AD904" s="8"/>
      <c r="AE904" s="8"/>
    </row>
    <row r="905" spans="1:31" x14ac:dyDescent="0.25">
      <c r="A905" s="8"/>
      <c r="B905" s="8"/>
      <c r="C905" s="8"/>
      <c r="D905" s="8"/>
      <c r="E905" s="8"/>
      <c r="F905" s="8"/>
      <c r="G905" s="8"/>
      <c r="H905" s="8"/>
      <c r="I905" s="8"/>
      <c r="J905" s="8"/>
      <c r="K905" s="8"/>
      <c r="L905" s="8"/>
      <c r="T905" s="8"/>
      <c r="U905" s="8"/>
      <c r="V905" s="8"/>
      <c r="W905" s="8"/>
      <c r="X905" s="8"/>
      <c r="Y905" s="8"/>
      <c r="Z905" s="8"/>
      <c r="AA905" s="8"/>
      <c r="AB905" s="8"/>
      <c r="AC905" s="8"/>
      <c r="AD905" s="8"/>
      <c r="AE905" s="8"/>
    </row>
    <row r="906" spans="1:31" x14ac:dyDescent="0.25">
      <c r="A906" s="8"/>
      <c r="B906" s="8"/>
      <c r="C906" s="8"/>
      <c r="D906" s="8"/>
      <c r="E906" s="8"/>
      <c r="F906" s="8"/>
      <c r="G906" s="8"/>
      <c r="H906" s="8"/>
      <c r="I906" s="8"/>
      <c r="J906" s="8"/>
      <c r="K906" s="8"/>
      <c r="L906" s="8"/>
      <c r="T906" s="8"/>
      <c r="U906" s="8"/>
      <c r="V906" s="8"/>
      <c r="W906" s="8"/>
      <c r="X906" s="8"/>
      <c r="Y906" s="8"/>
      <c r="Z906" s="8"/>
      <c r="AA906" s="8"/>
      <c r="AB906" s="8"/>
      <c r="AC906" s="8"/>
      <c r="AD906" s="8"/>
      <c r="AE906" s="8"/>
    </row>
    <row r="907" spans="1:31" x14ac:dyDescent="0.25">
      <c r="A907" s="8"/>
      <c r="B907" s="8"/>
      <c r="C907" s="8"/>
      <c r="D907" s="8"/>
      <c r="E907" s="8"/>
      <c r="F907" s="8"/>
      <c r="G907" s="8"/>
      <c r="H907" s="8"/>
      <c r="I907" s="8"/>
      <c r="J907" s="8"/>
      <c r="K907" s="8"/>
      <c r="L907" s="8"/>
      <c r="T907" s="8"/>
      <c r="U907" s="8"/>
      <c r="V907" s="8"/>
      <c r="W907" s="8"/>
      <c r="X907" s="8"/>
      <c r="Y907" s="8"/>
      <c r="Z907" s="8"/>
      <c r="AA907" s="8"/>
      <c r="AB907" s="8"/>
      <c r="AC907" s="8"/>
      <c r="AD907" s="8"/>
      <c r="AE907" s="8"/>
    </row>
    <row r="908" spans="1:31" x14ac:dyDescent="0.25">
      <c r="A908" s="8"/>
      <c r="B908" s="8"/>
      <c r="C908" s="8"/>
      <c r="D908" s="8"/>
      <c r="E908" s="8"/>
      <c r="F908" s="8"/>
      <c r="G908" s="8"/>
      <c r="H908" s="8"/>
      <c r="I908" s="8"/>
      <c r="J908" s="8"/>
      <c r="K908" s="8"/>
      <c r="L908" s="8"/>
      <c r="T908" s="8"/>
      <c r="U908" s="8"/>
      <c r="V908" s="8"/>
      <c r="W908" s="8"/>
      <c r="X908" s="8"/>
      <c r="Y908" s="8"/>
      <c r="Z908" s="8"/>
      <c r="AA908" s="8"/>
      <c r="AB908" s="8"/>
      <c r="AC908" s="8"/>
      <c r="AD908" s="8"/>
      <c r="AE908" s="8"/>
    </row>
    <row r="909" spans="1:31" x14ac:dyDescent="0.25">
      <c r="A909" s="8"/>
      <c r="B909" s="8"/>
      <c r="C909" s="8"/>
      <c r="D909" s="8"/>
      <c r="E909" s="8"/>
      <c r="F909" s="8"/>
      <c r="G909" s="8"/>
      <c r="H909" s="8"/>
      <c r="I909" s="8"/>
      <c r="J909" s="8"/>
      <c r="K909" s="8"/>
      <c r="L909" s="8"/>
      <c r="T909" s="8"/>
      <c r="U909" s="8"/>
      <c r="V909" s="8"/>
      <c r="W909" s="8"/>
      <c r="X909" s="8"/>
      <c r="Y909" s="8"/>
      <c r="Z909" s="8"/>
      <c r="AA909" s="8"/>
      <c r="AB909" s="8"/>
      <c r="AC909" s="8"/>
      <c r="AD909" s="8"/>
      <c r="AE909" s="8"/>
    </row>
    <row r="910" spans="1:31" x14ac:dyDescent="0.25">
      <c r="A910" s="8"/>
      <c r="B910" s="8"/>
      <c r="C910" s="8"/>
      <c r="D910" s="8"/>
      <c r="E910" s="8"/>
      <c r="F910" s="8"/>
      <c r="G910" s="8"/>
      <c r="H910" s="8"/>
      <c r="I910" s="8"/>
      <c r="J910" s="8"/>
      <c r="K910" s="8"/>
      <c r="L910" s="8"/>
      <c r="T910" s="8"/>
      <c r="U910" s="8"/>
      <c r="V910" s="8"/>
      <c r="W910" s="8"/>
      <c r="X910" s="8"/>
      <c r="Y910" s="8"/>
      <c r="Z910" s="8"/>
      <c r="AA910" s="8"/>
      <c r="AB910" s="8"/>
      <c r="AC910" s="8"/>
      <c r="AD910" s="8"/>
      <c r="AE910" s="8"/>
    </row>
    <row r="911" spans="1:31" x14ac:dyDescent="0.25">
      <c r="A911" s="8"/>
      <c r="B911" s="8"/>
      <c r="C911" s="8"/>
      <c r="D911" s="8"/>
      <c r="E911" s="8"/>
      <c r="F911" s="8"/>
      <c r="G911" s="8"/>
      <c r="H911" s="8"/>
      <c r="I911" s="8"/>
      <c r="J911" s="8"/>
      <c r="K911" s="8"/>
      <c r="L911" s="8"/>
      <c r="T911" s="8"/>
      <c r="U911" s="8"/>
      <c r="V911" s="8"/>
      <c r="W911" s="8"/>
      <c r="X911" s="8"/>
      <c r="Y911" s="8"/>
      <c r="Z911" s="8"/>
      <c r="AA911" s="8"/>
      <c r="AB911" s="8"/>
      <c r="AC911" s="8"/>
      <c r="AD911" s="8"/>
      <c r="AE911" s="8"/>
    </row>
    <row r="912" spans="1:31" x14ac:dyDescent="0.25">
      <c r="A912" s="8"/>
      <c r="B912" s="8"/>
      <c r="C912" s="8"/>
      <c r="D912" s="8"/>
      <c r="E912" s="8"/>
      <c r="F912" s="8"/>
      <c r="G912" s="8"/>
      <c r="H912" s="8"/>
      <c r="I912" s="8"/>
      <c r="J912" s="8"/>
      <c r="K912" s="8"/>
      <c r="L912" s="8"/>
      <c r="T912" s="8"/>
      <c r="U912" s="8"/>
      <c r="V912" s="8"/>
      <c r="W912" s="8"/>
      <c r="X912" s="8"/>
      <c r="Y912" s="8"/>
      <c r="Z912" s="8"/>
      <c r="AA912" s="8"/>
      <c r="AB912" s="8"/>
      <c r="AC912" s="8"/>
      <c r="AD912" s="8"/>
      <c r="AE912" s="8"/>
    </row>
    <row r="913" spans="1:31" x14ac:dyDescent="0.25">
      <c r="A913" s="8"/>
      <c r="B913" s="8"/>
      <c r="C913" s="8"/>
      <c r="D913" s="8"/>
      <c r="E913" s="8"/>
      <c r="F913" s="8"/>
      <c r="G913" s="8"/>
      <c r="H913" s="8"/>
      <c r="I913" s="8"/>
      <c r="J913" s="8"/>
      <c r="K913" s="8"/>
      <c r="L913" s="8"/>
      <c r="T913" s="8"/>
      <c r="U913" s="8"/>
      <c r="V913" s="8"/>
      <c r="W913" s="8"/>
      <c r="X913" s="8"/>
      <c r="Y913" s="8"/>
      <c r="Z913" s="8"/>
      <c r="AA913" s="8"/>
      <c r="AB913" s="8"/>
      <c r="AC913" s="8"/>
      <c r="AD913" s="8"/>
      <c r="AE913" s="8"/>
    </row>
    <row r="914" spans="1:31" x14ac:dyDescent="0.25">
      <c r="A914" s="8"/>
      <c r="B914" s="8"/>
      <c r="C914" s="8"/>
      <c r="D914" s="8"/>
      <c r="E914" s="8"/>
      <c r="F914" s="8"/>
      <c r="G914" s="8"/>
      <c r="H914" s="8"/>
      <c r="I914" s="8"/>
      <c r="J914" s="8"/>
      <c r="K914" s="8"/>
      <c r="L914" s="8"/>
      <c r="T914" s="8"/>
      <c r="U914" s="8"/>
      <c r="V914" s="8"/>
      <c r="W914" s="8"/>
      <c r="X914" s="8"/>
      <c r="Y914" s="8"/>
      <c r="Z914" s="8"/>
      <c r="AA914" s="8"/>
      <c r="AB914" s="8"/>
      <c r="AC914" s="8"/>
      <c r="AD914" s="8"/>
      <c r="AE914" s="8"/>
    </row>
    <row r="915" spans="1:31" x14ac:dyDescent="0.25">
      <c r="A915" s="8"/>
      <c r="B915" s="8"/>
      <c r="C915" s="8"/>
      <c r="D915" s="8"/>
      <c r="E915" s="8"/>
      <c r="F915" s="8"/>
      <c r="G915" s="8"/>
      <c r="H915" s="8"/>
      <c r="I915" s="8"/>
      <c r="J915" s="8"/>
      <c r="K915" s="8"/>
      <c r="L915" s="8"/>
      <c r="T915" s="8"/>
      <c r="U915" s="8"/>
      <c r="V915" s="8"/>
      <c r="W915" s="8"/>
      <c r="X915" s="8"/>
      <c r="Y915" s="8"/>
      <c r="Z915" s="8"/>
      <c r="AA915" s="8"/>
      <c r="AB915" s="8"/>
      <c r="AC915" s="8"/>
      <c r="AD915" s="8"/>
      <c r="AE915" s="8"/>
    </row>
    <row r="916" spans="1:31" x14ac:dyDescent="0.25">
      <c r="A916" s="8"/>
      <c r="B916" s="8"/>
      <c r="C916" s="8"/>
      <c r="D916" s="8"/>
      <c r="E916" s="8"/>
      <c r="F916" s="8"/>
      <c r="G916" s="8"/>
      <c r="H916" s="8"/>
      <c r="I916" s="8"/>
      <c r="J916" s="8"/>
      <c r="K916" s="8"/>
      <c r="L916" s="8"/>
      <c r="T916" s="8"/>
      <c r="U916" s="8"/>
      <c r="V916" s="8"/>
      <c r="W916" s="8"/>
      <c r="X916" s="8"/>
      <c r="Y916" s="8"/>
      <c r="Z916" s="8"/>
      <c r="AA916" s="8"/>
      <c r="AB916" s="8"/>
      <c r="AC916" s="8"/>
      <c r="AD916" s="8"/>
      <c r="AE916" s="8"/>
    </row>
    <row r="917" spans="1:31" x14ac:dyDescent="0.25">
      <c r="A917" s="8"/>
      <c r="B917" s="8"/>
      <c r="C917" s="8"/>
      <c r="D917" s="8"/>
      <c r="E917" s="8"/>
      <c r="F917" s="8"/>
      <c r="G917" s="8"/>
      <c r="H917" s="8"/>
      <c r="I917" s="8"/>
      <c r="J917" s="8"/>
      <c r="K917" s="8"/>
      <c r="L917" s="8"/>
      <c r="T917" s="8"/>
      <c r="U917" s="8"/>
      <c r="V917" s="8"/>
      <c r="W917" s="8"/>
      <c r="X917" s="8"/>
      <c r="Y917" s="8"/>
      <c r="Z917" s="8"/>
      <c r="AA917" s="8"/>
      <c r="AB917" s="8"/>
      <c r="AC917" s="8"/>
      <c r="AD917" s="8"/>
      <c r="AE917" s="8"/>
    </row>
    <row r="918" spans="1:31" x14ac:dyDescent="0.25">
      <c r="A918" s="8"/>
      <c r="B918" s="8"/>
      <c r="C918" s="8"/>
      <c r="D918" s="8"/>
      <c r="E918" s="8"/>
      <c r="F918" s="8"/>
      <c r="G918" s="8"/>
      <c r="H918" s="8"/>
      <c r="I918" s="8"/>
      <c r="J918" s="8"/>
      <c r="K918" s="8"/>
      <c r="L918" s="8"/>
      <c r="T918" s="8"/>
      <c r="U918" s="8"/>
      <c r="V918" s="8"/>
      <c r="W918" s="8"/>
      <c r="X918" s="8"/>
      <c r="Y918" s="8"/>
      <c r="Z918" s="8"/>
      <c r="AA918" s="8"/>
      <c r="AB918" s="8"/>
      <c r="AC918" s="8"/>
      <c r="AD918" s="8"/>
      <c r="AE918" s="8"/>
    </row>
    <row r="919" spans="1:31" x14ac:dyDescent="0.25">
      <c r="A919" s="8"/>
      <c r="B919" s="8"/>
      <c r="C919" s="8"/>
      <c r="D919" s="8"/>
      <c r="E919" s="8"/>
      <c r="F919" s="8"/>
      <c r="G919" s="8"/>
      <c r="H919" s="8"/>
      <c r="I919" s="8"/>
      <c r="J919" s="8"/>
      <c r="K919" s="8"/>
      <c r="L919" s="8"/>
      <c r="T919" s="8"/>
      <c r="U919" s="8"/>
      <c r="V919" s="8"/>
      <c r="W919" s="8"/>
      <c r="X919" s="8"/>
      <c r="Y919" s="8"/>
      <c r="Z919" s="8"/>
      <c r="AA919" s="8"/>
      <c r="AB919" s="8"/>
      <c r="AC919" s="8"/>
      <c r="AD919" s="8"/>
      <c r="AE919" s="8"/>
    </row>
    <row r="920" spans="1:31" x14ac:dyDescent="0.25">
      <c r="A920" s="8"/>
      <c r="B920" s="8"/>
      <c r="C920" s="8"/>
      <c r="D920" s="8"/>
      <c r="E920" s="8"/>
      <c r="F920" s="8"/>
      <c r="G920" s="8"/>
      <c r="H920" s="8"/>
      <c r="I920" s="8"/>
      <c r="J920" s="8"/>
      <c r="K920" s="8"/>
      <c r="L920" s="8"/>
      <c r="T920" s="8"/>
      <c r="U920" s="8"/>
      <c r="V920" s="8"/>
      <c r="W920" s="8"/>
      <c r="X920" s="8"/>
      <c r="Y920" s="8"/>
      <c r="Z920" s="8"/>
      <c r="AA920" s="8"/>
      <c r="AB920" s="8"/>
      <c r="AC920" s="8"/>
      <c r="AD920" s="8"/>
      <c r="AE920" s="8"/>
    </row>
    <row r="921" spans="1:31" x14ac:dyDescent="0.25">
      <c r="A921" s="8"/>
      <c r="B921" s="8"/>
      <c r="C921" s="8"/>
      <c r="D921" s="8"/>
      <c r="E921" s="8"/>
      <c r="F921" s="8"/>
      <c r="G921" s="8"/>
      <c r="H921" s="8"/>
      <c r="I921" s="8"/>
      <c r="J921" s="8"/>
      <c r="K921" s="8"/>
      <c r="L921" s="8"/>
      <c r="T921" s="8"/>
      <c r="U921" s="8"/>
      <c r="V921" s="8"/>
      <c r="W921" s="8"/>
      <c r="X921" s="8"/>
      <c r="Y921" s="8"/>
      <c r="Z921" s="8"/>
      <c r="AA921" s="8"/>
      <c r="AB921" s="8"/>
      <c r="AC921" s="8"/>
      <c r="AD921" s="8"/>
      <c r="AE921" s="8"/>
    </row>
    <row r="922" spans="1:31" x14ac:dyDescent="0.25">
      <c r="A922" s="8"/>
      <c r="B922" s="8"/>
      <c r="C922" s="8"/>
      <c r="D922" s="8"/>
      <c r="E922" s="8"/>
      <c r="F922" s="8"/>
      <c r="G922" s="8"/>
      <c r="H922" s="8"/>
      <c r="I922" s="8"/>
      <c r="J922" s="8"/>
      <c r="K922" s="8"/>
      <c r="L922" s="8"/>
      <c r="T922" s="8"/>
      <c r="U922" s="8"/>
      <c r="V922" s="8"/>
      <c r="W922" s="8"/>
      <c r="X922" s="8"/>
      <c r="Y922" s="8"/>
      <c r="Z922" s="8"/>
      <c r="AA922" s="8"/>
      <c r="AB922" s="8"/>
      <c r="AC922" s="8"/>
      <c r="AD922" s="8"/>
      <c r="AE922" s="8"/>
    </row>
    <row r="923" spans="1:31" x14ac:dyDescent="0.25">
      <c r="A923" s="8"/>
      <c r="B923" s="8"/>
      <c r="C923" s="8"/>
      <c r="D923" s="8"/>
      <c r="E923" s="8"/>
      <c r="F923" s="8"/>
      <c r="G923" s="8"/>
      <c r="H923" s="8"/>
      <c r="I923" s="8"/>
      <c r="J923" s="8"/>
      <c r="K923" s="8"/>
      <c r="L923" s="8"/>
      <c r="T923" s="8"/>
      <c r="U923" s="8"/>
      <c r="V923" s="8"/>
      <c r="W923" s="8"/>
      <c r="X923" s="8"/>
      <c r="Y923" s="8"/>
      <c r="Z923" s="8"/>
      <c r="AA923" s="8"/>
      <c r="AB923" s="8"/>
      <c r="AC923" s="8"/>
      <c r="AD923" s="8"/>
      <c r="AE923" s="8"/>
    </row>
    <row r="924" spans="1:31" x14ac:dyDescent="0.25">
      <c r="A924" s="8"/>
      <c r="B924" s="8"/>
      <c r="C924" s="8"/>
      <c r="D924" s="8"/>
      <c r="E924" s="8"/>
      <c r="F924" s="8"/>
      <c r="G924" s="8"/>
      <c r="H924" s="8"/>
      <c r="I924" s="8"/>
      <c r="J924" s="8"/>
      <c r="K924" s="8"/>
      <c r="L924" s="8"/>
      <c r="T924" s="8"/>
      <c r="U924" s="8"/>
      <c r="V924" s="8"/>
      <c r="W924" s="8"/>
      <c r="X924" s="8"/>
      <c r="Y924" s="8"/>
      <c r="Z924" s="8"/>
      <c r="AA924" s="8"/>
      <c r="AB924" s="8"/>
      <c r="AC924" s="8"/>
      <c r="AD924" s="8"/>
      <c r="AE924" s="8"/>
    </row>
    <row r="925" spans="1:31" x14ac:dyDescent="0.25">
      <c r="A925" s="8"/>
      <c r="B925" s="8"/>
      <c r="C925" s="8"/>
      <c r="D925" s="8"/>
      <c r="E925" s="8"/>
      <c r="F925" s="8"/>
      <c r="G925" s="8"/>
      <c r="H925" s="8"/>
      <c r="I925" s="8"/>
      <c r="J925" s="8"/>
      <c r="K925" s="8"/>
      <c r="L925" s="8"/>
      <c r="T925" s="8"/>
      <c r="U925" s="8"/>
      <c r="V925" s="8"/>
      <c r="W925" s="8"/>
      <c r="X925" s="8"/>
      <c r="Y925" s="8"/>
      <c r="Z925" s="8"/>
      <c r="AA925" s="8"/>
      <c r="AB925" s="8"/>
      <c r="AC925" s="8"/>
      <c r="AD925" s="8"/>
      <c r="AE925" s="8"/>
    </row>
    <row r="926" spans="1:31" x14ac:dyDescent="0.25">
      <c r="A926" s="8"/>
      <c r="B926" s="8"/>
      <c r="C926" s="8"/>
      <c r="D926" s="8"/>
      <c r="E926" s="8"/>
      <c r="F926" s="8"/>
      <c r="G926" s="8"/>
      <c r="H926" s="8"/>
      <c r="I926" s="8"/>
      <c r="J926" s="8"/>
      <c r="K926" s="8"/>
      <c r="L926" s="8"/>
      <c r="T926" s="8"/>
      <c r="U926" s="8"/>
      <c r="V926" s="8"/>
      <c r="W926" s="8"/>
      <c r="X926" s="8"/>
      <c r="Y926" s="8"/>
      <c r="Z926" s="8"/>
      <c r="AA926" s="8"/>
      <c r="AB926" s="8"/>
      <c r="AC926" s="8"/>
      <c r="AD926" s="8"/>
      <c r="AE926" s="8"/>
    </row>
    <row r="927" spans="1:31" x14ac:dyDescent="0.25">
      <c r="A927" s="8"/>
      <c r="B927" s="8"/>
      <c r="C927" s="8"/>
      <c r="D927" s="8"/>
      <c r="E927" s="8"/>
      <c r="F927" s="8"/>
      <c r="G927" s="8"/>
      <c r="H927" s="8"/>
      <c r="I927" s="8"/>
      <c r="J927" s="8"/>
      <c r="K927" s="8"/>
      <c r="L927" s="8"/>
      <c r="T927" s="8"/>
      <c r="U927" s="8"/>
      <c r="V927" s="8"/>
      <c r="W927" s="8"/>
      <c r="X927" s="8"/>
      <c r="Y927" s="8"/>
      <c r="Z927" s="8"/>
      <c r="AA927" s="8"/>
      <c r="AB927" s="8"/>
      <c r="AC927" s="8"/>
      <c r="AD927" s="8"/>
      <c r="AE927" s="8"/>
    </row>
    <row r="928" spans="1:31" x14ac:dyDescent="0.25">
      <c r="A928" s="8"/>
      <c r="B928" s="8"/>
      <c r="C928" s="8"/>
      <c r="D928" s="8"/>
      <c r="E928" s="8"/>
      <c r="F928" s="8"/>
      <c r="G928" s="8"/>
      <c r="H928" s="8"/>
      <c r="I928" s="8"/>
      <c r="J928" s="8"/>
      <c r="K928" s="8"/>
      <c r="L928" s="8"/>
      <c r="T928" s="8"/>
      <c r="U928" s="8"/>
      <c r="V928" s="8"/>
      <c r="W928" s="8"/>
      <c r="X928" s="8"/>
      <c r="Y928" s="8"/>
      <c r="Z928" s="8"/>
      <c r="AA928" s="8"/>
      <c r="AB928" s="8"/>
      <c r="AC928" s="8"/>
      <c r="AD928" s="8"/>
      <c r="AE928" s="8"/>
    </row>
    <row r="929" spans="1:31" x14ac:dyDescent="0.25">
      <c r="A929" s="8"/>
      <c r="B929" s="8"/>
      <c r="C929" s="8"/>
      <c r="D929" s="8"/>
      <c r="E929" s="8"/>
      <c r="F929" s="8"/>
      <c r="G929" s="8"/>
      <c r="H929" s="8"/>
      <c r="I929" s="8"/>
      <c r="J929" s="8"/>
      <c r="K929" s="8"/>
      <c r="L929" s="8"/>
      <c r="T929" s="8"/>
      <c r="U929" s="8"/>
      <c r="V929" s="8"/>
      <c r="W929" s="8"/>
      <c r="X929" s="8"/>
      <c r="Y929" s="8"/>
      <c r="Z929" s="8"/>
      <c r="AA929" s="8"/>
      <c r="AB929" s="8"/>
      <c r="AC929" s="8"/>
      <c r="AD929" s="8"/>
      <c r="AE929" s="8"/>
    </row>
    <row r="930" spans="1:31" x14ac:dyDescent="0.25">
      <c r="A930" s="8"/>
      <c r="B930" s="8"/>
      <c r="C930" s="8"/>
      <c r="D930" s="8"/>
      <c r="E930" s="8"/>
      <c r="F930" s="8"/>
      <c r="G930" s="8"/>
      <c r="H930" s="8"/>
      <c r="I930" s="8"/>
      <c r="J930" s="8"/>
      <c r="K930" s="8"/>
      <c r="L930" s="8"/>
      <c r="T930" s="8"/>
      <c r="U930" s="8"/>
      <c r="V930" s="8"/>
      <c r="W930" s="8"/>
      <c r="X930" s="8"/>
      <c r="Y930" s="8"/>
      <c r="Z930" s="8"/>
      <c r="AA930" s="8"/>
      <c r="AB930" s="8"/>
      <c r="AC930" s="8"/>
      <c r="AD930" s="8"/>
      <c r="AE930" s="8"/>
    </row>
    <row r="931" spans="1:31" x14ac:dyDescent="0.25">
      <c r="A931" s="8"/>
      <c r="B931" s="8"/>
      <c r="C931" s="8"/>
      <c r="D931" s="8"/>
      <c r="E931" s="8"/>
      <c r="F931" s="8"/>
      <c r="G931" s="8"/>
      <c r="H931" s="8"/>
      <c r="I931" s="8"/>
      <c r="J931" s="8"/>
      <c r="K931" s="8"/>
      <c r="L931" s="8"/>
      <c r="T931" s="8"/>
      <c r="U931" s="8"/>
      <c r="V931" s="8"/>
      <c r="W931" s="8"/>
      <c r="X931" s="8"/>
      <c r="Y931" s="8"/>
      <c r="Z931" s="8"/>
      <c r="AA931" s="8"/>
      <c r="AB931" s="8"/>
      <c r="AC931" s="8"/>
      <c r="AD931" s="8"/>
      <c r="AE931" s="8"/>
    </row>
    <row r="932" spans="1:31" x14ac:dyDescent="0.25">
      <c r="A932" s="8"/>
      <c r="B932" s="8"/>
      <c r="C932" s="8"/>
      <c r="D932" s="8"/>
      <c r="E932" s="8"/>
      <c r="F932" s="8"/>
      <c r="G932" s="8"/>
      <c r="H932" s="8"/>
      <c r="I932" s="8"/>
      <c r="J932" s="8"/>
      <c r="K932" s="8"/>
      <c r="L932" s="8"/>
      <c r="T932" s="8"/>
      <c r="U932" s="8"/>
      <c r="V932" s="8"/>
      <c r="W932" s="8"/>
      <c r="X932" s="8"/>
      <c r="Y932" s="8"/>
      <c r="Z932" s="8"/>
      <c r="AA932" s="8"/>
      <c r="AB932" s="8"/>
      <c r="AC932" s="8"/>
      <c r="AD932" s="8"/>
      <c r="AE932" s="8"/>
    </row>
    <row r="933" spans="1:31" x14ac:dyDescent="0.25">
      <c r="A933" s="8"/>
      <c r="B933" s="8"/>
      <c r="C933" s="8"/>
      <c r="D933" s="8"/>
      <c r="E933" s="8"/>
      <c r="F933" s="8"/>
      <c r="G933" s="8"/>
      <c r="H933" s="8"/>
      <c r="I933" s="8"/>
      <c r="J933" s="8"/>
      <c r="K933" s="8"/>
      <c r="L933" s="8"/>
      <c r="T933" s="8"/>
      <c r="U933" s="8"/>
      <c r="V933" s="8"/>
      <c r="W933" s="8"/>
      <c r="X933" s="8"/>
      <c r="Y933" s="8"/>
      <c r="Z933" s="8"/>
      <c r="AA933" s="8"/>
      <c r="AB933" s="8"/>
      <c r="AC933" s="8"/>
      <c r="AD933" s="8"/>
      <c r="AE933" s="8"/>
    </row>
    <row r="934" spans="1:31" x14ac:dyDescent="0.25">
      <c r="A934" s="8"/>
      <c r="B934" s="8"/>
      <c r="C934" s="8"/>
      <c r="D934" s="8"/>
      <c r="E934" s="8"/>
      <c r="F934" s="8"/>
      <c r="G934" s="8"/>
      <c r="H934" s="8"/>
      <c r="I934" s="8"/>
      <c r="J934" s="8"/>
      <c r="K934" s="8"/>
      <c r="L934" s="8"/>
      <c r="T934" s="8"/>
      <c r="U934" s="8"/>
      <c r="V934" s="8"/>
      <c r="W934" s="8"/>
      <c r="X934" s="8"/>
      <c r="Y934" s="8"/>
      <c r="Z934" s="8"/>
      <c r="AA934" s="8"/>
      <c r="AB934" s="8"/>
      <c r="AC934" s="8"/>
      <c r="AD934" s="8"/>
      <c r="AE934" s="8"/>
    </row>
    <row r="935" spans="1:31" x14ac:dyDescent="0.25">
      <c r="A935" s="8"/>
      <c r="B935" s="8"/>
      <c r="C935" s="8"/>
      <c r="D935" s="8"/>
      <c r="E935" s="8"/>
      <c r="F935" s="8"/>
      <c r="G935" s="8"/>
      <c r="H935" s="8"/>
      <c r="I935" s="8"/>
      <c r="J935" s="8"/>
      <c r="K935" s="8"/>
      <c r="L935" s="8"/>
      <c r="T935" s="8"/>
      <c r="U935" s="8"/>
      <c r="V935" s="8"/>
      <c r="W935" s="8"/>
      <c r="X935" s="8"/>
      <c r="Y935" s="8"/>
      <c r="Z935" s="8"/>
      <c r="AA935" s="8"/>
      <c r="AB935" s="8"/>
      <c r="AC935" s="8"/>
      <c r="AD935" s="8"/>
      <c r="AE935" s="8"/>
    </row>
    <row r="936" spans="1:31" x14ac:dyDescent="0.25">
      <c r="A936" s="8"/>
      <c r="B936" s="8"/>
      <c r="C936" s="8"/>
      <c r="D936" s="8"/>
      <c r="E936" s="8"/>
      <c r="F936" s="8"/>
      <c r="G936" s="8"/>
      <c r="H936" s="8"/>
      <c r="I936" s="8"/>
      <c r="J936" s="8"/>
      <c r="K936" s="8"/>
      <c r="L936" s="8"/>
      <c r="T936" s="8"/>
      <c r="U936" s="8"/>
      <c r="V936" s="8"/>
      <c r="W936" s="8"/>
      <c r="X936" s="8"/>
      <c r="Y936" s="8"/>
      <c r="Z936" s="8"/>
      <c r="AA936" s="8"/>
      <c r="AB936" s="8"/>
      <c r="AC936" s="8"/>
      <c r="AD936" s="8"/>
      <c r="AE936" s="8"/>
    </row>
    <row r="937" spans="1:31" x14ac:dyDescent="0.25">
      <c r="A937" s="8"/>
      <c r="B937" s="8"/>
      <c r="C937" s="8"/>
      <c r="D937" s="8"/>
      <c r="E937" s="8"/>
      <c r="F937" s="8"/>
      <c r="G937" s="8"/>
      <c r="H937" s="8"/>
      <c r="I937" s="8"/>
      <c r="J937" s="8"/>
      <c r="K937" s="8"/>
      <c r="L937" s="8"/>
      <c r="T937" s="8"/>
      <c r="U937" s="8"/>
      <c r="V937" s="8"/>
      <c r="W937" s="8"/>
      <c r="X937" s="8"/>
      <c r="Y937" s="8"/>
      <c r="Z937" s="8"/>
      <c r="AA937" s="8"/>
      <c r="AB937" s="8"/>
      <c r="AC937" s="8"/>
      <c r="AD937" s="8"/>
      <c r="AE937" s="8"/>
    </row>
    <row r="938" spans="1:31" x14ac:dyDescent="0.25">
      <c r="A938" s="8"/>
      <c r="B938" s="8"/>
      <c r="C938" s="8"/>
      <c r="D938" s="8"/>
      <c r="E938" s="8"/>
      <c r="F938" s="8"/>
      <c r="G938" s="8"/>
      <c r="H938" s="8"/>
      <c r="I938" s="8"/>
      <c r="J938" s="8"/>
      <c r="K938" s="8"/>
      <c r="L938" s="8"/>
      <c r="T938" s="8"/>
      <c r="U938" s="8"/>
      <c r="V938" s="8"/>
      <c r="W938" s="8"/>
      <c r="X938" s="8"/>
      <c r="Y938" s="8"/>
      <c r="Z938" s="8"/>
      <c r="AA938" s="8"/>
      <c r="AB938" s="8"/>
      <c r="AC938" s="8"/>
      <c r="AD938" s="8"/>
      <c r="AE938" s="8"/>
    </row>
    <row r="939" spans="1:31" x14ac:dyDescent="0.25">
      <c r="A939" s="8"/>
      <c r="B939" s="8"/>
      <c r="C939" s="8"/>
      <c r="D939" s="8"/>
      <c r="E939" s="8"/>
      <c r="F939" s="8"/>
      <c r="G939" s="8"/>
      <c r="H939" s="8"/>
      <c r="I939" s="8"/>
      <c r="J939" s="8"/>
      <c r="K939" s="8"/>
      <c r="L939" s="8"/>
      <c r="T939" s="8"/>
      <c r="U939" s="8"/>
      <c r="V939" s="8"/>
      <c r="W939" s="8"/>
      <c r="X939" s="8"/>
      <c r="Y939" s="8"/>
      <c r="Z939" s="8"/>
      <c r="AA939" s="8"/>
      <c r="AB939" s="8"/>
      <c r="AC939" s="8"/>
      <c r="AD939" s="8"/>
      <c r="AE939" s="8"/>
    </row>
    <row r="940" spans="1:31" x14ac:dyDescent="0.25">
      <c r="A940" s="8"/>
      <c r="B940" s="8"/>
      <c r="C940" s="8"/>
      <c r="D940" s="8"/>
      <c r="E940" s="8"/>
      <c r="F940" s="8"/>
      <c r="G940" s="8"/>
      <c r="H940" s="8"/>
      <c r="I940" s="8"/>
      <c r="J940" s="8"/>
      <c r="K940" s="8"/>
      <c r="L940" s="8"/>
      <c r="T940" s="8"/>
      <c r="U940" s="8"/>
      <c r="V940" s="8"/>
      <c r="W940" s="8"/>
      <c r="X940" s="8"/>
      <c r="Y940" s="8"/>
      <c r="Z940" s="8"/>
      <c r="AA940" s="8"/>
      <c r="AB940" s="8"/>
      <c r="AC940" s="8"/>
      <c r="AD940" s="8"/>
      <c r="AE940" s="8"/>
    </row>
    <row r="941" spans="1:31" x14ac:dyDescent="0.25">
      <c r="A941" s="8"/>
      <c r="B941" s="8"/>
      <c r="C941" s="8"/>
      <c r="D941" s="8"/>
      <c r="E941" s="8"/>
      <c r="F941" s="8"/>
      <c r="G941" s="8"/>
      <c r="H941" s="8"/>
      <c r="I941" s="8"/>
      <c r="J941" s="8"/>
      <c r="K941" s="8"/>
      <c r="L941" s="8"/>
      <c r="T941" s="8"/>
      <c r="U941" s="8"/>
      <c r="V941" s="8"/>
      <c r="W941" s="8"/>
      <c r="X941" s="8"/>
      <c r="Y941" s="8"/>
      <c r="Z941" s="8"/>
      <c r="AA941" s="8"/>
      <c r="AB941" s="8"/>
      <c r="AC941" s="8"/>
      <c r="AD941" s="8"/>
      <c r="AE941" s="8"/>
    </row>
    <row r="942" spans="1:31" x14ac:dyDescent="0.25">
      <c r="A942" s="8"/>
      <c r="B942" s="8"/>
      <c r="C942" s="8"/>
      <c r="D942" s="8"/>
      <c r="E942" s="8"/>
      <c r="F942" s="8"/>
      <c r="G942" s="8"/>
      <c r="H942" s="8"/>
      <c r="I942" s="8"/>
      <c r="J942" s="8"/>
      <c r="K942" s="8"/>
      <c r="L942" s="8"/>
      <c r="T942" s="8"/>
      <c r="U942" s="8"/>
      <c r="V942" s="8"/>
      <c r="W942" s="8"/>
      <c r="X942" s="8"/>
      <c r="Y942" s="8"/>
      <c r="Z942" s="8"/>
      <c r="AA942" s="8"/>
      <c r="AB942" s="8"/>
      <c r="AC942" s="8"/>
      <c r="AD942" s="8"/>
      <c r="AE942" s="8"/>
    </row>
    <row r="943" spans="1:31" x14ac:dyDescent="0.25">
      <c r="A943" s="8"/>
      <c r="B943" s="8"/>
      <c r="C943" s="8"/>
      <c r="D943" s="8"/>
      <c r="E943" s="8"/>
      <c r="F943" s="8"/>
      <c r="G943" s="8"/>
      <c r="H943" s="8"/>
      <c r="I943" s="8"/>
      <c r="J943" s="8"/>
      <c r="K943" s="8"/>
      <c r="L943" s="8"/>
      <c r="T943" s="8"/>
      <c r="U943" s="8"/>
      <c r="V943" s="8"/>
      <c r="W943" s="8"/>
      <c r="X943" s="8"/>
      <c r="Y943" s="8"/>
      <c r="Z943" s="8"/>
      <c r="AA943" s="8"/>
      <c r="AB943" s="8"/>
      <c r="AC943" s="8"/>
      <c r="AD943" s="8"/>
      <c r="AE943" s="8"/>
    </row>
    <row r="944" spans="1:31" x14ac:dyDescent="0.25">
      <c r="A944" s="8"/>
      <c r="B944" s="8"/>
      <c r="C944" s="8"/>
      <c r="D944" s="8"/>
      <c r="E944" s="8"/>
      <c r="F944" s="8"/>
      <c r="G944" s="8"/>
      <c r="H944" s="8"/>
      <c r="I944" s="8"/>
      <c r="J944" s="8"/>
      <c r="K944" s="8"/>
      <c r="L944" s="8"/>
      <c r="T944" s="8"/>
      <c r="U944" s="8"/>
      <c r="V944" s="8"/>
      <c r="W944" s="8"/>
      <c r="X944" s="8"/>
      <c r="Y944" s="8"/>
      <c r="Z944" s="8"/>
      <c r="AA944" s="8"/>
      <c r="AB944" s="8"/>
      <c r="AC944" s="8"/>
      <c r="AD944" s="8"/>
      <c r="AE944" s="8"/>
    </row>
    <row r="945" spans="1:31" x14ac:dyDescent="0.25">
      <c r="A945" s="8"/>
      <c r="B945" s="8"/>
      <c r="C945" s="8"/>
      <c r="D945" s="8"/>
      <c r="E945" s="8"/>
      <c r="F945" s="8"/>
      <c r="G945" s="8"/>
      <c r="H945" s="8"/>
      <c r="I945" s="8"/>
      <c r="J945" s="8"/>
      <c r="K945" s="8"/>
      <c r="L945" s="8"/>
      <c r="T945" s="8"/>
      <c r="U945" s="8"/>
      <c r="V945" s="8"/>
      <c r="W945" s="8"/>
      <c r="X945" s="8"/>
      <c r="Y945" s="8"/>
      <c r="Z945" s="8"/>
      <c r="AA945" s="8"/>
      <c r="AB945" s="8"/>
      <c r="AC945" s="8"/>
      <c r="AD945" s="8"/>
      <c r="AE945" s="8"/>
    </row>
    <row r="946" spans="1:31" x14ac:dyDescent="0.25">
      <c r="A946" s="8"/>
      <c r="B946" s="8"/>
      <c r="C946" s="8"/>
      <c r="D946" s="8"/>
      <c r="E946" s="8"/>
      <c r="F946" s="8"/>
      <c r="G946" s="8"/>
      <c r="H946" s="8"/>
      <c r="I946" s="8"/>
      <c r="J946" s="8"/>
      <c r="K946" s="8"/>
      <c r="L946" s="8"/>
      <c r="T946" s="8"/>
      <c r="U946" s="8"/>
      <c r="V946" s="8"/>
      <c r="W946" s="8"/>
      <c r="X946" s="8"/>
      <c r="Y946" s="8"/>
      <c r="Z946" s="8"/>
      <c r="AA946" s="8"/>
      <c r="AB946" s="8"/>
      <c r="AC946" s="8"/>
      <c r="AD946" s="8"/>
      <c r="AE946" s="8"/>
    </row>
    <row r="947" spans="1:31" x14ac:dyDescent="0.25">
      <c r="A947" s="8"/>
      <c r="B947" s="8"/>
      <c r="C947" s="8"/>
      <c r="D947" s="8"/>
      <c r="E947" s="8"/>
      <c r="F947" s="8"/>
      <c r="G947" s="8"/>
      <c r="H947" s="8"/>
      <c r="I947" s="8"/>
      <c r="J947" s="8"/>
      <c r="K947" s="8"/>
      <c r="L947" s="8"/>
      <c r="T947" s="8"/>
      <c r="U947" s="8"/>
      <c r="V947" s="8"/>
      <c r="W947" s="8"/>
      <c r="X947" s="8"/>
      <c r="Y947" s="8"/>
      <c r="Z947" s="8"/>
      <c r="AA947" s="8"/>
      <c r="AB947" s="8"/>
      <c r="AC947" s="8"/>
      <c r="AD947" s="8"/>
      <c r="AE947" s="8"/>
    </row>
    <row r="948" spans="1:31" x14ac:dyDescent="0.25">
      <c r="A948" s="8"/>
      <c r="B948" s="8"/>
      <c r="C948" s="8"/>
      <c r="D948" s="8"/>
      <c r="E948" s="8"/>
      <c r="F948" s="8"/>
      <c r="G948" s="8"/>
      <c r="H948" s="8"/>
      <c r="I948" s="8"/>
      <c r="J948" s="8"/>
      <c r="K948" s="8"/>
      <c r="L948" s="8"/>
      <c r="T948" s="8"/>
      <c r="U948" s="8"/>
      <c r="V948" s="8"/>
      <c r="W948" s="8"/>
      <c r="X948" s="8"/>
      <c r="Y948" s="8"/>
      <c r="Z948" s="8"/>
      <c r="AA948" s="8"/>
      <c r="AB948" s="8"/>
      <c r="AC948" s="8"/>
      <c r="AD948" s="8"/>
      <c r="AE948" s="8"/>
    </row>
    <row r="949" spans="1:31" x14ac:dyDescent="0.25">
      <c r="A949" s="8"/>
      <c r="B949" s="8"/>
      <c r="C949" s="8"/>
      <c r="D949" s="8"/>
      <c r="E949" s="8"/>
      <c r="F949" s="8"/>
      <c r="G949" s="8"/>
      <c r="H949" s="8"/>
      <c r="I949" s="8"/>
      <c r="J949" s="8"/>
      <c r="K949" s="8"/>
      <c r="L949" s="8"/>
      <c r="T949" s="8"/>
      <c r="U949" s="8"/>
      <c r="V949" s="8"/>
      <c r="W949" s="8"/>
      <c r="X949" s="8"/>
      <c r="Y949" s="8"/>
      <c r="Z949" s="8"/>
      <c r="AA949" s="8"/>
      <c r="AB949" s="8"/>
      <c r="AC949" s="8"/>
      <c r="AD949" s="8"/>
      <c r="AE949" s="8"/>
    </row>
    <row r="950" spans="1:31" x14ac:dyDescent="0.25">
      <c r="A950" s="8"/>
      <c r="B950" s="8"/>
      <c r="C950" s="8"/>
      <c r="D950" s="8"/>
      <c r="E950" s="8"/>
      <c r="F950" s="8"/>
      <c r="G950" s="8"/>
      <c r="H950" s="8"/>
      <c r="I950" s="8"/>
      <c r="J950" s="8"/>
      <c r="K950" s="8"/>
      <c r="L950" s="8"/>
      <c r="T950" s="8"/>
      <c r="U950" s="8"/>
      <c r="V950" s="8"/>
      <c r="W950" s="8"/>
      <c r="X950" s="8"/>
      <c r="Y950" s="8"/>
      <c r="Z950" s="8"/>
      <c r="AA950" s="8"/>
      <c r="AB950" s="8"/>
      <c r="AC950" s="8"/>
      <c r="AD950" s="8"/>
      <c r="AE950" s="8"/>
    </row>
    <row r="951" spans="1:31" x14ac:dyDescent="0.25">
      <c r="A951" s="8"/>
      <c r="B951" s="8"/>
      <c r="C951" s="8"/>
      <c r="D951" s="8"/>
      <c r="E951" s="8"/>
      <c r="F951" s="8"/>
      <c r="G951" s="8"/>
      <c r="H951" s="8"/>
      <c r="I951" s="8"/>
      <c r="J951" s="8"/>
      <c r="K951" s="8"/>
      <c r="L951" s="8"/>
      <c r="T951" s="8"/>
      <c r="U951" s="8"/>
      <c r="V951" s="8"/>
      <c r="W951" s="8"/>
      <c r="X951" s="8"/>
      <c r="Y951" s="8"/>
      <c r="Z951" s="8"/>
      <c r="AA951" s="8"/>
      <c r="AB951" s="8"/>
      <c r="AC951" s="8"/>
      <c r="AD951" s="8"/>
      <c r="AE951" s="8"/>
    </row>
    <row r="952" spans="1:31" x14ac:dyDescent="0.25">
      <c r="A952" s="8"/>
      <c r="B952" s="8"/>
      <c r="C952" s="8"/>
      <c r="D952" s="8"/>
      <c r="E952" s="8"/>
      <c r="F952" s="8"/>
      <c r="G952" s="8"/>
      <c r="H952" s="8"/>
      <c r="I952" s="8"/>
      <c r="J952" s="8"/>
      <c r="K952" s="8"/>
      <c r="L952" s="8"/>
      <c r="T952" s="8"/>
      <c r="U952" s="8"/>
      <c r="V952" s="8"/>
      <c r="W952" s="8"/>
      <c r="X952" s="8"/>
      <c r="Y952" s="8"/>
      <c r="Z952" s="8"/>
      <c r="AA952" s="8"/>
      <c r="AB952" s="8"/>
      <c r="AC952" s="8"/>
      <c r="AD952" s="8"/>
      <c r="AE952" s="8"/>
    </row>
    <row r="953" spans="1:31" x14ac:dyDescent="0.25">
      <c r="A953" s="8"/>
      <c r="B953" s="8"/>
      <c r="C953" s="8"/>
      <c r="D953" s="8"/>
      <c r="E953" s="8"/>
      <c r="F953" s="8"/>
      <c r="G953" s="8"/>
      <c r="H953" s="8"/>
      <c r="I953" s="8"/>
      <c r="J953" s="8"/>
      <c r="K953" s="8"/>
      <c r="L953" s="8"/>
      <c r="T953" s="8"/>
      <c r="U953" s="8"/>
      <c r="V953" s="8"/>
      <c r="W953" s="8"/>
      <c r="X953" s="8"/>
      <c r="Y953" s="8"/>
      <c r="Z953" s="8"/>
      <c r="AA953" s="8"/>
      <c r="AB953" s="8"/>
      <c r="AC953" s="8"/>
      <c r="AD953" s="8"/>
      <c r="AE953" s="8"/>
    </row>
    <row r="954" spans="1:31" x14ac:dyDescent="0.25">
      <c r="A954" s="8"/>
      <c r="B954" s="8"/>
      <c r="C954" s="8"/>
      <c r="D954" s="8"/>
      <c r="E954" s="8"/>
      <c r="F954" s="8"/>
      <c r="G954" s="8"/>
      <c r="H954" s="8"/>
      <c r="I954" s="8"/>
      <c r="J954" s="8"/>
      <c r="K954" s="8"/>
      <c r="L954" s="8"/>
      <c r="T954" s="8"/>
      <c r="U954" s="8"/>
      <c r="V954" s="8"/>
      <c r="W954" s="8"/>
      <c r="X954" s="8"/>
      <c r="Y954" s="8"/>
      <c r="Z954" s="8"/>
      <c r="AA954" s="8"/>
      <c r="AB954" s="8"/>
      <c r="AC954" s="8"/>
      <c r="AD954" s="8"/>
      <c r="AE954" s="8"/>
    </row>
    <row r="955" spans="1:31" x14ac:dyDescent="0.25">
      <c r="A955" s="8"/>
      <c r="B955" s="8"/>
      <c r="C955" s="8"/>
      <c r="D955" s="8"/>
      <c r="E955" s="8"/>
      <c r="F955" s="8"/>
      <c r="G955" s="8"/>
      <c r="H955" s="8"/>
      <c r="I955" s="8"/>
      <c r="J955" s="8"/>
      <c r="K955" s="8"/>
      <c r="L955" s="8"/>
      <c r="T955" s="8"/>
      <c r="U955" s="8"/>
      <c r="V955" s="8"/>
      <c r="W955" s="8"/>
      <c r="X955" s="8"/>
      <c r="Y955" s="8"/>
      <c r="Z955" s="8"/>
      <c r="AA955" s="8"/>
      <c r="AB955" s="8"/>
      <c r="AC955" s="8"/>
      <c r="AD955" s="8"/>
      <c r="AE955" s="8"/>
    </row>
    <row r="956" spans="1:31" x14ac:dyDescent="0.25">
      <c r="A956" s="8"/>
      <c r="B956" s="8"/>
      <c r="C956" s="8"/>
      <c r="D956" s="8"/>
      <c r="E956" s="8"/>
      <c r="F956" s="8"/>
      <c r="G956" s="8"/>
      <c r="H956" s="8"/>
      <c r="I956" s="8"/>
      <c r="J956" s="8"/>
      <c r="K956" s="8"/>
      <c r="L956" s="8"/>
      <c r="T956" s="8"/>
      <c r="U956" s="8"/>
      <c r="V956" s="8"/>
      <c r="W956" s="8"/>
      <c r="X956" s="8"/>
      <c r="Y956" s="8"/>
      <c r="Z956" s="8"/>
      <c r="AA956" s="8"/>
      <c r="AB956" s="8"/>
      <c r="AC956" s="8"/>
      <c r="AD956" s="8"/>
      <c r="AE956" s="8"/>
    </row>
    <row r="957" spans="1:31" x14ac:dyDescent="0.25">
      <c r="A957" s="8"/>
      <c r="B957" s="8"/>
      <c r="C957" s="8"/>
      <c r="D957" s="8"/>
      <c r="E957" s="8"/>
      <c r="F957" s="8"/>
      <c r="G957" s="8"/>
      <c r="H957" s="8"/>
      <c r="I957" s="8"/>
      <c r="J957" s="8"/>
      <c r="K957" s="8"/>
      <c r="L957" s="8"/>
      <c r="T957" s="8"/>
      <c r="U957" s="8"/>
      <c r="V957" s="8"/>
      <c r="W957" s="8"/>
      <c r="X957" s="8"/>
      <c r="Y957" s="8"/>
      <c r="Z957" s="8"/>
      <c r="AA957" s="8"/>
      <c r="AB957" s="8"/>
      <c r="AC957" s="8"/>
      <c r="AD957" s="8"/>
      <c r="AE957" s="8"/>
    </row>
    <row r="958" spans="1:31" x14ac:dyDescent="0.25">
      <c r="A958" s="8"/>
      <c r="B958" s="8"/>
      <c r="C958" s="8"/>
      <c r="D958" s="8"/>
      <c r="E958" s="8"/>
      <c r="F958" s="8"/>
      <c r="G958" s="8"/>
      <c r="H958" s="8"/>
      <c r="I958" s="8"/>
      <c r="J958" s="8"/>
      <c r="K958" s="8"/>
      <c r="L958" s="8"/>
      <c r="T958" s="8"/>
      <c r="U958" s="8"/>
      <c r="V958" s="8"/>
      <c r="W958" s="8"/>
      <c r="X958" s="8"/>
      <c r="Y958" s="8"/>
      <c r="Z958" s="8"/>
      <c r="AA958" s="8"/>
      <c r="AB958" s="8"/>
      <c r="AC958" s="8"/>
      <c r="AD958" s="8"/>
      <c r="AE958" s="8"/>
    </row>
    <row r="959" spans="1:31" x14ac:dyDescent="0.25">
      <c r="A959" s="8"/>
      <c r="B959" s="8"/>
      <c r="C959" s="8"/>
      <c r="D959" s="8"/>
      <c r="E959" s="8"/>
      <c r="F959" s="8"/>
      <c r="G959" s="8"/>
      <c r="H959" s="8"/>
      <c r="I959" s="8"/>
      <c r="J959" s="8"/>
      <c r="K959" s="8"/>
      <c r="L959" s="8"/>
      <c r="T959" s="8"/>
      <c r="U959" s="8"/>
      <c r="V959" s="8"/>
      <c r="W959" s="8"/>
      <c r="X959" s="8"/>
      <c r="Y959" s="8"/>
      <c r="Z959" s="8"/>
      <c r="AA959" s="8"/>
      <c r="AB959" s="8"/>
      <c r="AC959" s="8"/>
      <c r="AD959" s="8"/>
      <c r="AE959" s="8"/>
    </row>
    <row r="960" spans="1:31" x14ac:dyDescent="0.25">
      <c r="A960" s="8"/>
      <c r="B960" s="8"/>
      <c r="C960" s="8"/>
      <c r="D960" s="8"/>
      <c r="E960" s="8"/>
      <c r="F960" s="8"/>
      <c r="G960" s="8"/>
      <c r="H960" s="8"/>
      <c r="I960" s="8"/>
      <c r="J960" s="8"/>
      <c r="K960" s="8"/>
      <c r="L960" s="8"/>
      <c r="T960" s="8"/>
      <c r="U960" s="8"/>
      <c r="V960" s="8"/>
      <c r="W960" s="8"/>
      <c r="X960" s="8"/>
      <c r="Y960" s="8"/>
      <c r="Z960" s="8"/>
      <c r="AA960" s="8"/>
      <c r="AB960" s="8"/>
      <c r="AC960" s="8"/>
      <c r="AD960" s="8"/>
      <c r="AE960" s="8"/>
    </row>
    <row r="961" spans="1:31" x14ac:dyDescent="0.25">
      <c r="A961" s="8"/>
      <c r="B961" s="8"/>
      <c r="C961" s="8"/>
      <c r="D961" s="8"/>
      <c r="E961" s="8"/>
      <c r="F961" s="8"/>
      <c r="G961" s="8"/>
      <c r="H961" s="8"/>
      <c r="I961" s="8"/>
      <c r="J961" s="8"/>
      <c r="K961" s="8"/>
      <c r="L961" s="8"/>
      <c r="T961" s="8"/>
      <c r="U961" s="8"/>
      <c r="V961" s="8"/>
      <c r="W961" s="8"/>
      <c r="X961" s="8"/>
      <c r="Y961" s="8"/>
      <c r="Z961" s="8"/>
      <c r="AA961" s="8"/>
      <c r="AB961" s="8"/>
      <c r="AC961" s="8"/>
      <c r="AD961" s="8"/>
      <c r="AE961" s="8"/>
    </row>
    <row r="962" spans="1:31" x14ac:dyDescent="0.25">
      <c r="A962" s="8"/>
      <c r="B962" s="8"/>
      <c r="C962" s="8"/>
      <c r="D962" s="8"/>
      <c r="E962" s="8"/>
      <c r="F962" s="8"/>
      <c r="G962" s="8"/>
      <c r="H962" s="8"/>
      <c r="I962" s="8"/>
      <c r="J962" s="8"/>
      <c r="K962" s="8"/>
      <c r="L962" s="8"/>
      <c r="T962" s="8"/>
      <c r="U962" s="8"/>
      <c r="V962" s="8"/>
      <c r="W962" s="8"/>
      <c r="X962" s="8"/>
      <c r="Y962" s="8"/>
      <c r="Z962" s="8"/>
      <c r="AA962" s="8"/>
      <c r="AB962" s="8"/>
      <c r="AC962" s="8"/>
      <c r="AD962" s="8"/>
      <c r="AE962" s="8"/>
    </row>
    <row r="963" spans="1:31" x14ac:dyDescent="0.25">
      <c r="A963" s="8"/>
      <c r="B963" s="8"/>
      <c r="C963" s="8"/>
      <c r="D963" s="8"/>
      <c r="E963" s="8"/>
      <c r="F963" s="8"/>
      <c r="G963" s="8"/>
      <c r="H963" s="8"/>
      <c r="I963" s="8"/>
      <c r="J963" s="8"/>
      <c r="K963" s="8"/>
      <c r="L963" s="8"/>
      <c r="T963" s="8"/>
      <c r="U963" s="8"/>
      <c r="V963" s="8"/>
      <c r="W963" s="8"/>
      <c r="X963" s="8"/>
      <c r="Y963" s="8"/>
      <c r="Z963" s="8"/>
      <c r="AA963" s="8"/>
      <c r="AB963" s="8"/>
      <c r="AC963" s="8"/>
      <c r="AD963" s="8"/>
      <c r="AE963" s="8"/>
    </row>
    <row r="964" spans="1:31" x14ac:dyDescent="0.25">
      <c r="A964" s="8"/>
      <c r="B964" s="8"/>
      <c r="C964" s="8"/>
      <c r="D964" s="8"/>
      <c r="E964" s="8"/>
      <c r="F964" s="8"/>
      <c r="G964" s="8"/>
      <c r="H964" s="8"/>
      <c r="I964" s="8"/>
      <c r="J964" s="8"/>
      <c r="K964" s="8"/>
      <c r="L964" s="8"/>
      <c r="T964" s="8"/>
      <c r="U964" s="8"/>
      <c r="V964" s="8"/>
      <c r="W964" s="8"/>
      <c r="X964" s="8"/>
      <c r="Y964" s="8"/>
      <c r="Z964" s="8"/>
      <c r="AA964" s="8"/>
      <c r="AB964" s="8"/>
      <c r="AC964" s="8"/>
      <c r="AD964" s="8"/>
      <c r="AE964" s="8"/>
    </row>
    <row r="965" spans="1:31" x14ac:dyDescent="0.25">
      <c r="A965" s="8"/>
      <c r="B965" s="8"/>
      <c r="C965" s="8"/>
      <c r="D965" s="8"/>
      <c r="E965" s="8"/>
      <c r="F965" s="8"/>
      <c r="G965" s="8"/>
      <c r="H965" s="8"/>
      <c r="I965" s="8"/>
      <c r="J965" s="8"/>
      <c r="K965" s="8"/>
      <c r="L965" s="8"/>
      <c r="T965" s="8"/>
      <c r="U965" s="8"/>
      <c r="V965" s="8"/>
      <c r="W965" s="8"/>
      <c r="X965" s="8"/>
      <c r="Y965" s="8"/>
      <c r="Z965" s="8"/>
      <c r="AA965" s="8"/>
      <c r="AB965" s="8"/>
      <c r="AC965" s="8"/>
      <c r="AD965" s="8"/>
      <c r="AE965" s="8"/>
    </row>
    <row r="966" spans="1:31" x14ac:dyDescent="0.25">
      <c r="A966" s="8"/>
      <c r="B966" s="8"/>
      <c r="C966" s="8"/>
      <c r="D966" s="8"/>
      <c r="E966" s="8"/>
      <c r="F966" s="8"/>
      <c r="G966" s="8"/>
      <c r="H966" s="8"/>
      <c r="I966" s="8"/>
      <c r="J966" s="8"/>
      <c r="K966" s="8"/>
      <c r="L966" s="8"/>
      <c r="T966" s="8"/>
      <c r="U966" s="8"/>
      <c r="V966" s="8"/>
      <c r="W966" s="8"/>
      <c r="X966" s="8"/>
      <c r="Y966" s="8"/>
      <c r="Z966" s="8"/>
      <c r="AA966" s="8"/>
      <c r="AB966" s="8"/>
      <c r="AC966" s="8"/>
      <c r="AD966" s="8"/>
      <c r="AE966" s="8"/>
    </row>
    <row r="967" spans="1:31" x14ac:dyDescent="0.25">
      <c r="A967" s="8"/>
      <c r="B967" s="8"/>
      <c r="C967" s="8"/>
      <c r="D967" s="8"/>
      <c r="E967" s="8"/>
      <c r="F967" s="8"/>
      <c r="G967" s="8"/>
      <c r="H967" s="8"/>
      <c r="I967" s="8"/>
      <c r="J967" s="8"/>
      <c r="K967" s="8"/>
      <c r="L967" s="8"/>
      <c r="T967" s="8"/>
      <c r="U967" s="8"/>
      <c r="V967" s="8"/>
      <c r="W967" s="8"/>
      <c r="X967" s="8"/>
      <c r="Y967" s="8"/>
      <c r="Z967" s="8"/>
      <c r="AA967" s="8"/>
      <c r="AB967" s="8"/>
      <c r="AC967" s="8"/>
      <c r="AD967" s="8"/>
      <c r="AE967" s="8"/>
    </row>
    <row r="968" spans="1:31" x14ac:dyDescent="0.25">
      <c r="A968" s="8"/>
      <c r="B968" s="8"/>
      <c r="C968" s="8"/>
      <c r="D968" s="8"/>
      <c r="E968" s="8"/>
      <c r="F968" s="8"/>
      <c r="G968" s="8"/>
      <c r="H968" s="8"/>
      <c r="I968" s="8"/>
      <c r="J968" s="8"/>
      <c r="K968" s="8"/>
      <c r="L968" s="8"/>
      <c r="T968" s="8"/>
      <c r="U968" s="8"/>
      <c r="V968" s="8"/>
      <c r="W968" s="8"/>
      <c r="X968" s="8"/>
      <c r="Y968" s="8"/>
      <c r="Z968" s="8"/>
      <c r="AA968" s="8"/>
      <c r="AB968" s="8"/>
      <c r="AC968" s="8"/>
      <c r="AD968" s="8"/>
      <c r="AE968" s="8"/>
    </row>
    <row r="969" spans="1:31" x14ac:dyDescent="0.25">
      <c r="A969" s="8"/>
      <c r="B969" s="8"/>
      <c r="C969" s="8"/>
      <c r="D969" s="8"/>
      <c r="E969" s="8"/>
      <c r="F969" s="8"/>
      <c r="G969" s="8"/>
      <c r="H969" s="8"/>
      <c r="I969" s="8"/>
      <c r="J969" s="8"/>
      <c r="K969" s="8"/>
      <c r="L969" s="8"/>
      <c r="T969" s="8"/>
      <c r="U969" s="8"/>
      <c r="V969" s="8"/>
      <c r="W969" s="8"/>
      <c r="X969" s="8"/>
      <c r="Y969" s="8"/>
      <c r="Z969" s="8"/>
      <c r="AA969" s="8"/>
      <c r="AB969" s="8"/>
      <c r="AC969" s="8"/>
      <c r="AD969" s="8"/>
      <c r="AE969" s="8"/>
    </row>
    <row r="970" spans="1:31" x14ac:dyDescent="0.25">
      <c r="A970" s="8"/>
      <c r="B970" s="8"/>
      <c r="C970" s="8"/>
      <c r="D970" s="8"/>
      <c r="E970" s="8"/>
      <c r="F970" s="8"/>
      <c r="G970" s="8"/>
      <c r="H970" s="8"/>
      <c r="I970" s="8"/>
      <c r="J970" s="8"/>
      <c r="K970" s="8"/>
      <c r="L970" s="8"/>
      <c r="T970" s="8"/>
      <c r="U970" s="8"/>
      <c r="V970" s="8"/>
      <c r="W970" s="8"/>
      <c r="X970" s="8"/>
      <c r="Y970" s="8"/>
      <c r="Z970" s="8"/>
      <c r="AA970" s="8"/>
      <c r="AB970" s="8"/>
      <c r="AC970" s="8"/>
      <c r="AD970" s="8"/>
      <c r="AE970" s="8"/>
    </row>
    <row r="971" spans="1:31" x14ac:dyDescent="0.25">
      <c r="A971" s="8"/>
      <c r="B971" s="8"/>
      <c r="C971" s="8"/>
      <c r="D971" s="8"/>
      <c r="E971" s="8"/>
      <c r="F971" s="8"/>
      <c r="G971" s="8"/>
      <c r="H971" s="8"/>
      <c r="I971" s="8"/>
      <c r="J971" s="8"/>
      <c r="K971" s="8"/>
      <c r="L971" s="8"/>
      <c r="T971" s="8"/>
      <c r="U971" s="8"/>
      <c r="V971" s="8"/>
      <c r="W971" s="8"/>
      <c r="X971" s="8"/>
      <c r="Y971" s="8"/>
      <c r="Z971" s="8"/>
      <c r="AA971" s="8"/>
      <c r="AB971" s="8"/>
      <c r="AC971" s="8"/>
      <c r="AD971" s="8"/>
      <c r="AE971" s="8"/>
    </row>
    <row r="972" spans="1:31" x14ac:dyDescent="0.25">
      <c r="A972" s="8"/>
      <c r="B972" s="8"/>
      <c r="C972" s="8"/>
      <c r="D972" s="8"/>
      <c r="E972" s="8"/>
      <c r="F972" s="8"/>
      <c r="G972" s="8"/>
      <c r="H972" s="8"/>
      <c r="I972" s="8"/>
      <c r="J972" s="8"/>
      <c r="K972" s="8"/>
      <c r="L972" s="8"/>
      <c r="T972" s="8"/>
      <c r="U972" s="8"/>
      <c r="V972" s="8"/>
      <c r="W972" s="8"/>
      <c r="X972" s="8"/>
      <c r="Y972" s="8"/>
      <c r="Z972" s="8"/>
      <c r="AA972" s="8"/>
      <c r="AB972" s="8"/>
      <c r="AC972" s="8"/>
      <c r="AD972" s="8"/>
      <c r="AE972" s="8"/>
    </row>
    <row r="973" spans="1:31" x14ac:dyDescent="0.25">
      <c r="A973" s="8"/>
      <c r="B973" s="8"/>
      <c r="C973" s="8"/>
      <c r="D973" s="8"/>
      <c r="E973" s="8"/>
      <c r="F973" s="8"/>
      <c r="G973" s="8"/>
      <c r="H973" s="8"/>
      <c r="I973" s="8"/>
      <c r="J973" s="8"/>
      <c r="K973" s="8"/>
      <c r="L973" s="8"/>
      <c r="T973" s="8"/>
      <c r="U973" s="8"/>
      <c r="V973" s="8"/>
      <c r="W973" s="8"/>
      <c r="X973" s="8"/>
      <c r="Y973" s="8"/>
      <c r="Z973" s="8"/>
      <c r="AA973" s="8"/>
      <c r="AB973" s="8"/>
      <c r="AC973" s="8"/>
      <c r="AD973" s="8"/>
      <c r="AE973" s="8"/>
    </row>
    <row r="974" spans="1:31" x14ac:dyDescent="0.25">
      <c r="A974" s="8"/>
      <c r="B974" s="8"/>
      <c r="C974" s="8"/>
      <c r="D974" s="8"/>
      <c r="E974" s="8"/>
      <c r="F974" s="8"/>
      <c r="G974" s="8"/>
      <c r="H974" s="8"/>
      <c r="I974" s="8"/>
      <c r="J974" s="8"/>
      <c r="K974" s="8"/>
      <c r="L974" s="8"/>
      <c r="T974" s="8"/>
      <c r="U974" s="8"/>
      <c r="V974" s="8"/>
      <c r="W974" s="8"/>
      <c r="X974" s="8"/>
      <c r="Y974" s="8"/>
      <c r="Z974" s="8"/>
      <c r="AA974" s="8"/>
      <c r="AB974" s="8"/>
      <c r="AC974" s="8"/>
      <c r="AD974" s="8"/>
      <c r="AE974" s="8"/>
    </row>
    <row r="975" spans="1:31" x14ac:dyDescent="0.25">
      <c r="A975" s="8"/>
      <c r="B975" s="8"/>
      <c r="C975" s="8"/>
      <c r="D975" s="8"/>
      <c r="E975" s="8"/>
      <c r="F975" s="8"/>
      <c r="G975" s="8"/>
      <c r="H975" s="8"/>
      <c r="I975" s="8"/>
      <c r="J975" s="8"/>
      <c r="K975" s="8"/>
      <c r="L975" s="8"/>
      <c r="T975" s="8"/>
      <c r="U975" s="8"/>
      <c r="V975" s="8"/>
      <c r="W975" s="8"/>
      <c r="X975" s="8"/>
      <c r="Y975" s="8"/>
      <c r="Z975" s="8"/>
      <c r="AA975" s="8"/>
      <c r="AB975" s="8"/>
      <c r="AC975" s="8"/>
      <c r="AD975" s="8"/>
      <c r="AE975" s="8"/>
    </row>
    <row r="976" spans="1:31" x14ac:dyDescent="0.25">
      <c r="A976" s="8"/>
      <c r="B976" s="8"/>
      <c r="C976" s="8"/>
      <c r="D976" s="8"/>
      <c r="E976" s="8"/>
      <c r="F976" s="8"/>
      <c r="G976" s="8"/>
      <c r="H976" s="8"/>
      <c r="I976" s="8"/>
      <c r="J976" s="8"/>
      <c r="K976" s="8"/>
      <c r="L976" s="8"/>
      <c r="T976" s="8"/>
      <c r="U976" s="8"/>
      <c r="V976" s="8"/>
      <c r="W976" s="8"/>
      <c r="X976" s="8"/>
      <c r="Y976" s="8"/>
      <c r="Z976" s="8"/>
      <c r="AA976" s="8"/>
      <c r="AB976" s="8"/>
      <c r="AC976" s="8"/>
      <c r="AD976" s="8"/>
      <c r="AE976" s="8"/>
    </row>
    <row r="977" spans="1:31" x14ac:dyDescent="0.25">
      <c r="A977" s="8"/>
      <c r="B977" s="8"/>
      <c r="C977" s="8"/>
      <c r="D977" s="8"/>
      <c r="E977" s="8"/>
      <c r="F977" s="8"/>
      <c r="G977" s="8"/>
      <c r="H977" s="8"/>
      <c r="I977" s="8"/>
      <c r="J977" s="8"/>
      <c r="K977" s="8"/>
      <c r="L977" s="8"/>
      <c r="T977" s="8"/>
      <c r="U977" s="8"/>
      <c r="V977" s="8"/>
      <c r="W977" s="8"/>
      <c r="X977" s="8"/>
      <c r="Y977" s="8"/>
      <c r="Z977" s="8"/>
      <c r="AA977" s="8"/>
      <c r="AB977" s="8"/>
      <c r="AC977" s="8"/>
      <c r="AD977" s="8"/>
      <c r="AE977" s="8"/>
    </row>
    <row r="978" spans="1:31" x14ac:dyDescent="0.25">
      <c r="A978" s="8"/>
      <c r="B978" s="8"/>
      <c r="C978" s="8"/>
      <c r="D978" s="8"/>
      <c r="E978" s="8"/>
      <c r="F978" s="8"/>
      <c r="G978" s="8"/>
      <c r="H978" s="8"/>
      <c r="I978" s="8"/>
      <c r="J978" s="8"/>
      <c r="K978" s="8"/>
      <c r="L978" s="8"/>
      <c r="T978" s="8"/>
      <c r="U978" s="8"/>
      <c r="V978" s="8"/>
      <c r="W978" s="8"/>
      <c r="X978" s="8"/>
      <c r="Y978" s="8"/>
      <c r="Z978" s="8"/>
      <c r="AA978" s="8"/>
      <c r="AB978" s="8"/>
      <c r="AC978" s="8"/>
      <c r="AD978" s="8"/>
      <c r="AE978" s="8"/>
    </row>
    <row r="979" spans="1:31" x14ac:dyDescent="0.25">
      <c r="A979" s="8"/>
      <c r="B979" s="8"/>
      <c r="C979" s="8"/>
      <c r="D979" s="8"/>
      <c r="E979" s="8"/>
      <c r="F979" s="8"/>
      <c r="G979" s="8"/>
      <c r="H979" s="8"/>
      <c r="I979" s="8"/>
      <c r="J979" s="8"/>
      <c r="K979" s="8"/>
      <c r="L979" s="8"/>
      <c r="T979" s="8"/>
      <c r="U979" s="8"/>
      <c r="V979" s="8"/>
      <c r="W979" s="8"/>
      <c r="X979" s="8"/>
      <c r="Y979" s="8"/>
      <c r="Z979" s="8"/>
      <c r="AA979" s="8"/>
      <c r="AB979" s="8"/>
      <c r="AC979" s="8"/>
      <c r="AD979" s="8"/>
      <c r="AE979" s="8"/>
    </row>
    <row r="980" spans="1:31" x14ac:dyDescent="0.25">
      <c r="A980" s="8"/>
      <c r="B980" s="8"/>
      <c r="C980" s="8"/>
      <c r="D980" s="8"/>
      <c r="E980" s="8"/>
      <c r="F980" s="8"/>
      <c r="G980" s="8"/>
      <c r="H980" s="8"/>
      <c r="I980" s="8"/>
      <c r="J980" s="8"/>
      <c r="K980" s="8"/>
      <c r="L980" s="8"/>
      <c r="T980" s="8"/>
      <c r="U980" s="8"/>
      <c r="V980" s="8"/>
      <c r="W980" s="8"/>
      <c r="X980" s="8"/>
      <c r="Y980" s="8"/>
      <c r="Z980" s="8"/>
      <c r="AA980" s="8"/>
      <c r="AB980" s="8"/>
      <c r="AC980" s="8"/>
      <c r="AD980" s="8"/>
      <c r="AE980" s="8"/>
    </row>
    <row r="981" spans="1:31" x14ac:dyDescent="0.25">
      <c r="A981" s="8"/>
      <c r="B981" s="8"/>
      <c r="C981" s="8"/>
      <c r="D981" s="8"/>
      <c r="E981" s="8"/>
      <c r="F981" s="8"/>
      <c r="G981" s="8"/>
      <c r="H981" s="8"/>
      <c r="I981" s="8"/>
      <c r="J981" s="8"/>
      <c r="K981" s="8"/>
      <c r="L981" s="8"/>
      <c r="T981" s="8"/>
      <c r="U981" s="8"/>
      <c r="V981" s="8"/>
      <c r="W981" s="8"/>
      <c r="X981" s="8"/>
      <c r="Y981" s="8"/>
      <c r="Z981" s="8"/>
      <c r="AA981" s="8"/>
      <c r="AB981" s="8"/>
      <c r="AC981" s="8"/>
      <c r="AD981" s="8"/>
      <c r="AE981" s="8"/>
    </row>
    <row r="982" spans="1:31" x14ac:dyDescent="0.25">
      <c r="A982" s="8"/>
      <c r="B982" s="8"/>
      <c r="C982" s="8"/>
      <c r="D982" s="8"/>
      <c r="E982" s="8"/>
      <c r="F982" s="8"/>
      <c r="G982" s="8"/>
      <c r="H982" s="8"/>
      <c r="I982" s="8"/>
      <c r="J982" s="8"/>
      <c r="K982" s="8"/>
      <c r="L982" s="8"/>
      <c r="T982" s="8"/>
      <c r="U982" s="8"/>
      <c r="V982" s="8"/>
      <c r="W982" s="8"/>
      <c r="X982" s="8"/>
      <c r="Y982" s="8"/>
      <c r="Z982" s="8"/>
      <c r="AA982" s="8"/>
      <c r="AB982" s="8"/>
      <c r="AC982" s="8"/>
      <c r="AD982" s="8"/>
      <c r="AE982" s="8"/>
    </row>
    <row r="983" spans="1:31" x14ac:dyDescent="0.25">
      <c r="A983" s="8"/>
      <c r="B983" s="8"/>
      <c r="C983" s="8"/>
      <c r="D983" s="8"/>
      <c r="E983" s="8"/>
      <c r="F983" s="8"/>
      <c r="G983" s="8"/>
      <c r="H983" s="8"/>
      <c r="I983" s="8"/>
      <c r="J983" s="8"/>
      <c r="K983" s="8"/>
      <c r="L983" s="8"/>
      <c r="T983" s="8"/>
      <c r="U983" s="8"/>
      <c r="V983" s="8"/>
      <c r="W983" s="8"/>
      <c r="X983" s="8"/>
      <c r="Y983" s="8"/>
      <c r="Z983" s="8"/>
      <c r="AA983" s="8"/>
      <c r="AB983" s="8"/>
      <c r="AC983" s="8"/>
      <c r="AD983" s="8"/>
      <c r="AE983" s="8"/>
    </row>
    <row r="984" spans="1:31" x14ac:dyDescent="0.25">
      <c r="A984" s="8"/>
      <c r="B984" s="8"/>
      <c r="C984" s="8"/>
      <c r="D984" s="8"/>
      <c r="E984" s="8"/>
      <c r="F984" s="8"/>
      <c r="G984" s="8"/>
      <c r="H984" s="8"/>
      <c r="I984" s="8"/>
      <c r="J984" s="8"/>
      <c r="K984" s="8"/>
      <c r="L984" s="8"/>
      <c r="T984" s="8"/>
      <c r="U984" s="8"/>
      <c r="V984" s="8"/>
      <c r="W984" s="8"/>
      <c r="X984" s="8"/>
      <c r="Y984" s="8"/>
      <c r="Z984" s="8"/>
      <c r="AA984" s="8"/>
      <c r="AB984" s="8"/>
      <c r="AC984" s="8"/>
      <c r="AD984" s="8"/>
      <c r="AE984" s="8"/>
    </row>
    <row r="985" spans="1:31" x14ac:dyDescent="0.25">
      <c r="A985" s="8"/>
      <c r="B985" s="8"/>
      <c r="C985" s="8"/>
      <c r="D985" s="8"/>
      <c r="E985" s="8"/>
      <c r="F985" s="8"/>
      <c r="G985" s="8"/>
      <c r="H985" s="8"/>
      <c r="I985" s="8"/>
      <c r="J985" s="8"/>
      <c r="K985" s="8"/>
      <c r="L985" s="8"/>
      <c r="T985" s="8"/>
      <c r="U985" s="8"/>
      <c r="V985" s="8"/>
      <c r="W985" s="8"/>
      <c r="X985" s="8"/>
      <c r="Y985" s="8"/>
      <c r="Z985" s="8"/>
      <c r="AA985" s="8"/>
      <c r="AB985" s="8"/>
      <c r="AC985" s="8"/>
      <c r="AD985" s="8"/>
      <c r="AE985" s="8"/>
    </row>
    <row r="986" spans="1:31" x14ac:dyDescent="0.25">
      <c r="A986" s="8"/>
      <c r="B986" s="8"/>
      <c r="C986" s="8"/>
      <c r="D986" s="8"/>
      <c r="E986" s="8"/>
      <c r="F986" s="8"/>
      <c r="G986" s="8"/>
      <c r="H986" s="8"/>
      <c r="I986" s="8"/>
      <c r="J986" s="8"/>
      <c r="K986" s="8"/>
      <c r="L986" s="8"/>
      <c r="T986" s="8"/>
      <c r="U986" s="8"/>
      <c r="V986" s="8"/>
      <c r="W986" s="8"/>
      <c r="X986" s="8"/>
      <c r="Y986" s="8"/>
      <c r="Z986" s="8"/>
      <c r="AA986" s="8"/>
      <c r="AB986" s="8"/>
      <c r="AC986" s="8"/>
      <c r="AD986" s="8"/>
      <c r="AE986" s="8"/>
    </row>
    <row r="987" spans="1:31" x14ac:dyDescent="0.25">
      <c r="A987" s="8"/>
      <c r="B987" s="8"/>
      <c r="C987" s="8"/>
      <c r="D987" s="8"/>
      <c r="E987" s="8"/>
      <c r="F987" s="8"/>
      <c r="G987" s="8"/>
      <c r="H987" s="8"/>
      <c r="I987" s="8"/>
      <c r="J987" s="8"/>
      <c r="K987" s="8"/>
      <c r="L987" s="8"/>
      <c r="T987" s="8"/>
      <c r="U987" s="8"/>
      <c r="V987" s="8"/>
      <c r="W987" s="8"/>
      <c r="X987" s="8"/>
      <c r="Y987" s="8"/>
      <c r="Z987" s="8"/>
      <c r="AA987" s="8"/>
      <c r="AB987" s="8"/>
      <c r="AC987" s="8"/>
      <c r="AD987" s="8"/>
      <c r="AE987" s="8"/>
    </row>
    <row r="988" spans="1:31" x14ac:dyDescent="0.25">
      <c r="A988" s="8"/>
      <c r="B988" s="8"/>
      <c r="C988" s="8"/>
      <c r="D988" s="8"/>
      <c r="E988" s="8"/>
      <c r="F988" s="8"/>
      <c r="G988" s="8"/>
      <c r="H988" s="8"/>
      <c r="I988" s="8"/>
      <c r="J988" s="8"/>
      <c r="K988" s="8"/>
      <c r="L988" s="8"/>
      <c r="T988" s="8"/>
      <c r="U988" s="8"/>
      <c r="V988" s="8"/>
      <c r="W988" s="8"/>
      <c r="X988" s="8"/>
      <c r="Y988" s="8"/>
      <c r="Z988" s="8"/>
      <c r="AA988" s="8"/>
      <c r="AB988" s="8"/>
      <c r="AC988" s="8"/>
      <c r="AD988" s="8"/>
      <c r="AE988" s="8"/>
    </row>
    <row r="989" spans="1:31" x14ac:dyDescent="0.25">
      <c r="A989" s="8"/>
      <c r="B989" s="8"/>
      <c r="C989" s="8"/>
      <c r="D989" s="8"/>
      <c r="E989" s="8"/>
      <c r="F989" s="8"/>
      <c r="G989" s="8"/>
      <c r="H989" s="8"/>
      <c r="I989" s="8"/>
      <c r="J989" s="8"/>
      <c r="K989" s="8"/>
      <c r="L989" s="8"/>
      <c r="T989" s="8"/>
      <c r="U989" s="8"/>
      <c r="V989" s="8"/>
      <c r="W989" s="8"/>
      <c r="X989" s="8"/>
      <c r="Y989" s="8"/>
      <c r="Z989" s="8"/>
      <c r="AA989" s="8"/>
      <c r="AB989" s="8"/>
      <c r="AC989" s="8"/>
      <c r="AD989" s="8"/>
      <c r="AE989" s="8"/>
    </row>
    <row r="990" spans="1:31" x14ac:dyDescent="0.25">
      <c r="A990" s="8"/>
      <c r="B990" s="8"/>
      <c r="C990" s="8"/>
      <c r="D990" s="8"/>
      <c r="E990" s="8"/>
      <c r="F990" s="8"/>
      <c r="G990" s="8"/>
      <c r="H990" s="8"/>
      <c r="I990" s="8"/>
      <c r="J990" s="8"/>
      <c r="K990" s="8"/>
      <c r="L990" s="8"/>
      <c r="T990" s="8"/>
      <c r="U990" s="8"/>
      <c r="V990" s="8"/>
      <c r="W990" s="8"/>
      <c r="X990" s="8"/>
      <c r="Y990" s="8"/>
      <c r="Z990" s="8"/>
      <c r="AA990" s="8"/>
      <c r="AB990" s="8"/>
      <c r="AC990" s="8"/>
      <c r="AD990" s="8"/>
      <c r="AE990" s="8"/>
    </row>
    <row r="991" spans="1:31" x14ac:dyDescent="0.25">
      <c r="A991" s="8"/>
      <c r="B991" s="8"/>
      <c r="C991" s="8"/>
      <c r="D991" s="8"/>
      <c r="E991" s="8"/>
      <c r="F991" s="8"/>
      <c r="G991" s="8"/>
      <c r="H991" s="8"/>
      <c r="I991" s="8"/>
      <c r="J991" s="8"/>
      <c r="K991" s="8"/>
      <c r="L991" s="8"/>
      <c r="T991" s="8"/>
      <c r="U991" s="8"/>
      <c r="V991" s="8"/>
      <c r="W991" s="8"/>
      <c r="X991" s="8"/>
      <c r="Y991" s="8"/>
      <c r="Z991" s="8"/>
      <c r="AA991" s="8"/>
      <c r="AB991" s="8"/>
      <c r="AC991" s="8"/>
      <c r="AD991" s="8"/>
      <c r="AE991" s="8"/>
    </row>
    <row r="992" spans="1:31" x14ac:dyDescent="0.25">
      <c r="A992" s="8"/>
      <c r="B992" s="8"/>
      <c r="C992" s="8"/>
      <c r="D992" s="8"/>
      <c r="E992" s="8"/>
      <c r="F992" s="8"/>
      <c r="G992" s="8"/>
      <c r="H992" s="8"/>
      <c r="I992" s="8"/>
      <c r="J992" s="8"/>
      <c r="K992" s="8"/>
      <c r="L992" s="8"/>
      <c r="T992" s="8"/>
      <c r="U992" s="8"/>
      <c r="V992" s="8"/>
      <c r="W992" s="8"/>
      <c r="X992" s="8"/>
      <c r="Y992" s="8"/>
      <c r="Z992" s="8"/>
      <c r="AA992" s="8"/>
      <c r="AB992" s="8"/>
      <c r="AC992" s="8"/>
      <c r="AD992" s="8"/>
      <c r="AE992" s="8"/>
    </row>
    <row r="993" spans="1:31" x14ac:dyDescent="0.25">
      <c r="A993" s="8"/>
      <c r="B993" s="8"/>
      <c r="C993" s="8"/>
      <c r="D993" s="8"/>
      <c r="E993" s="8"/>
      <c r="F993" s="8"/>
      <c r="G993" s="8"/>
      <c r="H993" s="8"/>
      <c r="I993" s="8"/>
      <c r="J993" s="8"/>
      <c r="K993" s="8"/>
      <c r="L993" s="8"/>
      <c r="T993" s="8"/>
      <c r="U993" s="8"/>
      <c r="V993" s="8"/>
      <c r="W993" s="8"/>
      <c r="X993" s="8"/>
      <c r="Y993" s="8"/>
      <c r="Z993" s="8"/>
      <c r="AA993" s="8"/>
      <c r="AB993" s="8"/>
      <c r="AC993" s="8"/>
      <c r="AD993" s="8"/>
      <c r="AE993" s="8"/>
    </row>
    <row r="994" spans="1:31" x14ac:dyDescent="0.25">
      <c r="A994" s="8"/>
      <c r="B994" s="8"/>
      <c r="C994" s="8"/>
      <c r="D994" s="8"/>
      <c r="E994" s="8"/>
      <c r="F994" s="8"/>
      <c r="G994" s="8"/>
      <c r="H994" s="8"/>
      <c r="I994" s="8"/>
      <c r="J994" s="8"/>
      <c r="K994" s="8"/>
      <c r="L994" s="8"/>
      <c r="T994" s="8"/>
      <c r="U994" s="8"/>
      <c r="V994" s="8"/>
      <c r="W994" s="8"/>
      <c r="X994" s="8"/>
      <c r="Y994" s="8"/>
      <c r="Z994" s="8"/>
      <c r="AA994" s="8"/>
      <c r="AB994" s="8"/>
      <c r="AC994" s="8"/>
      <c r="AD994" s="8"/>
      <c r="AE994" s="8"/>
    </row>
    <row r="995" spans="1:31" x14ac:dyDescent="0.25">
      <c r="A995" s="8"/>
      <c r="B995" s="8"/>
      <c r="C995" s="8"/>
      <c r="D995" s="8"/>
      <c r="E995" s="8"/>
      <c r="F995" s="8"/>
      <c r="G995" s="8"/>
      <c r="H995" s="8"/>
      <c r="I995" s="8"/>
      <c r="J995" s="8"/>
      <c r="K995" s="8"/>
      <c r="L995" s="8"/>
      <c r="T995" s="8"/>
      <c r="U995" s="8"/>
      <c r="V995" s="8"/>
      <c r="W995" s="8"/>
      <c r="X995" s="8"/>
      <c r="Y995" s="8"/>
      <c r="Z995" s="8"/>
      <c r="AA995" s="8"/>
      <c r="AB995" s="8"/>
      <c r="AC995" s="8"/>
      <c r="AD995" s="8"/>
      <c r="AE995" s="8"/>
    </row>
    <row r="996" spans="1:31" x14ac:dyDescent="0.25">
      <c r="A996" s="8"/>
      <c r="B996" s="8"/>
      <c r="C996" s="8"/>
      <c r="D996" s="8"/>
      <c r="E996" s="8"/>
      <c r="F996" s="8"/>
      <c r="G996" s="8"/>
      <c r="H996" s="8"/>
      <c r="I996" s="8"/>
      <c r="J996" s="8"/>
      <c r="K996" s="8"/>
      <c r="L996" s="8"/>
      <c r="T996" s="8"/>
      <c r="U996" s="8"/>
      <c r="V996" s="8"/>
      <c r="W996" s="8"/>
      <c r="X996" s="8"/>
      <c r="Y996" s="8"/>
      <c r="Z996" s="8"/>
      <c r="AA996" s="8"/>
      <c r="AB996" s="8"/>
      <c r="AC996" s="8"/>
      <c r="AD996" s="8"/>
      <c r="AE996" s="8"/>
    </row>
    <row r="997" spans="1:31" x14ac:dyDescent="0.25">
      <c r="A997" s="8"/>
      <c r="B997" s="8"/>
      <c r="C997" s="8"/>
      <c r="D997" s="8"/>
      <c r="E997" s="8"/>
      <c r="F997" s="8"/>
      <c r="G997" s="8"/>
      <c r="H997" s="8"/>
      <c r="I997" s="8"/>
      <c r="J997" s="8"/>
      <c r="K997" s="8"/>
      <c r="L997" s="8"/>
      <c r="T997" s="8"/>
      <c r="U997" s="8"/>
      <c r="V997" s="8"/>
      <c r="W997" s="8"/>
      <c r="X997" s="8"/>
      <c r="Y997" s="8"/>
      <c r="Z997" s="8"/>
      <c r="AA997" s="8"/>
      <c r="AB997" s="8"/>
      <c r="AC997" s="8"/>
      <c r="AD997" s="8"/>
      <c r="AE997" s="8"/>
    </row>
    <row r="998" spans="1:31" x14ac:dyDescent="0.25">
      <c r="A998" s="8"/>
      <c r="B998" s="8"/>
      <c r="C998" s="8"/>
      <c r="D998" s="8"/>
      <c r="E998" s="8"/>
      <c r="F998" s="8"/>
      <c r="G998" s="8"/>
      <c r="H998" s="8"/>
      <c r="I998" s="8"/>
      <c r="J998" s="8"/>
      <c r="K998" s="8"/>
      <c r="L998" s="8"/>
      <c r="T998" s="8"/>
      <c r="U998" s="8"/>
      <c r="V998" s="8"/>
      <c r="W998" s="8"/>
      <c r="X998" s="8"/>
      <c r="Y998" s="8"/>
      <c r="Z998" s="8"/>
      <c r="AA998" s="8"/>
      <c r="AB998" s="8"/>
      <c r="AC998" s="8"/>
      <c r="AD998" s="8"/>
      <c r="AE998" s="8"/>
    </row>
    <row r="999" spans="1:31" x14ac:dyDescent="0.25">
      <c r="A999" s="8"/>
      <c r="B999" s="8"/>
      <c r="C999" s="8"/>
      <c r="D999" s="8"/>
      <c r="E999" s="8"/>
      <c r="F999" s="8"/>
      <c r="G999" s="8"/>
      <c r="H999" s="8"/>
      <c r="I999" s="8"/>
      <c r="J999" s="8"/>
      <c r="K999" s="8"/>
      <c r="L999" s="8"/>
      <c r="T999" s="8"/>
      <c r="U999" s="8"/>
      <c r="V999" s="8"/>
      <c r="W999" s="8"/>
      <c r="X999" s="8"/>
      <c r="Y999" s="8"/>
      <c r="Z999" s="8"/>
      <c r="AA999" s="8"/>
      <c r="AB999" s="8"/>
      <c r="AC999" s="8"/>
      <c r="AD999" s="8"/>
      <c r="AE999" s="8"/>
    </row>
    <row r="1000" spans="1:31" x14ac:dyDescent="0.25">
      <c r="A1000" s="8"/>
      <c r="B1000" s="8"/>
      <c r="C1000" s="8"/>
      <c r="D1000" s="8"/>
      <c r="E1000" s="8"/>
      <c r="F1000" s="8"/>
      <c r="G1000" s="8"/>
      <c r="H1000" s="8"/>
      <c r="I1000" s="8"/>
      <c r="J1000" s="8"/>
      <c r="K1000" s="8"/>
      <c r="L1000" s="8"/>
      <c r="T1000" s="8"/>
      <c r="U1000" s="8"/>
      <c r="V1000" s="8"/>
      <c r="W1000" s="8"/>
      <c r="X1000" s="8"/>
      <c r="Y1000" s="8"/>
      <c r="Z1000" s="8"/>
      <c r="AA1000" s="8"/>
      <c r="AB1000" s="8"/>
      <c r="AC1000" s="8"/>
      <c r="AD1000" s="8"/>
      <c r="AE1000" s="8"/>
    </row>
    <row r="1001" spans="1:31" x14ac:dyDescent="0.25">
      <c r="A1001" s="8"/>
      <c r="B1001" s="8"/>
      <c r="C1001" s="8"/>
      <c r="D1001" s="8"/>
      <c r="E1001" s="8"/>
      <c r="F1001" s="8"/>
      <c r="G1001" s="8"/>
      <c r="H1001" s="8"/>
      <c r="I1001" s="8"/>
      <c r="J1001" s="8"/>
      <c r="K1001" s="8"/>
      <c r="L1001" s="8"/>
      <c r="T1001" s="8"/>
      <c r="U1001" s="8"/>
      <c r="V1001" s="8"/>
      <c r="W1001" s="8"/>
      <c r="X1001" s="8"/>
      <c r="Y1001" s="8"/>
      <c r="Z1001" s="8"/>
      <c r="AA1001" s="8"/>
      <c r="AB1001" s="8"/>
      <c r="AC1001" s="8"/>
      <c r="AD1001" s="8"/>
      <c r="AE1001" s="8"/>
    </row>
    <row r="1002" spans="1:31" x14ac:dyDescent="0.25">
      <c r="A1002" s="8"/>
      <c r="B1002" s="8"/>
      <c r="C1002" s="8"/>
      <c r="D1002" s="8"/>
      <c r="E1002" s="8"/>
      <c r="F1002" s="8"/>
      <c r="G1002" s="8"/>
      <c r="H1002" s="8"/>
      <c r="I1002" s="8"/>
      <c r="J1002" s="8"/>
      <c r="K1002" s="8"/>
      <c r="L1002" s="8"/>
      <c r="T1002" s="8"/>
      <c r="U1002" s="8"/>
      <c r="V1002" s="8"/>
      <c r="W1002" s="8"/>
      <c r="X1002" s="8"/>
      <c r="Y1002" s="8"/>
      <c r="Z1002" s="8"/>
      <c r="AA1002" s="8"/>
      <c r="AB1002" s="8"/>
      <c r="AC1002" s="8"/>
      <c r="AD1002" s="8"/>
      <c r="AE1002" s="8"/>
    </row>
    <row r="1003" spans="1:31" x14ac:dyDescent="0.25">
      <c r="A1003" s="8"/>
      <c r="B1003" s="8"/>
      <c r="C1003" s="8"/>
      <c r="D1003" s="8"/>
      <c r="E1003" s="8"/>
      <c r="F1003" s="8"/>
      <c r="G1003" s="8"/>
      <c r="H1003" s="8"/>
      <c r="I1003" s="8"/>
      <c r="J1003" s="8"/>
      <c r="K1003" s="8"/>
      <c r="L1003" s="8"/>
      <c r="T1003" s="8"/>
      <c r="U1003" s="8"/>
      <c r="V1003" s="8"/>
      <c r="W1003" s="8"/>
      <c r="X1003" s="8"/>
      <c r="Y1003" s="8"/>
      <c r="Z1003" s="8"/>
      <c r="AA1003" s="8"/>
      <c r="AB1003" s="8"/>
      <c r="AC1003" s="8"/>
      <c r="AD1003" s="8"/>
      <c r="AE1003" s="8"/>
    </row>
    <row r="1004" spans="1:31" x14ac:dyDescent="0.25">
      <c r="A1004" s="8"/>
      <c r="B1004" s="8"/>
      <c r="C1004" s="8"/>
      <c r="D1004" s="8"/>
      <c r="E1004" s="8"/>
      <c r="F1004" s="8"/>
      <c r="G1004" s="8"/>
      <c r="H1004" s="8"/>
      <c r="I1004" s="8"/>
      <c r="J1004" s="8"/>
      <c r="K1004" s="8"/>
      <c r="L1004" s="8"/>
      <c r="T1004" s="8"/>
      <c r="U1004" s="8"/>
      <c r="V1004" s="8"/>
      <c r="W1004" s="8"/>
      <c r="X1004" s="8"/>
      <c r="Y1004" s="8"/>
      <c r="Z1004" s="8"/>
      <c r="AA1004" s="8"/>
      <c r="AB1004" s="8"/>
      <c r="AC1004" s="8"/>
      <c r="AD1004" s="8"/>
      <c r="AE1004" s="8"/>
    </row>
    <row r="1005" spans="1:31" x14ac:dyDescent="0.25">
      <c r="A1005" s="8"/>
      <c r="B1005" s="8"/>
      <c r="C1005" s="8"/>
      <c r="D1005" s="8"/>
      <c r="E1005" s="8"/>
      <c r="F1005" s="8"/>
      <c r="G1005" s="8"/>
      <c r="H1005" s="8"/>
      <c r="I1005" s="8"/>
      <c r="J1005" s="8"/>
      <c r="K1005" s="8"/>
      <c r="L1005" s="8"/>
      <c r="T1005" s="8"/>
      <c r="U1005" s="8"/>
      <c r="V1005" s="8"/>
      <c r="W1005" s="8"/>
      <c r="X1005" s="8"/>
      <c r="Y1005" s="8"/>
      <c r="Z1005" s="8"/>
      <c r="AA1005" s="8"/>
      <c r="AB1005" s="8"/>
      <c r="AC1005" s="8"/>
      <c r="AD1005" s="8"/>
      <c r="AE1005" s="8"/>
    </row>
    <row r="1006" spans="1:31" x14ac:dyDescent="0.25">
      <c r="A1006" s="8"/>
      <c r="B1006" s="8"/>
      <c r="C1006" s="8"/>
      <c r="D1006" s="8"/>
      <c r="E1006" s="8"/>
      <c r="F1006" s="8"/>
      <c r="G1006" s="8"/>
      <c r="H1006" s="8"/>
      <c r="I1006" s="8"/>
      <c r="J1006" s="8"/>
      <c r="K1006" s="8"/>
      <c r="L1006" s="8"/>
      <c r="T1006" s="8"/>
      <c r="U1006" s="8"/>
      <c r="V1006" s="8"/>
      <c r="W1006" s="8"/>
      <c r="X1006" s="8"/>
      <c r="Y1006" s="8"/>
      <c r="Z1006" s="8"/>
      <c r="AA1006" s="8"/>
      <c r="AB1006" s="8"/>
      <c r="AC1006" s="8"/>
      <c r="AD1006" s="8"/>
      <c r="AE1006" s="8"/>
    </row>
    <row r="1007" spans="1:31" x14ac:dyDescent="0.25">
      <c r="A1007" s="8"/>
      <c r="B1007" s="8"/>
      <c r="C1007" s="8"/>
      <c r="D1007" s="8"/>
      <c r="E1007" s="8"/>
      <c r="F1007" s="8"/>
      <c r="G1007" s="8"/>
      <c r="H1007" s="8"/>
      <c r="I1007" s="8"/>
      <c r="J1007" s="8"/>
      <c r="K1007" s="8"/>
      <c r="L1007" s="8"/>
      <c r="T1007" s="8"/>
      <c r="U1007" s="8"/>
      <c r="V1007" s="8"/>
      <c r="W1007" s="8"/>
      <c r="X1007" s="8"/>
      <c r="Y1007" s="8"/>
      <c r="Z1007" s="8"/>
      <c r="AA1007" s="8"/>
      <c r="AB1007" s="8"/>
      <c r="AC1007" s="8"/>
      <c r="AD1007" s="8"/>
      <c r="AE1007" s="8"/>
    </row>
    <row r="1008" spans="1:31" x14ac:dyDescent="0.25">
      <c r="A1008" s="8"/>
      <c r="B1008" s="8"/>
      <c r="C1008" s="8"/>
      <c r="D1008" s="8"/>
      <c r="E1008" s="8"/>
      <c r="F1008" s="8"/>
      <c r="G1008" s="8"/>
      <c r="H1008" s="8"/>
      <c r="I1008" s="8"/>
      <c r="J1008" s="8"/>
      <c r="K1008" s="8"/>
      <c r="L1008" s="8"/>
      <c r="T1008" s="8"/>
      <c r="U1008" s="8"/>
      <c r="V1008" s="8"/>
      <c r="W1008" s="8"/>
      <c r="X1008" s="8"/>
      <c r="Y1008" s="8"/>
      <c r="Z1008" s="8"/>
      <c r="AA1008" s="8"/>
      <c r="AB1008" s="8"/>
      <c r="AC1008" s="8"/>
      <c r="AD1008" s="8"/>
      <c r="AE1008" s="8"/>
    </row>
    <row r="1009" spans="1:31" x14ac:dyDescent="0.25">
      <c r="A1009" s="8"/>
      <c r="B1009" s="8"/>
      <c r="C1009" s="8"/>
      <c r="D1009" s="8"/>
      <c r="E1009" s="8"/>
      <c r="F1009" s="8"/>
      <c r="G1009" s="8"/>
      <c r="H1009" s="8"/>
      <c r="I1009" s="8"/>
      <c r="J1009" s="8"/>
      <c r="K1009" s="8"/>
      <c r="L1009" s="8"/>
      <c r="T1009" s="8"/>
      <c r="U1009" s="8"/>
      <c r="V1009" s="8"/>
      <c r="W1009" s="8"/>
      <c r="X1009" s="8"/>
      <c r="Y1009" s="8"/>
      <c r="Z1009" s="8"/>
      <c r="AA1009" s="8"/>
      <c r="AB1009" s="8"/>
      <c r="AC1009" s="8"/>
      <c r="AD1009" s="8"/>
      <c r="AE1009" s="8"/>
    </row>
    <row r="1010" spans="1:31" x14ac:dyDescent="0.25">
      <c r="A1010" s="8"/>
      <c r="B1010" s="8"/>
      <c r="C1010" s="8"/>
      <c r="D1010" s="8"/>
      <c r="E1010" s="8"/>
      <c r="F1010" s="8"/>
      <c r="G1010" s="8"/>
      <c r="H1010" s="8"/>
      <c r="I1010" s="8"/>
      <c r="J1010" s="8"/>
      <c r="K1010" s="8"/>
      <c r="L1010" s="8"/>
      <c r="T1010" s="8"/>
      <c r="U1010" s="8"/>
      <c r="V1010" s="8"/>
      <c r="W1010" s="8"/>
      <c r="X1010" s="8"/>
      <c r="Y1010" s="8"/>
      <c r="Z1010" s="8"/>
      <c r="AA1010" s="8"/>
      <c r="AB1010" s="8"/>
      <c r="AC1010" s="8"/>
      <c r="AD1010" s="8"/>
      <c r="AE1010" s="8"/>
    </row>
    <row r="1011" spans="1:31" x14ac:dyDescent="0.25">
      <c r="A1011" s="8"/>
      <c r="B1011" s="8"/>
      <c r="C1011" s="8"/>
      <c r="D1011" s="8"/>
      <c r="E1011" s="8"/>
      <c r="F1011" s="8"/>
      <c r="G1011" s="8"/>
      <c r="H1011" s="8"/>
      <c r="I1011" s="8"/>
      <c r="J1011" s="8"/>
      <c r="K1011" s="8"/>
      <c r="L1011" s="8"/>
      <c r="T1011" s="8"/>
      <c r="U1011" s="8"/>
      <c r="V1011" s="8"/>
      <c r="W1011" s="8"/>
      <c r="X1011" s="8"/>
      <c r="Y1011" s="8"/>
      <c r="Z1011" s="8"/>
      <c r="AA1011" s="8"/>
      <c r="AB1011" s="8"/>
      <c r="AC1011" s="8"/>
      <c r="AD1011" s="8"/>
      <c r="AE1011" s="8"/>
    </row>
    <row r="1012" spans="1:31" x14ac:dyDescent="0.25">
      <c r="A1012" s="8"/>
      <c r="B1012" s="8"/>
      <c r="C1012" s="8"/>
      <c r="D1012" s="8"/>
      <c r="E1012" s="8"/>
      <c r="F1012" s="8"/>
      <c r="G1012" s="8"/>
      <c r="H1012" s="8"/>
      <c r="I1012" s="8"/>
      <c r="J1012" s="8"/>
      <c r="K1012" s="8"/>
      <c r="L1012" s="8"/>
      <c r="T1012" s="8"/>
      <c r="U1012" s="8"/>
      <c r="V1012" s="8"/>
      <c r="W1012" s="8"/>
      <c r="X1012" s="8"/>
      <c r="Y1012" s="8"/>
      <c r="Z1012" s="8"/>
      <c r="AA1012" s="8"/>
      <c r="AB1012" s="8"/>
      <c r="AC1012" s="8"/>
      <c r="AD1012" s="8"/>
      <c r="AE1012" s="8"/>
    </row>
    <row r="1013" spans="1:31" x14ac:dyDescent="0.25">
      <c r="A1013" s="8"/>
      <c r="B1013" s="8"/>
      <c r="C1013" s="8"/>
      <c r="D1013" s="8"/>
      <c r="E1013" s="8"/>
      <c r="F1013" s="8"/>
      <c r="G1013" s="8"/>
      <c r="H1013" s="8"/>
      <c r="I1013" s="8"/>
      <c r="J1013" s="8"/>
      <c r="K1013" s="8"/>
      <c r="L1013" s="8"/>
      <c r="T1013" s="8"/>
      <c r="U1013" s="8"/>
      <c r="V1013" s="8"/>
      <c r="W1013" s="8"/>
      <c r="X1013" s="8"/>
      <c r="Y1013" s="8"/>
      <c r="Z1013" s="8"/>
      <c r="AA1013" s="8"/>
      <c r="AB1013" s="8"/>
      <c r="AC1013" s="8"/>
      <c r="AD1013" s="8"/>
      <c r="AE1013" s="8"/>
    </row>
    <row r="1014" spans="1:31" x14ac:dyDescent="0.25">
      <c r="A1014" s="8"/>
      <c r="B1014" s="8"/>
      <c r="C1014" s="8"/>
      <c r="D1014" s="8"/>
      <c r="E1014" s="8"/>
      <c r="F1014" s="8"/>
      <c r="G1014" s="8"/>
      <c r="H1014" s="8"/>
      <c r="I1014" s="8"/>
      <c r="J1014" s="8"/>
      <c r="K1014" s="8"/>
      <c r="L1014" s="8"/>
      <c r="T1014" s="8"/>
      <c r="U1014" s="8"/>
      <c r="V1014" s="8"/>
      <c r="W1014" s="8"/>
      <c r="X1014" s="8"/>
      <c r="Y1014" s="8"/>
      <c r="Z1014" s="8"/>
      <c r="AA1014" s="8"/>
      <c r="AB1014" s="8"/>
      <c r="AC1014" s="8"/>
      <c r="AD1014" s="8"/>
      <c r="AE1014" s="8"/>
    </row>
    <row r="1015" spans="1:31" x14ac:dyDescent="0.25">
      <c r="A1015" s="8"/>
      <c r="B1015" s="8"/>
      <c r="C1015" s="8"/>
      <c r="D1015" s="8"/>
      <c r="E1015" s="8"/>
      <c r="F1015" s="8"/>
      <c r="G1015" s="8"/>
      <c r="H1015" s="8"/>
      <c r="I1015" s="8"/>
      <c r="J1015" s="8"/>
      <c r="K1015" s="8"/>
      <c r="L1015" s="8"/>
      <c r="T1015" s="8"/>
      <c r="U1015" s="8"/>
      <c r="V1015" s="8"/>
      <c r="W1015" s="8"/>
      <c r="X1015" s="8"/>
      <c r="Y1015" s="8"/>
      <c r="Z1015" s="8"/>
      <c r="AA1015" s="8"/>
      <c r="AB1015" s="8"/>
      <c r="AC1015" s="8"/>
      <c r="AD1015" s="8"/>
      <c r="AE1015" s="8"/>
    </row>
    <row r="1016" spans="1:31" x14ac:dyDescent="0.25">
      <c r="A1016" s="8"/>
      <c r="B1016" s="8"/>
      <c r="C1016" s="8"/>
      <c r="D1016" s="8"/>
      <c r="E1016" s="8"/>
      <c r="F1016" s="8"/>
      <c r="G1016" s="8"/>
      <c r="H1016" s="8"/>
      <c r="I1016" s="8"/>
      <c r="J1016" s="8"/>
      <c r="K1016" s="8"/>
      <c r="L1016" s="8"/>
      <c r="T1016" s="8"/>
      <c r="U1016" s="8"/>
      <c r="V1016" s="8"/>
      <c r="W1016" s="8"/>
      <c r="X1016" s="8"/>
      <c r="Y1016" s="8"/>
      <c r="Z1016" s="8"/>
      <c r="AA1016" s="8"/>
      <c r="AB1016" s="8"/>
      <c r="AC1016" s="8"/>
      <c r="AD1016" s="8"/>
      <c r="AE1016" s="8"/>
    </row>
    <row r="1017" spans="1:31" x14ac:dyDescent="0.25">
      <c r="A1017" s="8"/>
      <c r="B1017" s="8"/>
      <c r="C1017" s="8"/>
      <c r="D1017" s="8"/>
      <c r="E1017" s="8"/>
      <c r="F1017" s="8"/>
      <c r="G1017" s="8"/>
      <c r="H1017" s="8"/>
      <c r="I1017" s="8"/>
      <c r="J1017" s="8"/>
      <c r="K1017" s="8"/>
      <c r="L1017" s="8"/>
      <c r="T1017" s="8"/>
      <c r="U1017" s="8"/>
      <c r="V1017" s="8"/>
      <c r="W1017" s="8"/>
      <c r="X1017" s="8"/>
      <c r="Y1017" s="8"/>
      <c r="Z1017" s="8"/>
      <c r="AA1017" s="8"/>
      <c r="AB1017" s="8"/>
      <c r="AC1017" s="8"/>
      <c r="AD1017" s="8"/>
      <c r="AE1017" s="8"/>
    </row>
    <row r="1018" spans="1:31" x14ac:dyDescent="0.25">
      <c r="A1018" s="8"/>
      <c r="B1018" s="8"/>
      <c r="C1018" s="8"/>
      <c r="D1018" s="8"/>
      <c r="E1018" s="8"/>
      <c r="F1018" s="8"/>
      <c r="G1018" s="8"/>
      <c r="H1018" s="8"/>
      <c r="I1018" s="8"/>
      <c r="J1018" s="8"/>
      <c r="K1018" s="8"/>
      <c r="L1018" s="8"/>
      <c r="T1018" s="8"/>
      <c r="U1018" s="8"/>
      <c r="V1018" s="8"/>
      <c r="W1018" s="8"/>
      <c r="X1018" s="8"/>
      <c r="Y1018" s="8"/>
      <c r="Z1018" s="8"/>
      <c r="AA1018" s="8"/>
      <c r="AB1018" s="8"/>
      <c r="AC1018" s="8"/>
      <c r="AD1018" s="8"/>
      <c r="AE1018" s="8"/>
    </row>
    <row r="1019" spans="1:31" x14ac:dyDescent="0.25">
      <c r="A1019" s="8"/>
      <c r="B1019" s="8"/>
      <c r="C1019" s="8"/>
      <c r="D1019" s="8"/>
      <c r="E1019" s="8"/>
      <c r="F1019" s="8"/>
      <c r="G1019" s="8"/>
      <c r="H1019" s="8"/>
      <c r="I1019" s="8"/>
      <c r="J1019" s="8"/>
      <c r="K1019" s="8"/>
      <c r="L1019" s="8"/>
      <c r="T1019" s="8"/>
      <c r="U1019" s="8"/>
      <c r="V1019" s="8"/>
      <c r="W1019" s="8"/>
      <c r="X1019" s="8"/>
      <c r="Y1019" s="8"/>
      <c r="Z1019" s="8"/>
      <c r="AA1019" s="8"/>
      <c r="AB1019" s="8"/>
      <c r="AC1019" s="8"/>
      <c r="AD1019" s="8"/>
      <c r="AE1019" s="8"/>
    </row>
    <row r="1020" spans="1:31" x14ac:dyDescent="0.25">
      <c r="A1020" s="8"/>
      <c r="B1020" s="8"/>
      <c r="C1020" s="8"/>
      <c r="D1020" s="8"/>
      <c r="E1020" s="8"/>
      <c r="F1020" s="8"/>
      <c r="G1020" s="8"/>
      <c r="H1020" s="8"/>
      <c r="I1020" s="8"/>
      <c r="J1020" s="8"/>
      <c r="K1020" s="8"/>
      <c r="L1020" s="8"/>
      <c r="T1020" s="8"/>
      <c r="U1020" s="8"/>
      <c r="V1020" s="8"/>
      <c r="W1020" s="8"/>
      <c r="X1020" s="8"/>
      <c r="Y1020" s="8"/>
      <c r="Z1020" s="8"/>
      <c r="AA1020" s="8"/>
      <c r="AB1020" s="8"/>
      <c r="AC1020" s="8"/>
      <c r="AD1020" s="8"/>
      <c r="AE1020" s="8"/>
    </row>
    <row r="1021" spans="1:31" x14ac:dyDescent="0.25">
      <c r="A1021" s="8"/>
      <c r="B1021" s="8"/>
      <c r="C1021" s="8"/>
      <c r="D1021" s="8"/>
      <c r="E1021" s="8"/>
      <c r="F1021" s="8"/>
      <c r="G1021" s="8"/>
      <c r="H1021" s="8"/>
      <c r="I1021" s="8"/>
      <c r="J1021" s="8"/>
      <c r="K1021" s="8"/>
      <c r="L1021" s="8"/>
      <c r="T1021" s="8"/>
      <c r="U1021" s="8"/>
      <c r="V1021" s="8"/>
      <c r="W1021" s="8"/>
      <c r="X1021" s="8"/>
      <c r="Y1021" s="8"/>
      <c r="Z1021" s="8"/>
      <c r="AA1021" s="8"/>
      <c r="AB1021" s="8"/>
      <c r="AC1021" s="8"/>
      <c r="AD1021" s="8"/>
      <c r="AE1021" s="8"/>
    </row>
    <row r="1022" spans="1:31" x14ac:dyDescent="0.25">
      <c r="A1022" s="8"/>
      <c r="B1022" s="8"/>
      <c r="C1022" s="8"/>
      <c r="D1022" s="8"/>
      <c r="E1022" s="8"/>
      <c r="F1022" s="8"/>
      <c r="G1022" s="8"/>
      <c r="H1022" s="8"/>
      <c r="I1022" s="8"/>
      <c r="J1022" s="8"/>
      <c r="K1022" s="8"/>
      <c r="L1022" s="8"/>
      <c r="T1022" s="8"/>
      <c r="U1022" s="8"/>
      <c r="V1022" s="8"/>
      <c r="W1022" s="8"/>
      <c r="X1022" s="8"/>
      <c r="Y1022" s="8"/>
      <c r="Z1022" s="8"/>
      <c r="AA1022" s="8"/>
      <c r="AB1022" s="8"/>
      <c r="AC1022" s="8"/>
      <c r="AD1022" s="8"/>
      <c r="AE1022" s="8"/>
    </row>
    <row r="1023" spans="1:31" x14ac:dyDescent="0.25">
      <c r="A1023" s="8"/>
      <c r="B1023" s="8"/>
      <c r="C1023" s="8"/>
      <c r="D1023" s="8"/>
      <c r="E1023" s="8"/>
      <c r="F1023" s="8"/>
      <c r="G1023" s="8"/>
      <c r="H1023" s="8"/>
      <c r="I1023" s="8"/>
      <c r="J1023" s="8"/>
      <c r="K1023" s="8"/>
      <c r="L1023" s="8"/>
      <c r="T1023" s="8"/>
      <c r="U1023" s="8"/>
      <c r="V1023" s="8"/>
      <c r="W1023" s="8"/>
      <c r="X1023" s="8"/>
      <c r="Y1023" s="8"/>
      <c r="Z1023" s="8"/>
      <c r="AA1023" s="8"/>
      <c r="AB1023" s="8"/>
      <c r="AC1023" s="8"/>
      <c r="AD1023" s="8"/>
      <c r="AE1023" s="8"/>
    </row>
    <row r="1024" spans="1:31" x14ac:dyDescent="0.25">
      <c r="A1024" s="8"/>
      <c r="B1024" s="8"/>
      <c r="C1024" s="8"/>
      <c r="D1024" s="8"/>
      <c r="E1024" s="8"/>
      <c r="F1024" s="8"/>
      <c r="G1024" s="8"/>
      <c r="H1024" s="8"/>
      <c r="I1024" s="8"/>
      <c r="J1024" s="8"/>
      <c r="K1024" s="8"/>
      <c r="L1024" s="8"/>
      <c r="T1024" s="8"/>
      <c r="U1024" s="8"/>
      <c r="V1024" s="8"/>
      <c r="W1024" s="8"/>
      <c r="X1024" s="8"/>
      <c r="Y1024" s="8"/>
      <c r="Z1024" s="8"/>
      <c r="AA1024" s="8"/>
      <c r="AB1024" s="8"/>
      <c r="AC1024" s="8"/>
      <c r="AD1024" s="8"/>
      <c r="AE1024" s="8"/>
    </row>
    <row r="1025" spans="1:31" x14ac:dyDescent="0.25">
      <c r="A1025" s="8"/>
      <c r="B1025" s="8"/>
      <c r="C1025" s="8"/>
      <c r="D1025" s="8"/>
      <c r="E1025" s="8"/>
      <c r="F1025" s="8"/>
      <c r="G1025" s="8"/>
      <c r="H1025" s="8"/>
      <c r="I1025" s="8"/>
      <c r="J1025" s="8"/>
      <c r="K1025" s="8"/>
      <c r="L1025" s="8"/>
      <c r="T1025" s="8"/>
      <c r="U1025" s="8"/>
      <c r="V1025" s="8"/>
      <c r="W1025" s="8"/>
      <c r="X1025" s="8"/>
      <c r="Y1025" s="8"/>
      <c r="Z1025" s="8"/>
      <c r="AA1025" s="8"/>
      <c r="AB1025" s="8"/>
      <c r="AC1025" s="8"/>
      <c r="AD1025" s="8"/>
      <c r="AE1025" s="8"/>
    </row>
    <row r="1026" spans="1:31" x14ac:dyDescent="0.25">
      <c r="A1026" s="8"/>
      <c r="B1026" s="8"/>
      <c r="C1026" s="8"/>
      <c r="D1026" s="8"/>
      <c r="E1026" s="8"/>
      <c r="F1026" s="8"/>
      <c r="G1026" s="8"/>
      <c r="H1026" s="8"/>
      <c r="I1026" s="8"/>
      <c r="J1026" s="8"/>
      <c r="K1026" s="8"/>
      <c r="L1026" s="8"/>
      <c r="T1026" s="8"/>
      <c r="U1026" s="8"/>
      <c r="V1026" s="8"/>
      <c r="W1026" s="8"/>
      <c r="X1026" s="8"/>
      <c r="Y1026" s="8"/>
      <c r="Z1026" s="8"/>
      <c r="AA1026" s="8"/>
      <c r="AB1026" s="8"/>
      <c r="AC1026" s="8"/>
      <c r="AD1026" s="8"/>
      <c r="AE1026" s="8"/>
    </row>
    <row r="1027" spans="1:31" x14ac:dyDescent="0.25">
      <c r="A1027" s="8"/>
      <c r="B1027" s="8"/>
      <c r="C1027" s="8"/>
      <c r="D1027" s="8"/>
      <c r="E1027" s="8"/>
      <c r="F1027" s="8"/>
      <c r="G1027" s="8"/>
      <c r="H1027" s="8"/>
      <c r="I1027" s="8"/>
      <c r="J1027" s="8"/>
      <c r="K1027" s="8"/>
      <c r="L1027" s="8"/>
      <c r="T1027" s="8"/>
      <c r="U1027" s="8"/>
      <c r="V1027" s="8"/>
      <c r="W1027" s="8"/>
      <c r="X1027" s="8"/>
      <c r="Y1027" s="8"/>
      <c r="Z1027" s="8"/>
      <c r="AA1027" s="8"/>
      <c r="AB1027" s="8"/>
      <c r="AC1027" s="8"/>
      <c r="AD1027" s="8"/>
      <c r="AE1027" s="8"/>
    </row>
    <row r="1028" spans="1:31" x14ac:dyDescent="0.25">
      <c r="A1028" s="8"/>
      <c r="B1028" s="8"/>
      <c r="C1028" s="8"/>
      <c r="D1028" s="8"/>
      <c r="E1028" s="8"/>
      <c r="F1028" s="8"/>
      <c r="G1028" s="8"/>
      <c r="H1028" s="8"/>
      <c r="I1028" s="8"/>
      <c r="J1028" s="8"/>
      <c r="K1028" s="8"/>
      <c r="L1028" s="8"/>
      <c r="T1028" s="8"/>
      <c r="U1028" s="8"/>
      <c r="V1028" s="8"/>
      <c r="W1028" s="8"/>
      <c r="X1028" s="8"/>
      <c r="Y1028" s="8"/>
      <c r="Z1028" s="8"/>
      <c r="AA1028" s="8"/>
      <c r="AB1028" s="8"/>
      <c r="AC1028" s="8"/>
      <c r="AD1028" s="8"/>
      <c r="AE1028" s="8"/>
    </row>
    <row r="1029" spans="1:31" x14ac:dyDescent="0.25">
      <c r="A1029" s="8"/>
      <c r="B1029" s="8"/>
      <c r="C1029" s="8"/>
      <c r="D1029" s="8"/>
      <c r="E1029" s="8"/>
      <c r="F1029" s="8"/>
      <c r="G1029" s="8"/>
      <c r="H1029" s="8"/>
      <c r="I1029" s="8"/>
      <c r="J1029" s="8"/>
      <c r="K1029" s="8"/>
      <c r="L1029" s="8"/>
      <c r="T1029" s="8"/>
      <c r="U1029" s="8"/>
      <c r="V1029" s="8"/>
      <c r="W1029" s="8"/>
      <c r="X1029" s="8"/>
      <c r="Y1029" s="8"/>
      <c r="Z1029" s="8"/>
      <c r="AA1029" s="8"/>
      <c r="AB1029" s="8"/>
      <c r="AC1029" s="8"/>
      <c r="AD1029" s="8"/>
      <c r="AE1029" s="8"/>
    </row>
    <row r="1030" spans="1:31" x14ac:dyDescent="0.25">
      <c r="A1030" s="8"/>
      <c r="B1030" s="8"/>
      <c r="C1030" s="8"/>
      <c r="D1030" s="8"/>
      <c r="E1030" s="8"/>
      <c r="F1030" s="8"/>
      <c r="G1030" s="8"/>
      <c r="H1030" s="8"/>
      <c r="I1030" s="8"/>
      <c r="J1030" s="8"/>
      <c r="K1030" s="8"/>
      <c r="L1030" s="8"/>
      <c r="T1030" s="8"/>
      <c r="U1030" s="8"/>
      <c r="V1030" s="8"/>
      <c r="W1030" s="8"/>
      <c r="X1030" s="8"/>
      <c r="Y1030" s="8"/>
      <c r="Z1030" s="8"/>
      <c r="AA1030" s="8"/>
      <c r="AB1030" s="8"/>
      <c r="AC1030" s="8"/>
      <c r="AD1030" s="8"/>
      <c r="AE1030" s="8"/>
    </row>
  </sheetData>
  <mergeCells count="9">
    <mergeCell ref="AG23:AJ23"/>
    <mergeCell ref="AG22:AJ22"/>
    <mergeCell ref="AL17:AM17"/>
    <mergeCell ref="A22:L22"/>
    <mergeCell ref="A23:L23"/>
    <mergeCell ref="N22:R22"/>
    <mergeCell ref="N23:R23"/>
    <mergeCell ref="T22:AE22"/>
    <mergeCell ref="T23:AE2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pLiftDist">
                <anchor moveWithCells="1" sizeWithCells="1">
                  <from>
                    <xdr:col>13</xdr:col>
                    <xdr:colOff>38100</xdr:colOff>
                    <xdr:row>2</xdr:row>
                    <xdr:rowOff>22860</xdr:rowOff>
                  </from>
                  <to>
                    <xdr:col>14</xdr:col>
                    <xdr:colOff>579120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A531"/>
  <sheetViews>
    <sheetView tabSelected="1" workbookViewId="0">
      <selection activeCell="Z2" sqref="Z2:AA9"/>
    </sheetView>
  </sheetViews>
  <sheetFormatPr defaultColWidth="9.6640625" defaultRowHeight="13.2" x14ac:dyDescent="0.25"/>
  <cols>
    <col min="1" max="1" width="21.33203125" customWidth="1"/>
    <col min="2" max="2" width="12.44140625" bestFit="1" customWidth="1"/>
    <col min="3" max="3" width="14.6640625" bestFit="1" customWidth="1"/>
    <col min="4" max="4" width="13.44140625" customWidth="1"/>
    <col min="5" max="5" width="12.109375" customWidth="1"/>
    <col min="6" max="6" width="12.44140625" bestFit="1" customWidth="1"/>
    <col min="7" max="7" width="18.44140625" bestFit="1" customWidth="1"/>
    <col min="8" max="8" width="19" customWidth="1"/>
    <col min="9" max="9" width="20.88671875" customWidth="1"/>
    <col min="10" max="10" width="13.44140625" bestFit="1" customWidth="1"/>
    <col min="11" max="11" width="16.109375" bestFit="1" customWidth="1"/>
    <col min="12" max="12" width="17.44140625" bestFit="1" customWidth="1"/>
    <col min="13" max="13" width="11.6640625" bestFit="1" customWidth="1"/>
    <col min="14" max="14" width="20" bestFit="1" customWidth="1"/>
    <col min="15" max="15" width="15.44140625" bestFit="1" customWidth="1"/>
    <col min="16" max="16" width="15.88671875" bestFit="1" customWidth="1"/>
    <col min="17" max="17" width="17" bestFit="1" customWidth="1"/>
    <col min="18" max="18" width="15.44140625" customWidth="1"/>
    <col min="19" max="19" width="15.44140625" bestFit="1" customWidth="1"/>
    <col min="20" max="20" width="22.44140625" bestFit="1" customWidth="1"/>
    <col min="21" max="21" width="12" bestFit="1" customWidth="1"/>
    <col min="22" max="22" width="22.33203125" bestFit="1" customWidth="1"/>
    <col min="23" max="23" width="15.6640625" bestFit="1" customWidth="1"/>
    <col min="24" max="24" width="12" bestFit="1" customWidth="1"/>
    <col min="26" max="26" width="14.44140625" bestFit="1" customWidth="1"/>
    <col min="27" max="27" width="14.6640625" bestFit="1" customWidth="1"/>
  </cols>
  <sheetData>
    <row r="1" spans="1:27" x14ac:dyDescent="0.25">
      <c r="A1" s="13" t="s">
        <v>114</v>
      </c>
      <c r="H1" s="1" t="s">
        <v>101</v>
      </c>
      <c r="I1" s="1"/>
    </row>
    <row r="2" spans="1:27" x14ac:dyDescent="0.25">
      <c r="A2" s="1" t="s">
        <v>61</v>
      </c>
      <c r="B2" s="9">
        <v>8000</v>
      </c>
      <c r="C2" s="1" t="s">
        <v>62</v>
      </c>
      <c r="D2" s="1" t="s">
        <v>72</v>
      </c>
      <c r="H2" s="1" t="s">
        <v>134</v>
      </c>
      <c r="I2" s="1"/>
      <c r="U2" s="96" t="s">
        <v>11</v>
      </c>
      <c r="V2" s="3">
        <v>0.20854660492792881</v>
      </c>
      <c r="X2" s="94">
        <v>0.73725147194833585</v>
      </c>
      <c r="Y2">
        <f>X2/$X$10</f>
        <v>0.20854660492792881</v>
      </c>
      <c r="Z2">
        <f>X2/145</f>
        <v>5.0844929099885233E-3</v>
      </c>
      <c r="AA2" s="96" t="s">
        <v>11</v>
      </c>
    </row>
    <row r="3" spans="1:27" x14ac:dyDescent="0.25">
      <c r="A3" s="1" t="s">
        <v>7</v>
      </c>
      <c r="B3" s="9">
        <v>130</v>
      </c>
      <c r="C3" s="1" t="s">
        <v>71</v>
      </c>
      <c r="D3" s="1" t="s">
        <v>70</v>
      </c>
      <c r="E3" s="9">
        <v>0.28000000000000003</v>
      </c>
      <c r="H3" s="1" t="s">
        <v>102</v>
      </c>
      <c r="I3" s="1"/>
      <c r="U3" s="96" t="s">
        <v>38</v>
      </c>
      <c r="V3" s="3">
        <v>0.28042793856449683</v>
      </c>
      <c r="X3" s="94">
        <v>0.99136550582332272</v>
      </c>
      <c r="Y3">
        <f t="shared" ref="Y3:Y9" si="0">X3/$X$10</f>
        <v>0.28042793856449683</v>
      </c>
      <c r="Z3">
        <f t="shared" ref="Z3:Z9" si="1">X3/145</f>
        <v>6.8370034884367081E-3</v>
      </c>
      <c r="AA3" s="96" t="s">
        <v>38</v>
      </c>
    </row>
    <row r="4" spans="1:27" x14ac:dyDescent="0.25">
      <c r="B4">
        <f>B3*1.68781</f>
        <v>219.4153</v>
      </c>
      <c r="C4" s="1" t="s">
        <v>820</v>
      </c>
      <c r="D4" s="1" t="s">
        <v>7</v>
      </c>
      <c r="E4">
        <f>E3*stdsound(B2)</f>
        <v>303.89040190483161</v>
      </c>
      <c r="F4" s="1" t="s">
        <v>820</v>
      </c>
      <c r="H4" s="1" t="s">
        <v>109</v>
      </c>
      <c r="I4" s="1"/>
      <c r="U4" s="96" t="s">
        <v>48</v>
      </c>
      <c r="V4" s="3">
        <v>8.9970742238268175E-2</v>
      </c>
      <c r="X4" s="94">
        <v>0.31806349554513602</v>
      </c>
      <c r="Y4">
        <f t="shared" si="0"/>
        <v>8.9970742238268175E-2</v>
      </c>
      <c r="Z4">
        <f t="shared" si="1"/>
        <v>2.1935413485871451E-3</v>
      </c>
      <c r="AA4" s="96" t="s">
        <v>48</v>
      </c>
    </row>
    <row r="5" spans="1:27" x14ac:dyDescent="0.25">
      <c r="A5" t="s">
        <v>8</v>
      </c>
      <c r="B5" s="6">
        <f>Vel/stdsound(B2)</f>
        <v>0.20216592434281558</v>
      </c>
      <c r="D5" s="1" t="s">
        <v>7</v>
      </c>
      <c r="E5">
        <f>E4/1.68781</f>
        <v>180.05012525392763</v>
      </c>
      <c r="F5" s="1" t="s">
        <v>71</v>
      </c>
      <c r="H5" s="1" t="s">
        <v>164</v>
      </c>
      <c r="I5" s="1"/>
      <c r="U5" s="96" t="s">
        <v>49</v>
      </c>
      <c r="V5" s="3">
        <v>5.7256531329116782E-2</v>
      </c>
      <c r="X5" s="94">
        <v>0.20241260707953251</v>
      </c>
      <c r="Y5">
        <f t="shared" si="0"/>
        <v>5.7256531329116782E-2</v>
      </c>
      <c r="Z5">
        <f t="shared" si="1"/>
        <v>1.3959490143416035E-3</v>
      </c>
      <c r="AA5" s="96" t="s">
        <v>49</v>
      </c>
    </row>
    <row r="6" spans="1:27" ht="15.6" x14ac:dyDescent="0.25">
      <c r="A6" t="s">
        <v>3</v>
      </c>
      <c r="B6" s="6">
        <f>stddens(B2)</f>
        <v>1.868460058481886E-3</v>
      </c>
      <c r="C6" s="1" t="s">
        <v>69</v>
      </c>
      <c r="H6" s="1" t="s">
        <v>997</v>
      </c>
      <c r="U6" s="96" t="s">
        <v>1011</v>
      </c>
      <c r="V6" s="3">
        <v>8.2796160584244119E-2</v>
      </c>
      <c r="X6" s="10">
        <v>0.29270000000000002</v>
      </c>
      <c r="Y6">
        <f t="shared" si="0"/>
        <v>8.2796160584244119E-2</v>
      </c>
      <c r="Z6">
        <f t="shared" si="1"/>
        <v>2.0186206896551724E-3</v>
      </c>
      <c r="AA6" s="96" t="s">
        <v>1011</v>
      </c>
    </row>
    <row r="7" spans="1:27" ht="15.6" x14ac:dyDescent="0.25">
      <c r="A7" s="1" t="s">
        <v>131</v>
      </c>
      <c r="B7" s="6">
        <f>stdvisc(B2)</f>
        <v>3.5753797571108201E-7</v>
      </c>
      <c r="C7" s="1" t="s">
        <v>68</v>
      </c>
      <c r="H7" s="1" t="s">
        <v>998</v>
      </c>
      <c r="U7" s="97" t="s">
        <v>1014</v>
      </c>
      <c r="V7" s="3">
        <v>5.7422687388457669E-2</v>
      </c>
      <c r="X7">
        <f>0.08*0.0175*145</f>
        <v>0.20300000000000004</v>
      </c>
      <c r="Y7">
        <f t="shared" si="0"/>
        <v>5.7422687388457669E-2</v>
      </c>
      <c r="Z7">
        <f t="shared" si="1"/>
        <v>1.4000000000000002E-3</v>
      </c>
      <c r="AA7" s="97" t="s">
        <v>1014</v>
      </c>
    </row>
    <row r="8" spans="1:27" x14ac:dyDescent="0.25">
      <c r="A8" s="1" t="s">
        <v>132</v>
      </c>
      <c r="B8" s="6">
        <f>Vis/Den</f>
        <v>1.9135435841298088E-4</v>
      </c>
      <c r="C8" s="1" t="s">
        <v>133</v>
      </c>
      <c r="U8" s="96" t="s">
        <v>855</v>
      </c>
      <c r="V8" s="3">
        <v>0.11176915938110508</v>
      </c>
      <c r="X8" s="8">
        <f>0.002725*145</f>
        <v>0.395125</v>
      </c>
      <c r="Y8">
        <f t="shared" si="0"/>
        <v>0.11176915938110508</v>
      </c>
      <c r="Z8">
        <f t="shared" si="1"/>
        <v>2.725E-3</v>
      </c>
      <c r="AA8" s="96" t="s">
        <v>855</v>
      </c>
    </row>
    <row r="9" spans="1:27" x14ac:dyDescent="0.25">
      <c r="A9" s="1" t="s">
        <v>129</v>
      </c>
      <c r="B9" s="36">
        <f>Den*Vel*B13/Vis</f>
        <v>4465382.0606358098</v>
      </c>
      <c r="U9" s="96" t="s">
        <v>1012</v>
      </c>
      <c r="V9" s="3">
        <v>0.11181017558638255</v>
      </c>
      <c r="X9" s="1">
        <f>0.002726*145</f>
        <v>0.39527000000000001</v>
      </c>
      <c r="Y9">
        <f t="shared" si="0"/>
        <v>0.11181017558638255</v>
      </c>
      <c r="Z9">
        <f t="shared" si="1"/>
        <v>2.7260000000000001E-3</v>
      </c>
      <c r="AA9" s="96" t="s">
        <v>1012</v>
      </c>
    </row>
    <row r="10" spans="1:27" x14ac:dyDescent="0.25">
      <c r="E10">
        <f>150/1.15</f>
        <v>130.43478260869566</v>
      </c>
      <c r="I10" s="21"/>
      <c r="L10" s="21"/>
      <c r="U10" s="10"/>
      <c r="V10" s="10"/>
      <c r="W10" s="96" t="s">
        <v>1013</v>
      </c>
      <c r="X10" s="95">
        <f>SUM(X2:X9)</f>
        <v>3.5351880803963271</v>
      </c>
      <c r="Y10" s="10">
        <f>SUM(Y2:Y9)</f>
        <v>1</v>
      </c>
      <c r="Z10" s="10"/>
    </row>
    <row r="11" spans="1:27" x14ac:dyDescent="0.25">
      <c r="A11" s="13" t="s">
        <v>115</v>
      </c>
      <c r="L11" s="1"/>
      <c r="O11" s="1"/>
      <c r="U11" s="10"/>
      <c r="V11" s="10"/>
      <c r="Y11" s="10"/>
      <c r="Z11" s="10"/>
    </row>
    <row r="12" spans="1:27" x14ac:dyDescent="0.25">
      <c r="A12" t="s">
        <v>9</v>
      </c>
      <c r="B12" s="9">
        <v>144.9</v>
      </c>
      <c r="C12" t="s">
        <v>10</v>
      </c>
      <c r="I12" s="1"/>
      <c r="U12" s="10"/>
      <c r="V12" s="10"/>
      <c r="X12" s="10"/>
      <c r="Y12" s="10"/>
      <c r="Z12" s="10"/>
    </row>
    <row r="13" spans="1:27" x14ac:dyDescent="0.25">
      <c r="A13" t="s">
        <v>130</v>
      </c>
      <c r="B13" s="35">
        <f>D24</f>
        <v>3.8943059999999998</v>
      </c>
      <c r="C13" t="s">
        <v>62</v>
      </c>
      <c r="I13" s="1"/>
      <c r="U13" s="10"/>
      <c r="V13" s="10"/>
      <c r="X13" s="10"/>
      <c r="Y13" s="10"/>
      <c r="Z13" s="10"/>
    </row>
    <row r="14" spans="1:27" x14ac:dyDescent="0.25">
      <c r="A14" s="1" t="s">
        <v>117</v>
      </c>
      <c r="I14" s="1"/>
      <c r="R14" s="1"/>
      <c r="U14" s="10"/>
      <c r="V14" s="10"/>
      <c r="X14" s="10"/>
      <c r="Y14" s="10"/>
      <c r="Z14" s="10"/>
    </row>
    <row r="15" spans="1:27" x14ac:dyDescent="0.25">
      <c r="U15" s="10"/>
      <c r="V15" s="10"/>
      <c r="W15" s="10"/>
      <c r="X15" s="10"/>
      <c r="Y15" s="10"/>
      <c r="Z15" s="10"/>
    </row>
    <row r="16" spans="1:27" x14ac:dyDescent="0.25">
      <c r="A16" s="13" t="s">
        <v>991</v>
      </c>
      <c r="I16" s="1"/>
      <c r="U16" s="10"/>
      <c r="V16" s="10"/>
      <c r="W16" s="10"/>
      <c r="X16" s="10"/>
      <c r="Y16" s="10"/>
      <c r="Z16" s="10"/>
    </row>
    <row r="17" spans="1:26" ht="15.6" x14ac:dyDescent="0.25">
      <c r="A17" s="1" t="s">
        <v>995</v>
      </c>
      <c r="B17" s="35">
        <f>PI()*6.333^2/4-3.64</f>
        <v>27.859876960185321</v>
      </c>
      <c r="C17" s="1" t="s">
        <v>10</v>
      </c>
      <c r="I17" s="1"/>
      <c r="U17" s="10"/>
      <c r="V17" s="10"/>
      <c r="W17" s="10"/>
      <c r="X17" s="10"/>
      <c r="Y17" s="10"/>
      <c r="Z17" s="10"/>
    </row>
    <row r="18" spans="1:26" x14ac:dyDescent="0.25">
      <c r="A18" s="1" t="s">
        <v>992</v>
      </c>
      <c r="B18" s="71">
        <f>0.75*310</f>
        <v>232.5</v>
      </c>
      <c r="C18" s="1" t="s">
        <v>780</v>
      </c>
      <c r="I18" s="1"/>
      <c r="U18" s="10"/>
      <c r="V18" s="10"/>
      <c r="W18" s="10"/>
      <c r="X18" s="10"/>
      <c r="Y18" s="10"/>
      <c r="Z18" s="10"/>
    </row>
    <row r="19" spans="1:26" x14ac:dyDescent="0.25">
      <c r="A19" s="1" t="s">
        <v>999</v>
      </c>
      <c r="B19" s="35">
        <v>0.81</v>
      </c>
      <c r="C19" s="1"/>
      <c r="I19" s="1"/>
      <c r="U19" s="10"/>
      <c r="V19" s="10"/>
      <c r="W19" s="10"/>
      <c r="X19" s="10"/>
      <c r="Y19" s="10"/>
      <c r="Z19" s="10"/>
    </row>
    <row r="20" spans="1:26" x14ac:dyDescent="0.25">
      <c r="A20" s="1" t="s">
        <v>993</v>
      </c>
      <c r="B20">
        <f>Vel+-Vel/2+SQRT(Vel^2/4+B18*550*B19/Vel/(2*Den*B17))</f>
        <v>238.43244821306178</v>
      </c>
      <c r="C20" s="1" t="s">
        <v>987</v>
      </c>
      <c r="U20" s="10"/>
      <c r="V20" s="10"/>
      <c r="W20" s="10">
        <f>W24*145</f>
        <v>0.7377602721360158</v>
      </c>
      <c r="X20" s="10"/>
      <c r="Y20" s="10"/>
      <c r="Z20" s="10"/>
    </row>
    <row r="21" spans="1:26" x14ac:dyDescent="0.25">
      <c r="C21" s="1"/>
      <c r="U21" s="10"/>
      <c r="V21" s="10"/>
      <c r="W21" s="10"/>
      <c r="X21" s="10"/>
      <c r="Y21" s="10"/>
      <c r="Z21" s="10"/>
    </row>
    <row r="22" spans="1:26" x14ac:dyDescent="0.25">
      <c r="A22" s="13" t="s">
        <v>110</v>
      </c>
      <c r="C22" s="14"/>
      <c r="D22" s="14"/>
      <c r="E22" s="14"/>
      <c r="F22" s="14"/>
      <c r="G22" s="14"/>
      <c r="H22" s="7"/>
      <c r="I22" s="7"/>
      <c r="R22" s="1" t="s">
        <v>75</v>
      </c>
      <c r="S22" s="99" t="s">
        <v>15</v>
      </c>
      <c r="T22" s="99"/>
      <c r="U22" s="99" t="s">
        <v>60</v>
      </c>
      <c r="V22" s="99"/>
    </row>
    <row r="23" spans="1:26" s="1" customFormat="1" ht="15.6" x14ac:dyDescent="0.25">
      <c r="A23" s="13" t="s">
        <v>84</v>
      </c>
      <c r="B23" s="13" t="s">
        <v>85</v>
      </c>
      <c r="C23" s="13" t="s">
        <v>5</v>
      </c>
      <c r="D23" s="13" t="s">
        <v>105</v>
      </c>
      <c r="E23" s="13" t="s">
        <v>108</v>
      </c>
      <c r="F23" s="13" t="s">
        <v>14</v>
      </c>
      <c r="G23" s="19" t="s">
        <v>57</v>
      </c>
      <c r="H23" s="13" t="s">
        <v>106</v>
      </c>
      <c r="I23" s="13" t="s">
        <v>996</v>
      </c>
      <c r="J23" s="13" t="s">
        <v>6</v>
      </c>
      <c r="K23" s="13" t="s">
        <v>50</v>
      </c>
      <c r="L23" s="13" t="s">
        <v>54</v>
      </c>
      <c r="M23" s="13" t="s">
        <v>53</v>
      </c>
      <c r="N23" s="19" t="s">
        <v>52</v>
      </c>
      <c r="O23" s="19" t="s">
        <v>51</v>
      </c>
      <c r="P23" s="19" t="s">
        <v>55</v>
      </c>
      <c r="Q23" s="19" t="s">
        <v>56</v>
      </c>
      <c r="R23" s="19" t="s">
        <v>63</v>
      </c>
      <c r="S23" s="13" t="s">
        <v>12</v>
      </c>
      <c r="T23" s="13" t="s">
        <v>76</v>
      </c>
      <c r="U23" s="13" t="s">
        <v>13</v>
      </c>
      <c r="V23" s="13" t="s">
        <v>77</v>
      </c>
      <c r="W23" s="13" t="s">
        <v>67</v>
      </c>
      <c r="X23" s="13" t="s">
        <v>64</v>
      </c>
      <c r="Y23" s="13"/>
    </row>
    <row r="24" spans="1:26" s="1" customFormat="1" x14ac:dyDescent="0.25">
      <c r="A24" s="8" t="s">
        <v>11</v>
      </c>
      <c r="B24" s="8" t="s">
        <v>58</v>
      </c>
      <c r="C24" s="8">
        <f>C70+C71</f>
        <v>258.737346</v>
      </c>
      <c r="D24" s="8">
        <f>G70</f>
        <v>3.8943059999999998</v>
      </c>
      <c r="E24" s="8">
        <f>J71</f>
        <v>0.156941</v>
      </c>
      <c r="F24" s="8">
        <v>0</v>
      </c>
      <c r="G24" s="8">
        <v>1.02</v>
      </c>
      <c r="H24" s="8">
        <v>0.6</v>
      </c>
      <c r="I24" s="8" t="s">
        <v>990</v>
      </c>
      <c r="J24" s="2">
        <f t="shared" ref="J24:J41" si="2">IF(OR(I24="yes",I24="Yes",I24="YES",I24="y",I24="Y"), $B$20*Den*D24/Vis, Vel*Den*D24/Vis)</f>
        <v>4465382.0606358098</v>
      </c>
      <c r="K24">
        <f>IF(J24=0,0,1.328/SQRT(J24))</f>
        <v>6.2844715337045574E-4</v>
      </c>
      <c r="L24">
        <f>IF(J24=0,0,IF(J24&gt;=1000000,0.455/(LOG(J24)^2.58),0.074/(J24)^(1/5)))</f>
        <v>3.4289043696744013E-3</v>
      </c>
      <c r="M24">
        <f t="shared" ref="M24:M32" si="3">1-H24</f>
        <v>0.4</v>
      </c>
      <c r="N24" s="6">
        <f t="shared" ref="N24:N32" si="4">H24*D24</f>
        <v>2.3365836</v>
      </c>
      <c r="O24" s="12">
        <f t="shared" ref="O24:O41" si="5">IF(OR(I24="yes",I24="Yes",I24="YES",I24="y",I24="Y"), $B$20*Den*N24/Vis, Vel*Den*N24/Vis)</f>
        <v>2679229.2363814865</v>
      </c>
      <c r="P24" s="6">
        <f>IF(O24=0,0,1.328/SQRT(O24))</f>
        <v>8.1132178632507769E-4</v>
      </c>
      <c r="Q24" s="6">
        <f>IF(O24=0,0,IF(O24&gt;=1000000,0.455/(LOG(O24)^2.58),0.074/(O24)^(1/5)))</f>
        <v>3.7426045037894594E-3</v>
      </c>
      <c r="R24" s="6">
        <f>L24-Q24*H24+P24*H24</f>
        <v>1.6701347391957725E-3</v>
      </c>
      <c r="S24" s="1">
        <f>IF(OR(B24="wing",B24="Wing",B24="WING"),4.286*E24+1,0)</f>
        <v>1.672649126</v>
      </c>
      <c r="T24" s="1">
        <f t="shared" ref="T24:T41" si="6">IF(OR(I24="yes",I24="Yes",I24="YES",I24="y",I24="Y"), C24*G24*R24*S24*($B$20)^2/Vel^2, C24*G24*R24*S24)</f>
        <v>0.73725147194833585</v>
      </c>
      <c r="U24" s="1">
        <f>IF(OR(B24="body",B24="Body",B24="BODY"),8.5-5.716*F24^0.5+1.257*F24-0.0189*F24^2,0)</f>
        <v>0</v>
      </c>
      <c r="V24">
        <f t="shared" ref="V24:V41" si="7">IF(OR(I24="yes",I24="Yes",I24="YES",I24="y",I24="Y"), C24*G24*R24*U24*($B$20)^2/Vel^2, C24*G24*R24*U24)</f>
        <v>0</v>
      </c>
      <c r="W24">
        <f t="shared" ref="W24:W41" si="8">(V24+T24)/Ref_Area</f>
        <v>5.0880018768001091E-3</v>
      </c>
      <c r="X24" s="1">
        <f t="shared" ref="X24:X41" si="9">W24*Ref_Area</f>
        <v>0.73725147194833585</v>
      </c>
    </row>
    <row r="25" spans="1:26" s="1" customFormat="1" x14ac:dyDescent="0.25">
      <c r="A25" s="8" t="s">
        <v>38</v>
      </c>
      <c r="B25" s="8" t="s">
        <v>59</v>
      </c>
      <c r="C25" s="8">
        <f>C72</f>
        <v>222.477665</v>
      </c>
      <c r="D25" s="8">
        <f>M72</f>
        <v>23</v>
      </c>
      <c r="E25" s="8">
        <f>J72</f>
        <v>0</v>
      </c>
      <c r="F25" s="8">
        <f>O72</f>
        <v>4.8047940000000002</v>
      </c>
      <c r="G25" s="8">
        <v>1</v>
      </c>
      <c r="H25" s="8">
        <v>0.05</v>
      </c>
      <c r="I25" s="8" t="s">
        <v>994</v>
      </c>
      <c r="J25" s="2">
        <f t="shared" si="2"/>
        <v>28658591.078782599</v>
      </c>
      <c r="K25">
        <f t="shared" ref="K25:K41" si="10">IF(J25=0,0,1.328/SQRT(J25))</f>
        <v>2.4806794970047525E-4</v>
      </c>
      <c r="L25">
        <f t="shared" ref="L25:L41" si="11">IF(J25=0,0,IF(J25&gt;=1000000,0.455/(LOG(J25)^2.58),0.074/(J25)^(1/5)))</f>
        <v>2.551277017493447E-3</v>
      </c>
      <c r="M25">
        <f t="shared" si="3"/>
        <v>0.95</v>
      </c>
      <c r="N25" s="6">
        <f t="shared" si="4"/>
        <v>1.1500000000000001</v>
      </c>
      <c r="O25" s="12">
        <f t="shared" si="5"/>
        <v>1432929.5539391299</v>
      </c>
      <c r="P25" s="6">
        <f t="shared" ref="P25:P41" si="12">IF(O25=0,0,1.328/SQRT(O25))</f>
        <v>1.1093935971385224E-3</v>
      </c>
      <c r="Q25" s="6">
        <f t="shared" ref="Q25:Q41" si="13">IF(O25=0,0,IF(O25&gt;=1000000,0.455/(LOG(O25)^2.58),0.074/(O25)^(1/5)))</f>
        <v>4.1838880606318365E-3</v>
      </c>
      <c r="R25" s="6">
        <f t="shared" ref="R25:R32" si="14">L25-Q25*H25+P25*H25</f>
        <v>2.3975522943187814E-3</v>
      </c>
      <c r="S25" s="1">
        <f t="shared" ref="S25:S32" si="15">IF(OR(B25="wing",B25="Wing",B25="WING"),4.286*E25+1,0)</f>
        <v>0</v>
      </c>
      <c r="T25" s="1">
        <f t="shared" si="6"/>
        <v>0</v>
      </c>
      <c r="U25" s="1">
        <f t="shared" ref="U25:U32" si="16">IF(OR(B25="body",B25="Body",B25="BODY"),8.5-5.716*F25^0.5+1.257*F25-0.0189*F25^2,0)</f>
        <v>1.5739190688525473</v>
      </c>
      <c r="V25">
        <f t="shared" si="7"/>
        <v>0.99136550582332261</v>
      </c>
      <c r="W25">
        <f t="shared" si="8"/>
        <v>6.8417219173452217E-3</v>
      </c>
      <c r="X25" s="1">
        <f t="shared" si="9"/>
        <v>0.99136550582332272</v>
      </c>
    </row>
    <row r="26" spans="1:26" s="1" customFormat="1" x14ac:dyDescent="0.25">
      <c r="A26" s="8" t="s">
        <v>48</v>
      </c>
      <c r="B26" s="8" t="s">
        <v>58</v>
      </c>
      <c r="C26" s="8">
        <f>C73+C74</f>
        <v>54.886056000000004</v>
      </c>
      <c r="D26" s="8">
        <f>G73</f>
        <v>2.1698040000000001</v>
      </c>
      <c r="E26" s="8">
        <f>J74</f>
        <v>0.109586</v>
      </c>
      <c r="F26" s="8">
        <v>0</v>
      </c>
      <c r="G26" s="8">
        <v>1.04</v>
      </c>
      <c r="H26" s="8">
        <v>0</v>
      </c>
      <c r="I26" s="8" t="s">
        <v>990</v>
      </c>
      <c r="J26" s="2">
        <f t="shared" si="2"/>
        <v>2487992.4322063611</v>
      </c>
      <c r="K26">
        <f t="shared" si="10"/>
        <v>8.419252751564961E-4</v>
      </c>
      <c r="L26">
        <f t="shared" si="11"/>
        <v>3.7913512898039669E-3</v>
      </c>
      <c r="M26">
        <f t="shared" si="3"/>
        <v>1</v>
      </c>
      <c r="N26" s="6">
        <f t="shared" si="4"/>
        <v>0</v>
      </c>
      <c r="O26" s="12">
        <f t="shared" si="5"/>
        <v>0</v>
      </c>
      <c r="P26" s="6">
        <f t="shared" si="12"/>
        <v>0</v>
      </c>
      <c r="Q26" s="6">
        <f t="shared" si="13"/>
        <v>0</v>
      </c>
      <c r="R26" s="6">
        <f t="shared" si="14"/>
        <v>3.7913512898039669E-3</v>
      </c>
      <c r="S26" s="1">
        <f t="shared" si="15"/>
        <v>1.4696855959999999</v>
      </c>
      <c r="T26" s="1">
        <f t="shared" si="6"/>
        <v>0.31806349554513602</v>
      </c>
      <c r="U26" s="1">
        <f t="shared" si="16"/>
        <v>0</v>
      </c>
      <c r="V26">
        <f t="shared" si="7"/>
        <v>0</v>
      </c>
      <c r="W26">
        <f t="shared" si="8"/>
        <v>2.1950551797455899E-3</v>
      </c>
      <c r="X26" s="1">
        <f t="shared" si="9"/>
        <v>0.31806349554513602</v>
      </c>
    </row>
    <row r="27" spans="1:26" s="1" customFormat="1" x14ac:dyDescent="0.25">
      <c r="A27" s="8" t="s">
        <v>49</v>
      </c>
      <c r="B27" s="8" t="s">
        <v>58</v>
      </c>
      <c r="C27" s="8">
        <f>C75</f>
        <v>38.406747000000003</v>
      </c>
      <c r="D27" s="8">
        <f>G75</f>
        <v>4.0517469999999998</v>
      </c>
      <c r="E27" s="8">
        <f>J75</f>
        <v>0.11380700000000001</v>
      </c>
      <c r="F27" s="8">
        <v>0</v>
      </c>
      <c r="G27" s="8">
        <v>1.04</v>
      </c>
      <c r="H27" s="8">
        <v>0</v>
      </c>
      <c r="I27" s="8" t="s">
        <v>990</v>
      </c>
      <c r="J27" s="2">
        <f t="shared" si="2"/>
        <v>4645910.8164676744</v>
      </c>
      <c r="K27">
        <f t="shared" si="10"/>
        <v>6.1611621770114942E-4</v>
      </c>
      <c r="L27">
        <f t="shared" si="11"/>
        <v>3.4061119033569134E-3</v>
      </c>
      <c r="M27">
        <f t="shared" si="3"/>
        <v>1</v>
      </c>
      <c r="N27" s="6">
        <f t="shared" si="4"/>
        <v>0</v>
      </c>
      <c r="O27" s="12">
        <f t="shared" si="5"/>
        <v>0</v>
      </c>
      <c r="P27" s="6">
        <f t="shared" si="12"/>
        <v>0</v>
      </c>
      <c r="Q27" s="6">
        <f t="shared" si="13"/>
        <v>0</v>
      </c>
      <c r="R27" s="6">
        <f t="shared" si="14"/>
        <v>3.4061119033569134E-3</v>
      </c>
      <c r="S27" s="1">
        <f t="shared" si="15"/>
        <v>1.487776802</v>
      </c>
      <c r="T27" s="1">
        <f t="shared" si="6"/>
        <v>0.20241260707953251</v>
      </c>
      <c r="U27" s="1">
        <f t="shared" si="16"/>
        <v>0</v>
      </c>
      <c r="V27">
        <f t="shared" si="7"/>
        <v>0</v>
      </c>
      <c r="W27">
        <f t="shared" si="8"/>
        <v>1.3969124022051933E-3</v>
      </c>
      <c r="X27" s="1">
        <f t="shared" si="9"/>
        <v>0.20241260707953251</v>
      </c>
    </row>
    <row r="28" spans="1:26" s="1" customFormat="1" x14ac:dyDescent="0.25">
      <c r="A28" s="8" t="s">
        <v>78</v>
      </c>
      <c r="B28" s="8" t="s">
        <v>59</v>
      </c>
      <c r="C28" s="8">
        <f>C77+C78</f>
        <v>1.230656</v>
      </c>
      <c r="D28" s="8">
        <f>M77</f>
        <v>0.6</v>
      </c>
      <c r="E28" s="8">
        <v>0</v>
      </c>
      <c r="F28" s="8">
        <f>O77</f>
        <v>0.50189099999999998</v>
      </c>
      <c r="G28" s="8">
        <v>1.1000000000000001</v>
      </c>
      <c r="H28" s="8">
        <v>0</v>
      </c>
      <c r="I28" s="8" t="s">
        <v>990</v>
      </c>
      <c r="J28" s="2">
        <f t="shared" si="2"/>
        <v>687986.31550306687</v>
      </c>
      <c r="K28">
        <f t="shared" si="10"/>
        <v>1.6010620924533283E-3</v>
      </c>
      <c r="L28">
        <f t="shared" si="11"/>
        <v>5.0317118181344806E-3</v>
      </c>
      <c r="M28">
        <f t="shared" si="3"/>
        <v>1</v>
      </c>
      <c r="N28" s="6">
        <f t="shared" si="4"/>
        <v>0</v>
      </c>
      <c r="O28" s="12">
        <f t="shared" si="5"/>
        <v>0</v>
      </c>
      <c r="P28" s="6">
        <f t="shared" si="12"/>
        <v>0</v>
      </c>
      <c r="Q28" s="6">
        <f t="shared" si="13"/>
        <v>0</v>
      </c>
      <c r="R28" s="6">
        <f t="shared" si="14"/>
        <v>5.0317118181344806E-3</v>
      </c>
      <c r="S28" s="1">
        <f t="shared" si="15"/>
        <v>0</v>
      </c>
      <c r="T28" s="1">
        <f t="shared" si="6"/>
        <v>0</v>
      </c>
      <c r="U28" s="1">
        <f t="shared" si="16"/>
        <v>5.0766579450731228</v>
      </c>
      <c r="V28">
        <f t="shared" si="7"/>
        <v>3.4579843293073474E-2</v>
      </c>
      <c r="W28">
        <f t="shared" si="8"/>
        <v>2.3864626151189422E-4</v>
      </c>
      <c r="X28" s="1">
        <f t="shared" si="9"/>
        <v>3.4579843293073474E-2</v>
      </c>
    </row>
    <row r="29" spans="1:26" s="1" customFormat="1" x14ac:dyDescent="0.25">
      <c r="A29" s="8" t="s">
        <v>79</v>
      </c>
      <c r="B29" s="8" t="s">
        <v>59</v>
      </c>
      <c r="C29" s="8">
        <f>C79+C80</f>
        <v>16.965364000000001</v>
      </c>
      <c r="D29" s="8">
        <f>M79</f>
        <v>3.7</v>
      </c>
      <c r="E29" s="8">
        <v>0</v>
      </c>
      <c r="F29" s="8">
        <f>O79</f>
        <v>3.3430960000000001</v>
      </c>
      <c r="G29" s="8">
        <v>1</v>
      </c>
      <c r="H29" s="8">
        <v>0.05</v>
      </c>
      <c r="I29" s="8" t="s">
        <v>990</v>
      </c>
      <c r="J29" s="2">
        <f t="shared" si="2"/>
        <v>4242582.2789355796</v>
      </c>
      <c r="K29">
        <f t="shared" si="10"/>
        <v>6.4473751087421234E-4</v>
      </c>
      <c r="L29">
        <f t="shared" si="11"/>
        <v>3.4586534773699746E-3</v>
      </c>
      <c r="M29">
        <f t="shared" si="3"/>
        <v>0.95</v>
      </c>
      <c r="N29" s="6">
        <f t="shared" si="4"/>
        <v>0.18500000000000003</v>
      </c>
      <c r="O29" s="12">
        <f t="shared" si="5"/>
        <v>212129.11394677896</v>
      </c>
      <c r="P29" s="6">
        <f t="shared" si="12"/>
        <v>2.8833538039174972E-3</v>
      </c>
      <c r="Q29" s="6">
        <f t="shared" si="13"/>
        <v>6.3666600934379116E-3</v>
      </c>
      <c r="R29" s="6">
        <f t="shared" si="14"/>
        <v>3.2844881628939539E-3</v>
      </c>
      <c r="S29" s="1">
        <f t="shared" si="15"/>
        <v>0</v>
      </c>
      <c r="T29" s="1">
        <f t="shared" si="6"/>
        <v>0</v>
      </c>
      <c r="U29" s="1">
        <f t="shared" si="16"/>
        <v>2.0398280945130978</v>
      </c>
      <c r="V29">
        <f t="shared" si="7"/>
        <v>0.11366439695396675</v>
      </c>
      <c r="W29">
        <f t="shared" si="8"/>
        <v>7.8443338132482227E-4</v>
      </c>
      <c r="X29" s="1">
        <f t="shared" si="9"/>
        <v>0.11366439695396675</v>
      </c>
    </row>
    <row r="30" spans="1:26" s="1" customFormat="1" x14ac:dyDescent="0.25">
      <c r="A30" s="8" t="s">
        <v>80</v>
      </c>
      <c r="B30" s="8" t="s">
        <v>58</v>
      </c>
      <c r="C30" s="8">
        <f>C81+C82</f>
        <v>5.6526759999999996</v>
      </c>
      <c r="D30" s="8">
        <f>G81</f>
        <v>0.65107700000000002</v>
      </c>
      <c r="E30" s="8">
        <f>J81</f>
        <v>0.3</v>
      </c>
      <c r="F30" s="8">
        <f>O82</f>
        <v>0</v>
      </c>
      <c r="G30" s="8">
        <v>1.05</v>
      </c>
      <c r="H30" s="8">
        <v>0</v>
      </c>
      <c r="I30" s="8" t="s">
        <v>990</v>
      </c>
      <c r="J30" s="2">
        <f t="shared" si="2"/>
        <v>746553.44389798387</v>
      </c>
      <c r="K30">
        <f t="shared" si="10"/>
        <v>1.5369779018887205E-3</v>
      </c>
      <c r="L30">
        <f t="shared" si="11"/>
        <v>4.9501634488171012E-3</v>
      </c>
      <c r="M30">
        <f t="shared" si="3"/>
        <v>1</v>
      </c>
      <c r="N30" s="6">
        <f t="shared" si="4"/>
        <v>0</v>
      </c>
      <c r="O30" s="12">
        <f t="shared" si="5"/>
        <v>0</v>
      </c>
      <c r="P30" s="6">
        <f t="shared" si="12"/>
        <v>0</v>
      </c>
      <c r="Q30" s="6">
        <f t="shared" si="13"/>
        <v>0</v>
      </c>
      <c r="R30" s="6">
        <f t="shared" si="14"/>
        <v>4.9501634488171012E-3</v>
      </c>
      <c r="S30" s="1">
        <f t="shared" si="15"/>
        <v>2.2858000000000001</v>
      </c>
      <c r="T30" s="1">
        <f t="shared" si="6"/>
        <v>6.7158526646004663E-2</v>
      </c>
      <c r="U30" s="1">
        <f t="shared" si="16"/>
        <v>0</v>
      </c>
      <c r="V30">
        <f t="shared" si="7"/>
        <v>0</v>
      </c>
      <c r="W30">
        <f t="shared" si="8"/>
        <v>4.6348189541756151E-4</v>
      </c>
      <c r="X30" s="1">
        <f t="shared" si="9"/>
        <v>6.7158526646004663E-2</v>
      </c>
    </row>
    <row r="31" spans="1:26" s="1" customFormat="1" x14ac:dyDescent="0.25">
      <c r="A31" s="8" t="s">
        <v>81</v>
      </c>
      <c r="B31" s="8" t="s">
        <v>59</v>
      </c>
      <c r="C31" s="8">
        <f>C83</f>
        <v>0.57440899999999995</v>
      </c>
      <c r="D31" s="8">
        <f>M83</f>
        <v>0.5</v>
      </c>
      <c r="E31" s="8">
        <v>0</v>
      </c>
      <c r="F31" s="8">
        <f>O83</f>
        <v>0.50189099999999998</v>
      </c>
      <c r="G31" s="8">
        <v>1.1000000000000001</v>
      </c>
      <c r="H31" s="8">
        <v>0</v>
      </c>
      <c r="I31" s="8" t="s">
        <v>990</v>
      </c>
      <c r="J31" s="2">
        <f t="shared" si="2"/>
        <v>573321.9295858891</v>
      </c>
      <c r="K31">
        <f t="shared" si="10"/>
        <v>1.7538756480062192E-3</v>
      </c>
      <c r="L31">
        <f t="shared" si="11"/>
        <v>5.2185759557831718E-3</v>
      </c>
      <c r="M31">
        <f t="shared" si="3"/>
        <v>1</v>
      </c>
      <c r="N31" s="6">
        <f t="shared" si="4"/>
        <v>0</v>
      </c>
      <c r="O31" s="12">
        <f t="shared" si="5"/>
        <v>0</v>
      </c>
      <c r="P31" s="6">
        <f t="shared" si="12"/>
        <v>0</v>
      </c>
      <c r="Q31" s="6">
        <f t="shared" si="13"/>
        <v>0</v>
      </c>
      <c r="R31" s="6">
        <f t="shared" si="14"/>
        <v>5.2185759557831718E-3</v>
      </c>
      <c r="S31" s="1">
        <f t="shared" si="15"/>
        <v>0</v>
      </c>
      <c r="T31" s="1">
        <f t="shared" si="6"/>
        <v>0</v>
      </c>
      <c r="U31" s="1">
        <f t="shared" si="16"/>
        <v>5.0766579450731228</v>
      </c>
      <c r="V31">
        <f t="shared" si="7"/>
        <v>1.6739552067493443E-2</v>
      </c>
      <c r="W31">
        <f t="shared" si="8"/>
        <v>1.1552485898891265E-4</v>
      </c>
      <c r="X31" s="1">
        <f t="shared" si="9"/>
        <v>1.6739552067493443E-2</v>
      </c>
    </row>
    <row r="32" spans="1:26" s="1" customFormat="1" x14ac:dyDescent="0.25">
      <c r="A32" s="8" t="s">
        <v>82</v>
      </c>
      <c r="B32" s="8" t="s">
        <v>59</v>
      </c>
      <c r="C32" s="8">
        <f>C84</f>
        <v>5.5711659999999998</v>
      </c>
      <c r="D32" s="8">
        <f>M84</f>
        <v>3.1</v>
      </c>
      <c r="E32" s="8">
        <v>0</v>
      </c>
      <c r="F32" s="8">
        <f>O84</f>
        <v>3.6481349999999999</v>
      </c>
      <c r="G32" s="8">
        <v>1</v>
      </c>
      <c r="H32" s="8">
        <v>0.05</v>
      </c>
      <c r="I32" s="8" t="s">
        <v>990</v>
      </c>
      <c r="J32" s="2">
        <f t="shared" si="2"/>
        <v>3554595.9634325127</v>
      </c>
      <c r="K32">
        <f t="shared" si="10"/>
        <v>7.0437341048499539E-4</v>
      </c>
      <c r="L32">
        <f t="shared" si="11"/>
        <v>3.5642952133331704E-3</v>
      </c>
      <c r="M32">
        <f t="shared" si="3"/>
        <v>0.95</v>
      </c>
      <c r="N32" s="6">
        <f t="shared" si="4"/>
        <v>0.15500000000000003</v>
      </c>
      <c r="O32" s="12">
        <f t="shared" si="5"/>
        <v>177729.79817162565</v>
      </c>
      <c r="P32" s="6">
        <f t="shared" si="12"/>
        <v>3.1500536547756251E-3</v>
      </c>
      <c r="Q32" s="6">
        <f t="shared" si="13"/>
        <v>6.5959851647822308E-3</v>
      </c>
      <c r="R32" s="6">
        <f t="shared" si="14"/>
        <v>3.3919986378328402E-3</v>
      </c>
      <c r="S32" s="1">
        <f t="shared" si="15"/>
        <v>0</v>
      </c>
      <c r="T32" s="1">
        <f t="shared" si="6"/>
        <v>0</v>
      </c>
      <c r="U32" s="1">
        <f t="shared" si="16"/>
        <v>1.9165553217094113</v>
      </c>
      <c r="V32">
        <f t="shared" si="7"/>
        <v>3.6217888547217997E-2</v>
      </c>
      <c r="W32">
        <f t="shared" si="8"/>
        <v>2.4995092165091783E-4</v>
      </c>
      <c r="X32" s="1">
        <f t="shared" si="9"/>
        <v>3.6217888547217997E-2</v>
      </c>
    </row>
    <row r="33" spans="1:24" s="1" customFormat="1" x14ac:dyDescent="0.25">
      <c r="A33" s="8" t="s">
        <v>83</v>
      </c>
      <c r="B33" s="8" t="s">
        <v>58</v>
      </c>
      <c r="C33" s="8">
        <f>C85</f>
        <v>1.3527020000000001</v>
      </c>
      <c r="D33" s="8">
        <f>G85</f>
        <v>0.4</v>
      </c>
      <c r="E33" s="8">
        <f>J85</f>
        <v>0.5</v>
      </c>
      <c r="F33" s="8">
        <f>O85</f>
        <v>0</v>
      </c>
      <c r="G33" s="8">
        <v>1.05</v>
      </c>
      <c r="H33" s="8">
        <v>0</v>
      </c>
      <c r="I33" s="8" t="s">
        <v>990</v>
      </c>
      <c r="J33" s="2">
        <f t="shared" si="2"/>
        <v>458657.54366871127</v>
      </c>
      <c r="K33">
        <f t="shared" si="10"/>
        <v>1.9608925865117E-3</v>
      </c>
      <c r="L33">
        <f t="shared" si="11"/>
        <v>5.4567494275686934E-3</v>
      </c>
      <c r="M33">
        <f t="shared" ref="M33:M41" si="17">1-H33</f>
        <v>1</v>
      </c>
      <c r="N33" s="6">
        <f t="shared" ref="N33:N41" si="18">H33*D33</f>
        <v>0</v>
      </c>
      <c r="O33" s="12">
        <f t="shared" si="5"/>
        <v>0</v>
      </c>
      <c r="P33" s="6">
        <f t="shared" si="12"/>
        <v>0</v>
      </c>
      <c r="Q33" s="6">
        <f t="shared" si="13"/>
        <v>0</v>
      </c>
      <c r="R33" s="6">
        <f t="shared" ref="R33:R41" si="19">L33-Q33*H33+P33*H33</f>
        <v>5.4567494275686934E-3</v>
      </c>
      <c r="S33" s="1">
        <f t="shared" ref="S33:S41" si="20">IF(OR(B33="wing",B33="Wing",B33="WING"),4.286*E33+1,0)</f>
        <v>3.1429999999999998</v>
      </c>
      <c r="T33" s="1">
        <f t="shared" si="6"/>
        <v>2.4359581555144019E-2</v>
      </c>
      <c r="U33" s="1">
        <f t="shared" ref="U33:U41" si="21">IF(OR(B33="body",B33="Body",B33="BODY"),8.5-5.716*F33^0.5+1.257*F33-0.0189*F33^2,0)</f>
        <v>0</v>
      </c>
      <c r="V33">
        <f t="shared" si="7"/>
        <v>0</v>
      </c>
      <c r="W33">
        <f t="shared" si="8"/>
        <v>1.6811305421079377E-4</v>
      </c>
      <c r="X33" s="1">
        <f t="shared" si="9"/>
        <v>2.4359581555144019E-2</v>
      </c>
    </row>
    <row r="34" spans="1:24" s="1" customFormat="1" x14ac:dyDescent="0.25">
      <c r="A34" s="8"/>
      <c r="B34" s="8"/>
      <c r="C34" s="8">
        <v>0</v>
      </c>
      <c r="D34" s="8">
        <v>0</v>
      </c>
      <c r="E34" s="8">
        <v>0</v>
      </c>
      <c r="F34" s="8">
        <v>0</v>
      </c>
      <c r="G34" s="8">
        <v>0</v>
      </c>
      <c r="H34" s="8">
        <v>0</v>
      </c>
      <c r="I34" s="8" t="s">
        <v>990</v>
      </c>
      <c r="J34" s="2">
        <f t="shared" si="2"/>
        <v>0</v>
      </c>
      <c r="K34">
        <f t="shared" si="10"/>
        <v>0</v>
      </c>
      <c r="L34">
        <f t="shared" si="11"/>
        <v>0</v>
      </c>
      <c r="M34">
        <f t="shared" si="17"/>
        <v>1</v>
      </c>
      <c r="N34" s="6">
        <f t="shared" si="18"/>
        <v>0</v>
      </c>
      <c r="O34" s="12">
        <f t="shared" si="5"/>
        <v>0</v>
      </c>
      <c r="P34" s="6">
        <f t="shared" si="12"/>
        <v>0</v>
      </c>
      <c r="Q34" s="6">
        <f t="shared" si="13"/>
        <v>0</v>
      </c>
      <c r="R34" s="6">
        <f t="shared" si="19"/>
        <v>0</v>
      </c>
      <c r="S34" s="1">
        <f t="shared" si="20"/>
        <v>0</v>
      </c>
      <c r="T34" s="1">
        <f t="shared" si="6"/>
        <v>0</v>
      </c>
      <c r="U34" s="1">
        <f t="shared" si="21"/>
        <v>0</v>
      </c>
      <c r="V34">
        <f t="shared" si="7"/>
        <v>0</v>
      </c>
      <c r="W34">
        <f t="shared" si="8"/>
        <v>0</v>
      </c>
      <c r="X34" s="1">
        <f t="shared" si="9"/>
        <v>0</v>
      </c>
    </row>
    <row r="35" spans="1:24" s="1" customFormat="1" x14ac:dyDescent="0.25">
      <c r="A35" s="8"/>
      <c r="B35" s="8"/>
      <c r="C35" s="8">
        <v>0</v>
      </c>
      <c r="D35" s="8">
        <v>0</v>
      </c>
      <c r="E35" s="8">
        <v>0</v>
      </c>
      <c r="F35" s="8">
        <v>0</v>
      </c>
      <c r="G35" s="8">
        <v>0</v>
      </c>
      <c r="H35" s="8">
        <v>0</v>
      </c>
      <c r="I35" s="8" t="s">
        <v>990</v>
      </c>
      <c r="J35" s="2">
        <f t="shared" si="2"/>
        <v>0</v>
      </c>
      <c r="K35">
        <f t="shared" si="10"/>
        <v>0</v>
      </c>
      <c r="L35">
        <f t="shared" si="11"/>
        <v>0</v>
      </c>
      <c r="M35">
        <f t="shared" si="17"/>
        <v>1</v>
      </c>
      <c r="N35" s="6">
        <f t="shared" si="18"/>
        <v>0</v>
      </c>
      <c r="O35" s="12">
        <f t="shared" si="5"/>
        <v>0</v>
      </c>
      <c r="P35" s="6">
        <f t="shared" si="12"/>
        <v>0</v>
      </c>
      <c r="Q35" s="6">
        <f t="shared" si="13"/>
        <v>0</v>
      </c>
      <c r="R35" s="6">
        <f t="shared" si="19"/>
        <v>0</v>
      </c>
      <c r="S35" s="1">
        <f t="shared" si="20"/>
        <v>0</v>
      </c>
      <c r="T35" s="1">
        <f t="shared" si="6"/>
        <v>0</v>
      </c>
      <c r="U35" s="1">
        <f t="shared" si="21"/>
        <v>0</v>
      </c>
      <c r="V35">
        <f t="shared" si="7"/>
        <v>0</v>
      </c>
      <c r="W35">
        <f t="shared" si="8"/>
        <v>0</v>
      </c>
      <c r="X35" s="1">
        <f t="shared" si="9"/>
        <v>0</v>
      </c>
    </row>
    <row r="36" spans="1:24" s="1" customFormat="1" x14ac:dyDescent="0.25">
      <c r="A36" s="8"/>
      <c r="B36" s="8"/>
      <c r="C36" s="8">
        <v>0</v>
      </c>
      <c r="D36" s="8">
        <v>0</v>
      </c>
      <c r="E36" s="8">
        <v>0</v>
      </c>
      <c r="F36" s="8">
        <v>0</v>
      </c>
      <c r="G36" s="8">
        <v>0</v>
      </c>
      <c r="H36" s="8">
        <v>0</v>
      </c>
      <c r="I36" s="8" t="s">
        <v>990</v>
      </c>
      <c r="J36" s="2">
        <f t="shared" si="2"/>
        <v>0</v>
      </c>
      <c r="K36">
        <f t="shared" si="10"/>
        <v>0</v>
      </c>
      <c r="L36">
        <f t="shared" si="11"/>
        <v>0</v>
      </c>
      <c r="M36">
        <f t="shared" si="17"/>
        <v>1</v>
      </c>
      <c r="N36" s="6">
        <f t="shared" si="18"/>
        <v>0</v>
      </c>
      <c r="O36" s="12">
        <f t="shared" si="5"/>
        <v>0</v>
      </c>
      <c r="P36" s="6">
        <f t="shared" si="12"/>
        <v>0</v>
      </c>
      <c r="Q36" s="6">
        <f t="shared" si="13"/>
        <v>0</v>
      </c>
      <c r="R36" s="6">
        <f t="shared" si="19"/>
        <v>0</v>
      </c>
      <c r="S36" s="1">
        <f t="shared" si="20"/>
        <v>0</v>
      </c>
      <c r="T36" s="1">
        <f t="shared" si="6"/>
        <v>0</v>
      </c>
      <c r="U36" s="1">
        <f t="shared" si="21"/>
        <v>0</v>
      </c>
      <c r="V36">
        <f t="shared" si="7"/>
        <v>0</v>
      </c>
      <c r="W36">
        <f t="shared" si="8"/>
        <v>0</v>
      </c>
      <c r="X36" s="1">
        <f t="shared" si="9"/>
        <v>0</v>
      </c>
    </row>
    <row r="37" spans="1:24" s="1" customFormat="1" x14ac:dyDescent="0.25">
      <c r="A37" s="8"/>
      <c r="B37" s="8"/>
      <c r="C37" s="8">
        <v>0</v>
      </c>
      <c r="D37" s="8">
        <v>0</v>
      </c>
      <c r="E37" s="8">
        <v>0</v>
      </c>
      <c r="F37" s="8">
        <v>0</v>
      </c>
      <c r="G37" s="8">
        <v>0</v>
      </c>
      <c r="H37" s="8">
        <v>0</v>
      </c>
      <c r="I37" s="8" t="s">
        <v>990</v>
      </c>
      <c r="J37" s="2">
        <f t="shared" si="2"/>
        <v>0</v>
      </c>
      <c r="K37">
        <f t="shared" si="10"/>
        <v>0</v>
      </c>
      <c r="L37">
        <f t="shared" si="11"/>
        <v>0</v>
      </c>
      <c r="M37">
        <f t="shared" si="17"/>
        <v>1</v>
      </c>
      <c r="N37" s="6">
        <f t="shared" si="18"/>
        <v>0</v>
      </c>
      <c r="O37" s="12">
        <f t="shared" si="5"/>
        <v>0</v>
      </c>
      <c r="P37" s="6">
        <f t="shared" si="12"/>
        <v>0</v>
      </c>
      <c r="Q37" s="6">
        <f t="shared" si="13"/>
        <v>0</v>
      </c>
      <c r="R37" s="6">
        <f t="shared" si="19"/>
        <v>0</v>
      </c>
      <c r="S37" s="1">
        <f t="shared" si="20"/>
        <v>0</v>
      </c>
      <c r="T37" s="1">
        <f t="shared" si="6"/>
        <v>0</v>
      </c>
      <c r="U37" s="1">
        <f t="shared" si="21"/>
        <v>0</v>
      </c>
      <c r="V37">
        <f t="shared" si="7"/>
        <v>0</v>
      </c>
      <c r="W37">
        <f t="shared" si="8"/>
        <v>0</v>
      </c>
      <c r="X37" s="1">
        <f t="shared" si="9"/>
        <v>0</v>
      </c>
    </row>
    <row r="38" spans="1:24" s="1" customFormat="1" x14ac:dyDescent="0.25">
      <c r="A38" s="8"/>
      <c r="B38" s="8"/>
      <c r="C38" s="8">
        <v>0</v>
      </c>
      <c r="D38" s="8">
        <v>0</v>
      </c>
      <c r="E38" s="8">
        <v>0</v>
      </c>
      <c r="F38" s="8">
        <v>0</v>
      </c>
      <c r="G38" s="8">
        <v>0</v>
      </c>
      <c r="H38" s="8">
        <v>0</v>
      </c>
      <c r="I38" s="8" t="s">
        <v>990</v>
      </c>
      <c r="J38" s="2">
        <f t="shared" si="2"/>
        <v>0</v>
      </c>
      <c r="K38">
        <f t="shared" si="10"/>
        <v>0</v>
      </c>
      <c r="L38">
        <f t="shared" si="11"/>
        <v>0</v>
      </c>
      <c r="M38">
        <f t="shared" si="17"/>
        <v>1</v>
      </c>
      <c r="N38" s="6">
        <f t="shared" si="18"/>
        <v>0</v>
      </c>
      <c r="O38" s="12">
        <f t="shared" si="5"/>
        <v>0</v>
      </c>
      <c r="P38" s="6">
        <f t="shared" si="12"/>
        <v>0</v>
      </c>
      <c r="Q38" s="6">
        <f t="shared" si="13"/>
        <v>0</v>
      </c>
      <c r="R38" s="6">
        <f t="shared" si="19"/>
        <v>0</v>
      </c>
      <c r="S38" s="1">
        <f t="shared" si="20"/>
        <v>0</v>
      </c>
      <c r="T38" s="1">
        <f t="shared" si="6"/>
        <v>0</v>
      </c>
      <c r="U38" s="1">
        <f t="shared" si="21"/>
        <v>0</v>
      </c>
      <c r="V38">
        <f t="shared" si="7"/>
        <v>0</v>
      </c>
      <c r="W38">
        <f t="shared" si="8"/>
        <v>0</v>
      </c>
      <c r="X38" s="1">
        <f t="shared" si="9"/>
        <v>0</v>
      </c>
    </row>
    <row r="39" spans="1:24" s="1" customFormat="1" x14ac:dyDescent="0.25">
      <c r="A39" s="8"/>
      <c r="B39" s="8"/>
      <c r="C39" s="8">
        <v>0</v>
      </c>
      <c r="D39" s="8">
        <v>0</v>
      </c>
      <c r="E39" s="8">
        <v>0</v>
      </c>
      <c r="F39" s="8">
        <v>0</v>
      </c>
      <c r="G39" s="8">
        <v>0</v>
      </c>
      <c r="H39" s="8">
        <v>0</v>
      </c>
      <c r="I39" s="8" t="s">
        <v>990</v>
      </c>
      <c r="J39" s="2">
        <f t="shared" si="2"/>
        <v>0</v>
      </c>
      <c r="K39">
        <f t="shared" si="10"/>
        <v>0</v>
      </c>
      <c r="L39">
        <f t="shared" si="11"/>
        <v>0</v>
      </c>
      <c r="M39">
        <f t="shared" si="17"/>
        <v>1</v>
      </c>
      <c r="N39" s="6">
        <f t="shared" si="18"/>
        <v>0</v>
      </c>
      <c r="O39" s="12">
        <f t="shared" si="5"/>
        <v>0</v>
      </c>
      <c r="P39" s="6">
        <f t="shared" si="12"/>
        <v>0</v>
      </c>
      <c r="Q39" s="6">
        <f t="shared" si="13"/>
        <v>0</v>
      </c>
      <c r="R39" s="6">
        <f t="shared" si="19"/>
        <v>0</v>
      </c>
      <c r="S39" s="1">
        <f t="shared" si="20"/>
        <v>0</v>
      </c>
      <c r="T39" s="1">
        <f t="shared" si="6"/>
        <v>0</v>
      </c>
      <c r="U39" s="1">
        <f t="shared" si="21"/>
        <v>0</v>
      </c>
      <c r="V39">
        <f t="shared" si="7"/>
        <v>0</v>
      </c>
      <c r="W39">
        <f t="shared" si="8"/>
        <v>0</v>
      </c>
      <c r="X39" s="1">
        <f t="shared" si="9"/>
        <v>0</v>
      </c>
    </row>
    <row r="40" spans="1:24" s="1" customFormat="1" x14ac:dyDescent="0.25">
      <c r="A40" s="8"/>
      <c r="B40" s="8"/>
      <c r="C40" s="8">
        <v>0</v>
      </c>
      <c r="D40" s="8">
        <v>0</v>
      </c>
      <c r="E40" s="8">
        <v>0</v>
      </c>
      <c r="F40" s="8">
        <v>0</v>
      </c>
      <c r="G40" s="8">
        <v>0</v>
      </c>
      <c r="H40" s="8">
        <v>0</v>
      </c>
      <c r="I40" s="8" t="s">
        <v>990</v>
      </c>
      <c r="J40" s="2">
        <f t="shared" si="2"/>
        <v>0</v>
      </c>
      <c r="K40">
        <f t="shared" si="10"/>
        <v>0</v>
      </c>
      <c r="L40">
        <f t="shared" si="11"/>
        <v>0</v>
      </c>
      <c r="M40">
        <f t="shared" si="17"/>
        <v>1</v>
      </c>
      <c r="N40" s="6">
        <f t="shared" si="18"/>
        <v>0</v>
      </c>
      <c r="O40" s="12">
        <f t="shared" si="5"/>
        <v>0</v>
      </c>
      <c r="P40" s="6">
        <f t="shared" si="12"/>
        <v>0</v>
      </c>
      <c r="Q40" s="6">
        <f t="shared" si="13"/>
        <v>0</v>
      </c>
      <c r="R40" s="6">
        <f t="shared" si="19"/>
        <v>0</v>
      </c>
      <c r="S40" s="1">
        <f t="shared" si="20"/>
        <v>0</v>
      </c>
      <c r="T40" s="1">
        <f t="shared" si="6"/>
        <v>0</v>
      </c>
      <c r="U40" s="1">
        <f t="shared" si="21"/>
        <v>0</v>
      </c>
      <c r="V40">
        <f t="shared" si="7"/>
        <v>0</v>
      </c>
      <c r="W40">
        <f t="shared" si="8"/>
        <v>0</v>
      </c>
      <c r="X40" s="1">
        <f t="shared" si="9"/>
        <v>0</v>
      </c>
    </row>
    <row r="41" spans="1:24" s="1" customFormat="1" x14ac:dyDescent="0.25">
      <c r="A41" s="8"/>
      <c r="B41" s="8"/>
      <c r="C41" s="8">
        <v>0</v>
      </c>
      <c r="D41" s="8">
        <v>0</v>
      </c>
      <c r="E41" s="8">
        <v>0</v>
      </c>
      <c r="F41" s="8">
        <v>0</v>
      </c>
      <c r="G41" s="8">
        <v>0</v>
      </c>
      <c r="H41" s="8">
        <v>0</v>
      </c>
      <c r="I41" s="8" t="s">
        <v>990</v>
      </c>
      <c r="J41" s="2">
        <f t="shared" si="2"/>
        <v>0</v>
      </c>
      <c r="K41">
        <f t="shared" si="10"/>
        <v>0</v>
      </c>
      <c r="L41">
        <f t="shared" si="11"/>
        <v>0</v>
      </c>
      <c r="M41">
        <f t="shared" si="17"/>
        <v>1</v>
      </c>
      <c r="N41" s="6">
        <f t="shared" si="18"/>
        <v>0</v>
      </c>
      <c r="O41" s="12">
        <f t="shared" si="5"/>
        <v>0</v>
      </c>
      <c r="P41" s="6">
        <f t="shared" si="12"/>
        <v>0</v>
      </c>
      <c r="Q41" s="6">
        <f t="shared" si="13"/>
        <v>0</v>
      </c>
      <c r="R41" s="6">
        <f t="shared" si="19"/>
        <v>0</v>
      </c>
      <c r="S41" s="1">
        <f t="shared" si="20"/>
        <v>0</v>
      </c>
      <c r="T41" s="1">
        <f t="shared" si="6"/>
        <v>0</v>
      </c>
      <c r="U41" s="1">
        <f t="shared" si="21"/>
        <v>0</v>
      </c>
      <c r="V41">
        <f t="shared" si="7"/>
        <v>0</v>
      </c>
      <c r="W41">
        <f t="shared" si="8"/>
        <v>0</v>
      </c>
      <c r="X41" s="1">
        <f t="shared" si="9"/>
        <v>0</v>
      </c>
    </row>
    <row r="42" spans="1:24" x14ac:dyDescent="0.25">
      <c r="A42" s="1" t="s">
        <v>73</v>
      </c>
      <c r="C42">
        <f>SUM(C24:C41)</f>
        <v>605.85478699999999</v>
      </c>
      <c r="D42" s="7"/>
      <c r="E42" s="7"/>
      <c r="F42" s="7"/>
      <c r="G42" s="7"/>
      <c r="J42" s="2"/>
      <c r="S42" s="1" t="s">
        <v>74</v>
      </c>
      <c r="W42">
        <f>SUM(W24:W41)</f>
        <v>1.7541841749201016E-2</v>
      </c>
    </row>
    <row r="43" spans="1:24" x14ac:dyDescent="0.25">
      <c r="J43" s="2"/>
    </row>
    <row r="44" spans="1:24" x14ac:dyDescent="0.25">
      <c r="A44" s="13" t="s">
        <v>112</v>
      </c>
    </row>
    <row r="45" spans="1:24" x14ac:dyDescent="0.25">
      <c r="A45" t="s">
        <v>17</v>
      </c>
      <c r="B45" s="8">
        <v>-1</v>
      </c>
      <c r="I45">
        <f>177/145</f>
        <v>1.2206896551724138</v>
      </c>
    </row>
    <row r="47" spans="1:24" x14ac:dyDescent="0.25">
      <c r="A47" s="13" t="s">
        <v>4</v>
      </c>
      <c r="B47" s="13" t="s">
        <v>16</v>
      </c>
      <c r="C47" s="1" t="s">
        <v>67</v>
      </c>
    </row>
    <row r="48" spans="1:24" x14ac:dyDescent="0.25">
      <c r="A48" s="8"/>
      <c r="B48" s="9">
        <v>0</v>
      </c>
      <c r="C48">
        <f>(0-Cp)*B48/Ref_Area</f>
        <v>0</v>
      </c>
    </row>
    <row r="49" spans="1:11" x14ac:dyDescent="0.25">
      <c r="A49" s="8"/>
      <c r="B49" s="9">
        <v>0</v>
      </c>
      <c r="C49">
        <f t="shared" ref="C49:C56" si="22">(1-Cp)*B49/Ref_Area</f>
        <v>0</v>
      </c>
    </row>
    <row r="50" spans="1:11" x14ac:dyDescent="0.25">
      <c r="A50" s="8"/>
      <c r="B50" s="9">
        <v>0</v>
      </c>
      <c r="C50">
        <f t="shared" si="22"/>
        <v>0</v>
      </c>
    </row>
    <row r="51" spans="1:11" x14ac:dyDescent="0.25">
      <c r="A51" s="8"/>
      <c r="B51" s="9">
        <v>0</v>
      </c>
      <c r="C51">
        <f t="shared" si="22"/>
        <v>0</v>
      </c>
    </row>
    <row r="52" spans="1:11" x14ac:dyDescent="0.25">
      <c r="A52" s="8"/>
      <c r="B52" s="9">
        <v>0</v>
      </c>
      <c r="C52">
        <f t="shared" si="22"/>
        <v>0</v>
      </c>
    </row>
    <row r="53" spans="1:11" x14ac:dyDescent="0.25">
      <c r="A53" s="8"/>
      <c r="B53" s="9">
        <v>0</v>
      </c>
      <c r="C53">
        <f t="shared" si="22"/>
        <v>0</v>
      </c>
    </row>
    <row r="54" spans="1:11" x14ac:dyDescent="0.25">
      <c r="A54" s="8"/>
      <c r="B54" s="9">
        <v>0</v>
      </c>
      <c r="C54">
        <f t="shared" si="22"/>
        <v>0</v>
      </c>
    </row>
    <row r="55" spans="1:11" x14ac:dyDescent="0.25">
      <c r="A55" s="8"/>
      <c r="B55" s="9">
        <v>0</v>
      </c>
      <c r="C55">
        <f t="shared" si="22"/>
        <v>0</v>
      </c>
    </row>
    <row r="56" spans="1:11" x14ac:dyDescent="0.25">
      <c r="A56" s="8"/>
      <c r="B56" s="9">
        <v>0</v>
      </c>
      <c r="C56">
        <f t="shared" si="22"/>
        <v>0</v>
      </c>
    </row>
    <row r="57" spans="1:11" x14ac:dyDescent="0.25">
      <c r="A57" s="1" t="s">
        <v>73</v>
      </c>
      <c r="B57">
        <f>SUM(B48:B56)</f>
        <v>0</v>
      </c>
      <c r="C57">
        <f>SUM(C48:C56)</f>
        <v>0</v>
      </c>
    </row>
    <row r="59" spans="1:11" x14ac:dyDescent="0.25">
      <c r="K59" s="3"/>
    </row>
    <row r="60" spans="1:11" x14ac:dyDescent="0.25">
      <c r="A60" s="13" t="s">
        <v>65</v>
      </c>
      <c r="B60" s="13">
        <f>(C57+W42)</f>
        <v>1.7541841749201016E-2</v>
      </c>
      <c r="C60" s="1" t="s">
        <v>111</v>
      </c>
    </row>
    <row r="62" spans="1:11" x14ac:dyDescent="0.25">
      <c r="A62" t="s">
        <v>180</v>
      </c>
      <c r="B62" s="42">
        <v>1.07518778014118</v>
      </c>
      <c r="C62" s="1" t="s">
        <v>181</v>
      </c>
    </row>
    <row r="64" spans="1:11" x14ac:dyDescent="0.25">
      <c r="A64" s="13" t="s">
        <v>66</v>
      </c>
      <c r="B64" s="13">
        <f>B60*B62</f>
        <v>1.8860773889911316E-2</v>
      </c>
      <c r="C64" s="1" t="s">
        <v>738</v>
      </c>
    </row>
    <row r="65" spans="1:21" x14ac:dyDescent="0.25">
      <c r="C65" s="15"/>
      <c r="D65" s="15"/>
      <c r="E65" s="15"/>
      <c r="F65" s="15"/>
      <c r="G65" s="15"/>
      <c r="H65" s="15"/>
      <c r="I65" s="15"/>
      <c r="J65" s="15"/>
      <c r="K65" s="15"/>
      <c r="L65" s="15"/>
      <c r="M65" s="15"/>
      <c r="N65" s="15"/>
      <c r="O65" s="15"/>
      <c r="P65" s="15"/>
      <c r="Q65" s="15"/>
    </row>
    <row r="66" spans="1:21" x14ac:dyDescent="0.25">
      <c r="A66" s="1"/>
      <c r="B66" s="15"/>
      <c r="C66" s="73"/>
      <c r="D66" s="15"/>
      <c r="E66" s="15"/>
      <c r="F66" s="15"/>
      <c r="G66" s="15"/>
      <c r="H66" s="15"/>
      <c r="I66" s="15"/>
      <c r="J66" s="15"/>
      <c r="K66" s="15"/>
      <c r="L66" s="15"/>
      <c r="M66" s="15"/>
      <c r="N66" s="15"/>
      <c r="O66" s="15"/>
      <c r="P66" s="15"/>
      <c r="Q66" s="15"/>
    </row>
    <row r="67" spans="1:21" x14ac:dyDescent="0.25">
      <c r="B67" s="15"/>
      <c r="C67" s="15"/>
      <c r="D67" s="15"/>
      <c r="E67" s="15"/>
      <c r="F67" s="15"/>
      <c r="G67" s="15"/>
      <c r="H67" s="15"/>
      <c r="I67" s="15"/>
      <c r="J67" s="15"/>
      <c r="K67" s="15"/>
      <c r="L67" s="15"/>
      <c r="M67" s="15"/>
      <c r="N67" s="15"/>
      <c r="O67" s="15"/>
      <c r="P67" s="15"/>
      <c r="Q67" s="15"/>
    </row>
    <row r="68" spans="1:21" x14ac:dyDescent="0.25">
      <c r="A68" s="11" t="s">
        <v>113</v>
      </c>
      <c r="B68" s="16"/>
      <c r="C68" s="16"/>
      <c r="D68" s="16"/>
      <c r="E68" s="16"/>
      <c r="F68" s="16"/>
      <c r="G68" s="16"/>
      <c r="H68" s="16"/>
      <c r="I68" s="16"/>
      <c r="J68" s="16"/>
      <c r="K68" s="16"/>
      <c r="L68" s="16"/>
      <c r="M68" s="17"/>
      <c r="N68" s="16"/>
      <c r="O68" s="16"/>
      <c r="P68" s="16"/>
      <c r="Q68" s="16"/>
      <c r="R68" s="10"/>
      <c r="S68" s="10"/>
      <c r="T68" s="10"/>
      <c r="U68" s="4"/>
    </row>
    <row r="69" spans="1:21" x14ac:dyDescent="0.25">
      <c r="A69" s="11" t="s">
        <v>23</v>
      </c>
      <c r="B69" s="18" t="s">
        <v>24</v>
      </c>
      <c r="C69" s="18" t="s">
        <v>25</v>
      </c>
      <c r="D69" s="18" t="s">
        <v>26</v>
      </c>
      <c r="E69" s="18" t="s">
        <v>27</v>
      </c>
      <c r="F69" s="18" t="s">
        <v>28</v>
      </c>
      <c r="G69" s="18" t="s">
        <v>29</v>
      </c>
      <c r="H69" s="18" t="s">
        <v>30</v>
      </c>
      <c r="I69" s="18" t="s">
        <v>31</v>
      </c>
      <c r="J69" s="18" t="s">
        <v>32</v>
      </c>
      <c r="K69" s="18" t="s">
        <v>33</v>
      </c>
      <c r="L69" s="18" t="s">
        <v>34</v>
      </c>
      <c r="M69" s="18" t="s">
        <v>35</v>
      </c>
      <c r="N69" s="18" t="s">
        <v>36</v>
      </c>
      <c r="O69" s="18" t="s">
        <v>37</v>
      </c>
      <c r="Q69" s="15"/>
    </row>
    <row r="70" spans="1:21" x14ac:dyDescent="0.25">
      <c r="A70" s="25" t="s">
        <v>11</v>
      </c>
      <c r="B70" s="26">
        <v>151.881958</v>
      </c>
      <c r="C70" s="26">
        <v>129.368359</v>
      </c>
      <c r="D70" s="26">
        <v>30.352</v>
      </c>
      <c r="E70" s="26">
        <v>27.067813999999998</v>
      </c>
      <c r="F70" s="26">
        <v>0.51020100000000002</v>
      </c>
      <c r="G70" s="26">
        <v>3.8943059999999998</v>
      </c>
      <c r="H70" s="26">
        <v>5.1020089999999998</v>
      </c>
      <c r="I70" s="26">
        <v>0.12</v>
      </c>
      <c r="J70" s="26">
        <v>0.156941</v>
      </c>
      <c r="K70" s="26">
        <v>0.17</v>
      </c>
      <c r="L70" s="26">
        <v>1.346514</v>
      </c>
      <c r="M70" s="26">
        <v>0</v>
      </c>
      <c r="N70" s="26">
        <v>0</v>
      </c>
      <c r="O70" s="26">
        <v>0</v>
      </c>
      <c r="Q70" s="15"/>
    </row>
    <row r="71" spans="1:21" x14ac:dyDescent="0.25">
      <c r="A71" s="25" t="s">
        <v>11</v>
      </c>
      <c r="B71" s="26">
        <v>151.881958</v>
      </c>
      <c r="C71" s="26">
        <v>129.368987</v>
      </c>
      <c r="D71" s="26">
        <v>30.352</v>
      </c>
      <c r="E71" s="26">
        <v>27.067945000000002</v>
      </c>
      <c r="F71" s="26">
        <v>0.51020100000000002</v>
      </c>
      <c r="G71" s="26">
        <v>3.8943059999999998</v>
      </c>
      <c r="H71" s="26">
        <v>5.1020089999999998</v>
      </c>
      <c r="I71" s="26">
        <v>0.12</v>
      </c>
      <c r="J71" s="26">
        <v>0.156941</v>
      </c>
      <c r="K71" s="26">
        <v>0.17</v>
      </c>
      <c r="L71" s="26">
        <v>1.346514</v>
      </c>
      <c r="M71" s="26">
        <v>0</v>
      </c>
      <c r="N71" s="26">
        <v>0</v>
      </c>
      <c r="O71" s="26">
        <v>0</v>
      </c>
      <c r="Q71" s="15"/>
    </row>
    <row r="72" spans="1:21" x14ac:dyDescent="0.25">
      <c r="A72" s="25" t="s">
        <v>38</v>
      </c>
      <c r="B72" s="26">
        <v>240.07036199999999</v>
      </c>
      <c r="C72" s="26">
        <v>222.477665</v>
      </c>
      <c r="D72" s="26">
        <v>203.26853800000001</v>
      </c>
      <c r="E72" s="26">
        <v>197.22502499999999</v>
      </c>
      <c r="F72" s="26">
        <v>0</v>
      </c>
      <c r="G72" s="26">
        <v>0</v>
      </c>
      <c r="H72" s="26">
        <v>0</v>
      </c>
      <c r="I72" s="26">
        <v>0</v>
      </c>
      <c r="J72" s="26">
        <v>0</v>
      </c>
      <c r="K72" s="26">
        <v>0</v>
      </c>
      <c r="L72" s="26">
        <v>0</v>
      </c>
      <c r="M72" s="26">
        <v>23</v>
      </c>
      <c r="N72" s="26">
        <v>17.996829999999999</v>
      </c>
      <c r="O72" s="26">
        <v>4.8047940000000002</v>
      </c>
      <c r="Q72" s="15"/>
    </row>
    <row r="73" spans="1:21" x14ac:dyDescent="0.25">
      <c r="A73" s="25" t="s">
        <v>39</v>
      </c>
      <c r="B73" s="26">
        <v>29.170697000000001</v>
      </c>
      <c r="C73" s="26">
        <v>27.443028000000002</v>
      </c>
      <c r="D73" s="26">
        <v>2.3662070000000002</v>
      </c>
      <c r="E73" s="26">
        <v>2.3306770000000001</v>
      </c>
      <c r="F73" s="26">
        <v>1</v>
      </c>
      <c r="G73" s="26">
        <v>2.1698040000000001</v>
      </c>
      <c r="H73" s="26">
        <v>2.7</v>
      </c>
      <c r="I73" s="26">
        <v>0.1</v>
      </c>
      <c r="J73" s="26">
        <v>0.109586</v>
      </c>
      <c r="K73" s="26">
        <v>0.12</v>
      </c>
      <c r="L73" s="26">
        <v>6.2758060000000002</v>
      </c>
      <c r="M73" s="26">
        <v>0</v>
      </c>
      <c r="N73" s="26">
        <v>0</v>
      </c>
      <c r="O73" s="26">
        <v>0</v>
      </c>
      <c r="Q73" s="15"/>
    </row>
    <row r="74" spans="1:21" s="5" customFormat="1" x14ac:dyDescent="0.25">
      <c r="A74" s="27" t="s">
        <v>39</v>
      </c>
      <c r="B74" s="26">
        <v>29.170697000000001</v>
      </c>
      <c r="C74" s="26">
        <v>27.443028000000002</v>
      </c>
      <c r="D74" s="26">
        <v>2.3662070000000002</v>
      </c>
      <c r="E74" s="26">
        <v>2.3306770000000001</v>
      </c>
      <c r="F74" s="26">
        <v>1</v>
      </c>
      <c r="G74" s="26">
        <v>2.1698040000000001</v>
      </c>
      <c r="H74" s="26">
        <v>2.7</v>
      </c>
      <c r="I74" s="26">
        <v>0.1</v>
      </c>
      <c r="J74" s="26">
        <v>0.109586</v>
      </c>
      <c r="K74" s="26">
        <v>0.12</v>
      </c>
      <c r="L74" s="26">
        <v>6.2758060000000002</v>
      </c>
      <c r="M74" s="26">
        <v>0</v>
      </c>
      <c r="N74" s="26">
        <v>0</v>
      </c>
      <c r="O74" s="26">
        <v>0</v>
      </c>
      <c r="Q74" s="16"/>
    </row>
    <row r="75" spans="1:21" x14ac:dyDescent="0.25">
      <c r="A75" s="25" t="s">
        <v>40</v>
      </c>
      <c r="B75" s="26">
        <v>44.081766000000002</v>
      </c>
      <c r="C75" s="26">
        <v>38.406747000000003</v>
      </c>
      <c r="D75" s="26">
        <v>6.368207</v>
      </c>
      <c r="E75" s="26">
        <v>5.8091109999999997</v>
      </c>
      <c r="F75" s="26">
        <v>1.2</v>
      </c>
      <c r="G75" s="26">
        <v>4.0517469999999998</v>
      </c>
      <c r="H75" s="26">
        <v>5.25</v>
      </c>
      <c r="I75" s="26">
        <v>0.06</v>
      </c>
      <c r="J75" s="26">
        <v>0.11380700000000001</v>
      </c>
      <c r="K75" s="26">
        <v>0.14000000000000001</v>
      </c>
      <c r="L75" s="26">
        <v>25.780215999999999</v>
      </c>
      <c r="M75" s="26">
        <v>0</v>
      </c>
      <c r="N75" s="26">
        <v>0</v>
      </c>
      <c r="O75" s="26">
        <v>0</v>
      </c>
      <c r="Q75" s="15"/>
    </row>
    <row r="76" spans="1:21" x14ac:dyDescent="0.25">
      <c r="A76" s="25" t="s">
        <v>41</v>
      </c>
      <c r="B76" s="26">
        <v>7.4040699999999999</v>
      </c>
      <c r="C76" s="26">
        <v>6.8240920000000003</v>
      </c>
      <c r="D76" s="26">
        <v>0.14530699999999999</v>
      </c>
      <c r="E76" s="26">
        <v>0.14021800000000001</v>
      </c>
      <c r="F76" s="26">
        <v>0</v>
      </c>
      <c r="G76" s="26">
        <v>0</v>
      </c>
      <c r="H76" s="26">
        <v>0</v>
      </c>
      <c r="I76" s="26">
        <v>0</v>
      </c>
      <c r="J76" s="26">
        <v>0</v>
      </c>
      <c r="K76" s="26">
        <v>0</v>
      </c>
      <c r="L76" s="26">
        <v>0</v>
      </c>
      <c r="M76" s="26">
        <v>0</v>
      </c>
      <c r="N76" s="26">
        <v>0</v>
      </c>
      <c r="O76" s="26">
        <v>0</v>
      </c>
      <c r="Q76" s="15"/>
    </row>
    <row r="77" spans="1:21" x14ac:dyDescent="0.25">
      <c r="A77" s="25" t="s">
        <v>42</v>
      </c>
      <c r="B77" s="26">
        <v>3.5387339999999998</v>
      </c>
      <c r="C77" s="26">
        <v>0.61532799999999999</v>
      </c>
      <c r="D77" s="26">
        <v>0.544153</v>
      </c>
      <c r="E77" s="26">
        <v>9.9066000000000001E-2</v>
      </c>
      <c r="F77" s="26">
        <v>0</v>
      </c>
      <c r="G77" s="26">
        <v>0</v>
      </c>
      <c r="H77" s="26">
        <v>0</v>
      </c>
      <c r="I77" s="26">
        <v>0</v>
      </c>
      <c r="J77" s="26">
        <v>0</v>
      </c>
      <c r="K77" s="26">
        <v>0</v>
      </c>
      <c r="L77" s="26">
        <v>0</v>
      </c>
      <c r="M77" s="26">
        <v>0.6</v>
      </c>
      <c r="N77" s="26">
        <v>1.1224670000000001</v>
      </c>
      <c r="O77" s="26">
        <v>0.50189099999999998</v>
      </c>
      <c r="Q77" s="15"/>
    </row>
    <row r="78" spans="1:21" x14ac:dyDescent="0.25">
      <c r="A78" s="25" t="s">
        <v>42</v>
      </c>
      <c r="B78" s="26">
        <v>3.5387339999999998</v>
      </c>
      <c r="C78" s="26">
        <v>0.61532799999999999</v>
      </c>
      <c r="D78" s="26">
        <v>0.544153</v>
      </c>
      <c r="E78" s="26">
        <v>9.9066000000000001E-2</v>
      </c>
      <c r="F78" s="26">
        <v>0</v>
      </c>
      <c r="G78" s="26">
        <v>0</v>
      </c>
      <c r="H78" s="26">
        <v>0</v>
      </c>
      <c r="I78" s="26">
        <v>0</v>
      </c>
      <c r="J78" s="26">
        <v>0</v>
      </c>
      <c r="K78" s="26">
        <v>0</v>
      </c>
      <c r="L78" s="26">
        <v>0</v>
      </c>
      <c r="M78" s="26">
        <v>0.6</v>
      </c>
      <c r="N78" s="26">
        <v>1.1224670000000001</v>
      </c>
      <c r="O78" s="26">
        <v>0.50189099999999998</v>
      </c>
      <c r="Q78" s="15"/>
    </row>
    <row r="79" spans="1:21" x14ac:dyDescent="0.25">
      <c r="A79" s="25" t="s">
        <v>43</v>
      </c>
      <c r="B79" s="26">
        <v>9.0033130000000003</v>
      </c>
      <c r="C79" s="26">
        <v>8.4826820000000005</v>
      </c>
      <c r="D79" s="26">
        <v>1.7674540000000001</v>
      </c>
      <c r="E79" s="26">
        <v>1.7435039999999999</v>
      </c>
      <c r="F79" s="26">
        <v>0</v>
      </c>
      <c r="G79" s="26">
        <v>0</v>
      </c>
      <c r="H79" s="26">
        <v>0</v>
      </c>
      <c r="I79" s="26">
        <v>0</v>
      </c>
      <c r="J79" s="26">
        <v>0</v>
      </c>
      <c r="K79" s="26">
        <v>0</v>
      </c>
      <c r="L79" s="26">
        <v>0</v>
      </c>
      <c r="M79" s="26">
        <v>3.7</v>
      </c>
      <c r="N79" s="26">
        <v>0.96204500000000004</v>
      </c>
      <c r="O79" s="26">
        <v>3.3430960000000001</v>
      </c>
      <c r="Q79" s="15"/>
    </row>
    <row r="80" spans="1:21" x14ac:dyDescent="0.25">
      <c r="A80" s="25" t="s">
        <v>43</v>
      </c>
      <c r="B80" s="26">
        <v>9.0033130000000003</v>
      </c>
      <c r="C80" s="26">
        <v>8.4826820000000005</v>
      </c>
      <c r="D80" s="26">
        <v>1.7674540000000001</v>
      </c>
      <c r="E80" s="26">
        <v>1.7435039999999999</v>
      </c>
      <c r="F80" s="26">
        <v>0</v>
      </c>
      <c r="G80" s="26">
        <v>0</v>
      </c>
      <c r="H80" s="26">
        <v>0</v>
      </c>
      <c r="I80" s="26">
        <v>0</v>
      </c>
      <c r="J80" s="26">
        <v>0</v>
      </c>
      <c r="K80" s="26">
        <v>0</v>
      </c>
      <c r="L80" s="26">
        <v>0</v>
      </c>
      <c r="M80" s="26">
        <v>3.7</v>
      </c>
      <c r="N80" s="26">
        <v>0.96204500000000004</v>
      </c>
      <c r="O80" s="26">
        <v>3.3430960000000001</v>
      </c>
      <c r="Q80" s="15"/>
    </row>
    <row r="81" spans="1:17" x14ac:dyDescent="0.25">
      <c r="A81" s="25" t="s">
        <v>44</v>
      </c>
      <c r="B81" s="26">
        <v>4.0460750000000001</v>
      </c>
      <c r="C81" s="26">
        <v>2.8263379999999998</v>
      </c>
      <c r="D81" s="26">
        <v>0.23574100000000001</v>
      </c>
      <c r="E81" s="26">
        <v>0.17241300000000001</v>
      </c>
      <c r="F81" s="26">
        <v>0.6</v>
      </c>
      <c r="G81" s="26">
        <v>0.65107700000000002</v>
      </c>
      <c r="H81" s="26">
        <v>0.7</v>
      </c>
      <c r="I81" s="26">
        <v>0.3</v>
      </c>
      <c r="J81" s="26">
        <v>0.3</v>
      </c>
      <c r="K81" s="26">
        <v>0.3</v>
      </c>
      <c r="L81" s="26">
        <v>-1.0416270000000001</v>
      </c>
      <c r="M81" s="26">
        <v>0</v>
      </c>
      <c r="N81" s="26">
        <v>0</v>
      </c>
      <c r="O81" s="26">
        <v>0</v>
      </c>
      <c r="Q81" s="15"/>
    </row>
    <row r="82" spans="1:17" x14ac:dyDescent="0.25">
      <c r="A82" s="25" t="s">
        <v>44</v>
      </c>
      <c r="B82" s="26">
        <v>4.0460750000000001</v>
      </c>
      <c r="C82" s="26">
        <v>2.8263379999999998</v>
      </c>
      <c r="D82" s="26">
        <v>0.23574100000000001</v>
      </c>
      <c r="E82" s="26">
        <v>0.17241300000000001</v>
      </c>
      <c r="F82" s="26">
        <v>0.6</v>
      </c>
      <c r="G82" s="26">
        <v>0.65107700000000002</v>
      </c>
      <c r="H82" s="26">
        <v>0.7</v>
      </c>
      <c r="I82" s="26">
        <v>0.3</v>
      </c>
      <c r="J82" s="26">
        <v>0.3</v>
      </c>
      <c r="K82" s="26">
        <v>0.3</v>
      </c>
      <c r="L82" s="26">
        <v>-1.0416270000000001</v>
      </c>
      <c r="M82" s="26">
        <v>0</v>
      </c>
      <c r="N82" s="26">
        <v>0</v>
      </c>
      <c r="O82" s="26">
        <v>0</v>
      </c>
      <c r="Q82" s="15"/>
    </row>
    <row r="83" spans="1:17" x14ac:dyDescent="0.25">
      <c r="A83" s="25" t="s">
        <v>45</v>
      </c>
      <c r="B83" s="26">
        <v>2.4574539999999998</v>
      </c>
      <c r="C83" s="26">
        <v>0.57440899999999995</v>
      </c>
      <c r="D83" s="26">
        <v>0.31490400000000002</v>
      </c>
      <c r="E83" s="26">
        <v>7.7064999999999995E-2</v>
      </c>
      <c r="F83" s="26">
        <v>0</v>
      </c>
      <c r="G83" s="26">
        <v>0</v>
      </c>
      <c r="H83" s="26">
        <v>0</v>
      </c>
      <c r="I83" s="26">
        <v>0</v>
      </c>
      <c r="J83" s="26">
        <v>0</v>
      </c>
      <c r="K83" s="26">
        <v>0</v>
      </c>
      <c r="L83" s="26">
        <v>0</v>
      </c>
      <c r="M83" s="26">
        <v>0.5</v>
      </c>
      <c r="N83" s="26">
        <v>0.77949100000000004</v>
      </c>
      <c r="O83" s="26">
        <v>0.50189099999999998</v>
      </c>
      <c r="Q83" s="15"/>
    </row>
    <row r="84" spans="1:17" x14ac:dyDescent="0.25">
      <c r="A84" s="25" t="s">
        <v>46</v>
      </c>
      <c r="B84" s="26">
        <v>6.0227570000000004</v>
      </c>
      <c r="C84" s="26">
        <v>5.5711659999999998</v>
      </c>
      <c r="D84" s="26">
        <v>0.93402700000000005</v>
      </c>
      <c r="E84" s="26">
        <v>0.90459500000000004</v>
      </c>
      <c r="F84" s="26">
        <v>0</v>
      </c>
      <c r="G84" s="26">
        <v>0</v>
      </c>
      <c r="H84" s="26">
        <v>0</v>
      </c>
      <c r="I84" s="26">
        <v>0</v>
      </c>
      <c r="J84" s="26">
        <v>0</v>
      </c>
      <c r="K84" s="26">
        <v>0</v>
      </c>
      <c r="L84" s="26">
        <v>0</v>
      </c>
      <c r="M84" s="26">
        <v>3.1</v>
      </c>
      <c r="N84" s="26">
        <v>0.56711500000000004</v>
      </c>
      <c r="O84" s="26">
        <v>3.6481349999999999</v>
      </c>
      <c r="Q84" s="15"/>
    </row>
    <row r="85" spans="1:17" x14ac:dyDescent="0.25">
      <c r="A85" s="25" t="s">
        <v>47</v>
      </c>
      <c r="B85" s="26">
        <v>2.0275530000000002</v>
      </c>
      <c r="C85" s="26">
        <v>1.3527020000000001</v>
      </c>
      <c r="D85" s="26">
        <v>0.112692</v>
      </c>
      <c r="E85" s="26">
        <v>7.8716999999999995E-2</v>
      </c>
      <c r="F85" s="26">
        <v>0.4</v>
      </c>
      <c r="G85" s="26">
        <v>0.4</v>
      </c>
      <c r="H85" s="26">
        <v>0.4</v>
      </c>
      <c r="I85" s="26">
        <v>0.5</v>
      </c>
      <c r="J85" s="26">
        <v>0.5</v>
      </c>
      <c r="K85" s="26">
        <v>0.5</v>
      </c>
      <c r="L85" s="26">
        <v>38.799979999999998</v>
      </c>
      <c r="M85" s="26">
        <v>0</v>
      </c>
      <c r="N85" s="26">
        <v>0</v>
      </c>
      <c r="O85" s="26">
        <v>0</v>
      </c>
      <c r="Q85" s="15"/>
    </row>
    <row r="86" spans="1:17" x14ac:dyDescent="0.25">
      <c r="A86" s="9"/>
      <c r="B86" s="28"/>
      <c r="C86" s="28"/>
      <c r="D86" s="28"/>
      <c r="E86" s="28"/>
      <c r="F86" s="28"/>
      <c r="G86" s="28"/>
      <c r="H86" s="28"/>
      <c r="I86" s="28"/>
      <c r="J86" s="28"/>
      <c r="K86" s="28"/>
      <c r="L86" s="28"/>
      <c r="M86" s="28"/>
      <c r="N86" s="28"/>
      <c r="O86" s="28"/>
      <c r="Q86" s="15"/>
    </row>
    <row r="87" spans="1:17" x14ac:dyDescent="0.25">
      <c r="A87" s="9"/>
      <c r="B87" s="28"/>
      <c r="C87" s="28"/>
      <c r="D87" s="28"/>
      <c r="E87" s="28"/>
      <c r="F87" s="28"/>
      <c r="G87" s="28"/>
      <c r="H87" s="28"/>
      <c r="I87" s="28"/>
      <c r="J87" s="28"/>
      <c r="K87" s="28"/>
      <c r="L87" s="28"/>
      <c r="M87" s="28"/>
      <c r="N87" s="28"/>
      <c r="O87" s="28"/>
      <c r="Q87" s="15"/>
    </row>
    <row r="88" spans="1:17" x14ac:dyDescent="0.25">
      <c r="A88" s="9"/>
      <c r="B88" s="28"/>
      <c r="C88" s="28"/>
      <c r="D88" s="28"/>
      <c r="E88" s="28"/>
      <c r="F88" s="28"/>
      <c r="G88" s="28"/>
      <c r="H88" s="28"/>
      <c r="I88" s="28"/>
      <c r="J88" s="28"/>
      <c r="K88" s="28"/>
      <c r="L88" s="28"/>
      <c r="M88" s="28"/>
      <c r="N88" s="28"/>
      <c r="O88" s="28"/>
      <c r="Q88" s="15"/>
    </row>
    <row r="89" spans="1:17" x14ac:dyDescent="0.25">
      <c r="A89" s="9"/>
      <c r="B89" s="28"/>
      <c r="C89" s="28"/>
      <c r="D89" s="28"/>
      <c r="E89" s="28"/>
      <c r="F89" s="28"/>
      <c r="G89" s="28"/>
      <c r="H89" s="28"/>
      <c r="I89" s="28"/>
      <c r="J89" s="28"/>
      <c r="K89" s="28"/>
      <c r="L89" s="28"/>
      <c r="M89" s="28"/>
      <c r="N89" s="28"/>
      <c r="O89" s="28"/>
      <c r="Q89" s="15"/>
    </row>
    <row r="90" spans="1:17" x14ac:dyDescent="0.25">
      <c r="A90" s="9"/>
      <c r="B90" s="28"/>
      <c r="C90" s="28"/>
      <c r="D90" s="28"/>
      <c r="E90" s="28"/>
      <c r="F90" s="28"/>
      <c r="G90" s="28"/>
      <c r="H90" s="28"/>
      <c r="I90" s="28"/>
      <c r="J90" s="28"/>
      <c r="K90" s="28"/>
      <c r="L90" s="28"/>
      <c r="M90" s="28"/>
      <c r="N90" s="28"/>
      <c r="O90" s="28"/>
      <c r="Q90" s="15"/>
    </row>
    <row r="91" spans="1:17" x14ac:dyDescent="0.25">
      <c r="A91" s="9"/>
      <c r="B91" s="28"/>
      <c r="C91" s="28"/>
      <c r="D91" s="28"/>
      <c r="E91" s="28"/>
      <c r="F91" s="28"/>
      <c r="G91" s="28"/>
      <c r="H91" s="28"/>
      <c r="I91" s="28"/>
      <c r="J91" s="28"/>
      <c r="K91" s="28"/>
      <c r="L91" s="28"/>
      <c r="M91" s="28"/>
      <c r="N91" s="28"/>
      <c r="O91" s="28"/>
      <c r="Q91" s="15"/>
    </row>
    <row r="92" spans="1:17" x14ac:dyDescent="0.25">
      <c r="A92" s="9"/>
      <c r="B92" s="28"/>
      <c r="C92" s="28"/>
      <c r="D92" s="28"/>
      <c r="E92" s="28"/>
      <c r="F92" s="28"/>
      <c r="G92" s="28"/>
      <c r="H92" s="28"/>
      <c r="I92" s="28"/>
      <c r="J92" s="28"/>
      <c r="K92" s="28"/>
      <c r="L92" s="28"/>
      <c r="M92" s="28"/>
      <c r="N92" s="28"/>
      <c r="O92" s="28"/>
      <c r="Q92" s="15"/>
    </row>
    <row r="93" spans="1:17" x14ac:dyDescent="0.25">
      <c r="A93" s="9"/>
      <c r="B93" s="28"/>
      <c r="C93" s="28"/>
      <c r="D93" s="28"/>
      <c r="E93" s="28"/>
      <c r="F93" s="28"/>
      <c r="G93" s="28"/>
      <c r="H93" s="28"/>
      <c r="I93" s="28"/>
      <c r="J93" s="28"/>
      <c r="K93" s="28"/>
      <c r="L93" s="28"/>
      <c r="M93" s="28"/>
      <c r="N93" s="28"/>
      <c r="O93" s="28"/>
      <c r="Q93" s="15"/>
    </row>
    <row r="94" spans="1:17" x14ac:dyDescent="0.25">
      <c r="A94" s="9"/>
      <c r="B94" s="9"/>
      <c r="C94" s="9"/>
      <c r="D94" s="9"/>
      <c r="E94" s="9"/>
      <c r="F94" s="9"/>
      <c r="G94" s="9"/>
      <c r="H94" s="9"/>
      <c r="I94" s="9"/>
      <c r="J94" s="9"/>
      <c r="K94" s="9"/>
      <c r="L94" s="9"/>
      <c r="M94" s="9"/>
      <c r="N94" s="9"/>
      <c r="O94" s="9"/>
      <c r="Q94" s="15"/>
    </row>
    <row r="95" spans="1:17" x14ac:dyDescent="0.25">
      <c r="B95" s="15"/>
      <c r="C95" s="15"/>
      <c r="D95" s="15"/>
      <c r="E95" s="15"/>
      <c r="F95" s="15"/>
      <c r="G95" s="15"/>
      <c r="H95" s="15"/>
      <c r="I95" s="15"/>
      <c r="J95" s="15"/>
      <c r="K95" s="15"/>
      <c r="L95" s="15"/>
      <c r="M95" s="15"/>
      <c r="N95" s="15"/>
      <c r="O95" s="15"/>
      <c r="P95" s="15"/>
      <c r="Q95" s="15"/>
    </row>
    <row r="96" spans="1:17" x14ac:dyDescent="0.25">
      <c r="B96" s="15"/>
      <c r="C96" s="15"/>
      <c r="D96" s="15"/>
      <c r="E96" s="15"/>
      <c r="F96" s="15"/>
      <c r="G96" s="15"/>
      <c r="H96" s="15"/>
      <c r="I96" s="15"/>
      <c r="J96" s="15"/>
      <c r="K96" s="15"/>
      <c r="L96" s="15"/>
      <c r="M96" s="15"/>
      <c r="N96" s="15"/>
      <c r="O96" s="15"/>
      <c r="P96" s="15"/>
      <c r="Q96" s="15"/>
    </row>
    <row r="97" spans="2:17" x14ac:dyDescent="0.25">
      <c r="B97" s="15"/>
      <c r="C97" s="15"/>
      <c r="D97" s="15"/>
      <c r="E97" s="15"/>
      <c r="F97" s="15"/>
      <c r="G97" s="15"/>
      <c r="H97" s="15"/>
      <c r="I97" s="15"/>
      <c r="J97" s="15"/>
      <c r="K97" s="15"/>
      <c r="L97" s="15"/>
      <c r="M97" s="15"/>
      <c r="N97" s="15"/>
      <c r="O97" s="15"/>
      <c r="P97" s="15"/>
      <c r="Q97" s="15"/>
    </row>
    <row r="98" spans="2:17" x14ac:dyDescent="0.25">
      <c r="B98" s="15"/>
      <c r="C98" s="15"/>
      <c r="D98" s="15"/>
      <c r="E98" s="15"/>
      <c r="F98" s="15"/>
      <c r="G98" s="15"/>
      <c r="H98" s="15"/>
      <c r="I98" s="15"/>
      <c r="J98" s="15"/>
      <c r="K98" s="15"/>
      <c r="L98" s="15"/>
      <c r="M98" s="15"/>
      <c r="N98" s="15"/>
      <c r="O98" s="15"/>
      <c r="P98" s="15"/>
      <c r="Q98" s="15"/>
    </row>
    <row r="99" spans="2:17" x14ac:dyDescent="0.25">
      <c r="B99" s="15"/>
      <c r="C99" s="15"/>
      <c r="D99" s="15"/>
      <c r="E99" s="15"/>
      <c r="F99" s="15"/>
      <c r="G99" s="15"/>
      <c r="H99" s="15"/>
      <c r="I99" s="15"/>
      <c r="J99" s="15"/>
      <c r="K99" s="15"/>
      <c r="L99" s="15"/>
      <c r="M99" s="15"/>
      <c r="N99" s="15"/>
      <c r="O99" s="15"/>
      <c r="P99" s="15"/>
      <c r="Q99" s="15"/>
    </row>
    <row r="100" spans="2:17" x14ac:dyDescent="0.25">
      <c r="B100" s="15"/>
      <c r="C100" s="15"/>
      <c r="D100" s="15"/>
      <c r="E100" s="15"/>
      <c r="F100" s="15"/>
      <c r="G100" s="15"/>
      <c r="H100" s="15"/>
      <c r="I100" s="15"/>
      <c r="J100" s="15"/>
      <c r="K100" s="15"/>
      <c r="L100" s="15"/>
      <c r="M100" s="15"/>
      <c r="N100" s="15"/>
      <c r="O100" s="15"/>
      <c r="P100" s="15"/>
      <c r="Q100" s="15"/>
    </row>
    <row r="101" spans="2:17" x14ac:dyDescent="0.25">
      <c r="B101" s="15"/>
      <c r="C101" s="15"/>
      <c r="D101" s="15"/>
      <c r="E101" s="15"/>
      <c r="F101" s="15"/>
      <c r="G101" s="15"/>
      <c r="H101" s="15"/>
      <c r="I101" s="15"/>
      <c r="J101" s="15"/>
      <c r="K101" s="15"/>
      <c r="L101" s="15"/>
      <c r="M101" s="15"/>
      <c r="N101" s="15"/>
      <c r="O101" s="15"/>
      <c r="P101" s="15"/>
      <c r="Q101" s="15"/>
    </row>
    <row r="102" spans="2:17" x14ac:dyDescent="0.25">
      <c r="B102" s="15"/>
      <c r="C102" s="15"/>
      <c r="D102" s="15"/>
      <c r="E102" s="15"/>
      <c r="F102" s="15"/>
      <c r="G102" s="15"/>
      <c r="H102" s="15"/>
      <c r="I102" s="15"/>
      <c r="J102" s="15"/>
      <c r="K102" s="15"/>
      <c r="L102" s="15"/>
      <c r="M102" s="15"/>
      <c r="N102" s="15"/>
      <c r="O102" s="15"/>
      <c r="P102" s="15"/>
      <c r="Q102" s="15"/>
    </row>
    <row r="103" spans="2:17" x14ac:dyDescent="0.25">
      <c r="B103" s="15"/>
      <c r="C103" s="15"/>
      <c r="D103" s="15"/>
      <c r="E103" s="15"/>
      <c r="F103" s="15"/>
      <c r="G103" s="15"/>
      <c r="H103" s="15"/>
      <c r="I103" s="15"/>
      <c r="J103" s="15"/>
      <c r="K103" s="15"/>
      <c r="L103" s="15"/>
      <c r="M103" s="15"/>
      <c r="N103" s="15"/>
      <c r="O103" s="15"/>
      <c r="P103" s="15"/>
      <c r="Q103" s="15"/>
    </row>
    <row r="104" spans="2:17" x14ac:dyDescent="0.25">
      <c r="B104" s="15"/>
      <c r="C104" s="15"/>
      <c r="D104" s="15"/>
      <c r="E104" s="15"/>
      <c r="F104" s="15"/>
      <c r="G104" s="15"/>
      <c r="H104" s="15"/>
      <c r="I104" s="15"/>
      <c r="J104" s="15"/>
      <c r="K104" s="15"/>
      <c r="L104" s="15"/>
      <c r="M104" s="15"/>
      <c r="N104" s="15"/>
      <c r="O104" s="15"/>
      <c r="P104" s="15"/>
      <c r="Q104" s="15"/>
    </row>
    <row r="105" spans="2:17" x14ac:dyDescent="0.25">
      <c r="B105" s="15"/>
      <c r="C105" s="15"/>
      <c r="D105" s="15"/>
      <c r="E105" s="15"/>
      <c r="F105" s="15"/>
      <c r="G105" s="15"/>
      <c r="H105" s="15"/>
      <c r="I105" s="15"/>
      <c r="J105" s="15"/>
      <c r="K105" s="15"/>
      <c r="L105" s="15"/>
      <c r="M105" s="15"/>
      <c r="N105" s="15"/>
      <c r="O105" s="15"/>
      <c r="P105" s="15"/>
      <c r="Q105" s="15"/>
    </row>
    <row r="106" spans="2:17" x14ac:dyDescent="0.25">
      <c r="B106" s="15"/>
      <c r="C106" s="15"/>
      <c r="D106" s="15"/>
      <c r="E106" s="15"/>
      <c r="F106" s="15"/>
      <c r="G106" s="15"/>
      <c r="H106" s="15"/>
      <c r="I106" s="15"/>
      <c r="J106" s="15"/>
      <c r="K106" s="15"/>
      <c r="L106" s="15"/>
      <c r="M106" s="15"/>
      <c r="N106" s="15"/>
      <c r="O106" s="15"/>
      <c r="P106" s="15"/>
      <c r="Q106" s="15"/>
    </row>
    <row r="107" spans="2:17" x14ac:dyDescent="0.25">
      <c r="B107" s="15"/>
      <c r="C107" s="15"/>
      <c r="D107" s="15"/>
      <c r="E107" s="15"/>
      <c r="F107" s="15"/>
      <c r="G107" s="15"/>
      <c r="H107" s="15"/>
      <c r="I107" s="15"/>
      <c r="J107" s="15"/>
      <c r="K107" s="15"/>
      <c r="L107" s="15"/>
      <c r="M107" s="15"/>
      <c r="N107" s="15"/>
      <c r="O107" s="15"/>
      <c r="P107" s="15"/>
      <c r="Q107" s="15"/>
    </row>
    <row r="108" spans="2:17" x14ac:dyDescent="0.25">
      <c r="B108" s="15"/>
      <c r="C108" s="15"/>
      <c r="D108" s="15"/>
      <c r="E108" s="15"/>
      <c r="F108" s="15"/>
      <c r="G108" s="15"/>
      <c r="H108" s="15"/>
      <c r="I108" s="15"/>
      <c r="J108" s="15"/>
      <c r="K108" s="15"/>
      <c r="L108" s="15"/>
      <c r="M108" s="15"/>
      <c r="N108" s="15"/>
      <c r="O108" s="15"/>
      <c r="P108" s="15"/>
      <c r="Q108" s="15"/>
    </row>
    <row r="109" spans="2:17" x14ac:dyDescent="0.25">
      <c r="B109" s="15"/>
      <c r="C109" s="15"/>
      <c r="D109" s="15"/>
      <c r="E109" s="15"/>
      <c r="F109" s="15"/>
      <c r="G109" s="15"/>
      <c r="H109" s="15"/>
      <c r="I109" s="15"/>
      <c r="J109" s="15"/>
      <c r="K109" s="15"/>
      <c r="L109" s="15"/>
      <c r="M109" s="15"/>
      <c r="N109" s="15"/>
      <c r="O109" s="15"/>
      <c r="P109" s="15"/>
      <c r="Q109" s="15"/>
    </row>
    <row r="110" spans="2:17" x14ac:dyDescent="0.25">
      <c r="B110" s="15"/>
      <c r="C110" s="15"/>
      <c r="D110" s="15"/>
      <c r="E110" s="15"/>
      <c r="F110" s="15"/>
      <c r="G110" s="15"/>
      <c r="H110" s="15"/>
      <c r="I110" s="15"/>
      <c r="J110" s="15"/>
      <c r="K110" s="15"/>
      <c r="L110" s="15"/>
      <c r="M110" s="15"/>
      <c r="N110" s="15"/>
      <c r="O110" s="15"/>
      <c r="P110" s="15"/>
      <c r="Q110" s="15"/>
    </row>
    <row r="111" spans="2:17" x14ac:dyDescent="0.25">
      <c r="B111" s="15"/>
      <c r="C111" s="15"/>
      <c r="D111" s="15"/>
      <c r="E111" s="15"/>
      <c r="F111" s="15"/>
      <c r="G111" s="15"/>
      <c r="H111" s="15"/>
      <c r="I111" s="15"/>
      <c r="J111" s="15"/>
      <c r="K111" s="15"/>
      <c r="L111" s="15"/>
      <c r="M111" s="15"/>
      <c r="N111" s="15"/>
      <c r="O111" s="15"/>
      <c r="P111" s="15"/>
      <c r="Q111" s="15"/>
    </row>
    <row r="112" spans="2:17" x14ac:dyDescent="0.25">
      <c r="B112" s="15"/>
      <c r="C112" s="15"/>
      <c r="D112" s="15"/>
      <c r="E112" s="15"/>
      <c r="F112" s="15"/>
      <c r="G112" s="15"/>
      <c r="H112" s="15"/>
      <c r="I112" s="15"/>
      <c r="J112" s="15"/>
      <c r="K112" s="15"/>
      <c r="L112" s="15"/>
      <c r="M112" s="15"/>
      <c r="N112" s="15"/>
      <c r="O112" s="15"/>
      <c r="P112" s="15"/>
      <c r="Q112" s="15"/>
    </row>
    <row r="113" spans="2:17" x14ac:dyDescent="0.25">
      <c r="B113" s="15"/>
      <c r="C113" s="15"/>
      <c r="D113" s="15"/>
      <c r="E113" s="15"/>
      <c r="F113" s="15"/>
      <c r="G113" s="15"/>
      <c r="H113" s="15"/>
      <c r="I113" s="15"/>
      <c r="J113" s="15"/>
      <c r="K113" s="15"/>
      <c r="L113" s="15"/>
      <c r="M113" s="15"/>
      <c r="N113" s="15"/>
      <c r="O113" s="15"/>
      <c r="P113" s="15"/>
      <c r="Q113" s="15"/>
    </row>
    <row r="114" spans="2:17" x14ac:dyDescent="0.25">
      <c r="B114" s="15"/>
      <c r="C114" s="15"/>
      <c r="D114" s="15"/>
      <c r="E114" s="15"/>
      <c r="F114" s="15"/>
      <c r="G114" s="15"/>
      <c r="H114" s="15"/>
      <c r="I114" s="15"/>
      <c r="J114" s="15"/>
      <c r="K114" s="15"/>
      <c r="L114" s="15"/>
      <c r="M114" s="15"/>
      <c r="N114" s="15"/>
      <c r="O114" s="15"/>
      <c r="P114" s="15"/>
      <c r="Q114" s="15"/>
    </row>
    <row r="115" spans="2:17" x14ac:dyDescent="0.25">
      <c r="B115" s="15"/>
      <c r="C115" s="15"/>
      <c r="D115" s="15"/>
      <c r="E115" s="15"/>
      <c r="F115" s="15"/>
      <c r="G115" s="15"/>
      <c r="H115" s="15"/>
      <c r="I115" s="15"/>
      <c r="J115" s="15"/>
      <c r="K115" s="15"/>
      <c r="L115" s="15"/>
      <c r="M115" s="15"/>
      <c r="N115" s="15"/>
      <c r="O115" s="15"/>
      <c r="P115" s="15"/>
      <c r="Q115" s="15"/>
    </row>
    <row r="116" spans="2:17" x14ac:dyDescent="0.25">
      <c r="B116" s="15"/>
      <c r="C116" s="15"/>
      <c r="D116" s="15"/>
      <c r="E116" s="15"/>
      <c r="F116" s="15"/>
      <c r="G116" s="15"/>
      <c r="H116" s="15"/>
      <c r="I116" s="15"/>
      <c r="J116" s="15"/>
      <c r="K116" s="15"/>
      <c r="L116" s="15"/>
      <c r="M116" s="15"/>
      <c r="N116" s="15"/>
      <c r="O116" s="15"/>
      <c r="P116" s="15"/>
      <c r="Q116" s="15"/>
    </row>
    <row r="117" spans="2:17" x14ac:dyDescent="0.25">
      <c r="B117" s="15"/>
      <c r="C117" s="15"/>
      <c r="D117" s="15"/>
      <c r="E117" s="15"/>
      <c r="F117" s="15"/>
      <c r="G117" s="15"/>
      <c r="H117" s="15"/>
      <c r="I117" s="15"/>
      <c r="J117" s="15"/>
      <c r="K117" s="15"/>
      <c r="L117" s="15"/>
      <c r="M117" s="15"/>
      <c r="N117" s="15"/>
      <c r="O117" s="15"/>
      <c r="P117" s="15"/>
      <c r="Q117" s="15"/>
    </row>
    <row r="118" spans="2:17" x14ac:dyDescent="0.25">
      <c r="B118" s="15"/>
      <c r="C118" s="15"/>
      <c r="D118" s="15"/>
      <c r="E118" s="15"/>
      <c r="F118" s="15"/>
      <c r="G118" s="15"/>
      <c r="H118" s="15"/>
      <c r="I118" s="15"/>
      <c r="J118" s="15"/>
      <c r="K118" s="15"/>
      <c r="L118" s="15"/>
      <c r="M118" s="15"/>
      <c r="N118" s="15"/>
      <c r="O118" s="15"/>
      <c r="P118" s="15"/>
      <c r="Q118" s="15"/>
    </row>
    <row r="119" spans="2:17" x14ac:dyDescent="0.25">
      <c r="B119" s="15"/>
      <c r="C119" s="15"/>
      <c r="D119" s="15"/>
      <c r="E119" s="15"/>
      <c r="F119" s="15"/>
      <c r="G119" s="15"/>
      <c r="H119" s="15"/>
      <c r="I119" s="15"/>
      <c r="J119" s="15"/>
      <c r="K119" s="15"/>
      <c r="L119" s="15"/>
      <c r="M119" s="15"/>
      <c r="N119" s="15"/>
      <c r="O119" s="15"/>
      <c r="P119" s="15"/>
      <c r="Q119" s="15"/>
    </row>
    <row r="120" spans="2:17" x14ac:dyDescent="0.25">
      <c r="B120" s="15"/>
      <c r="C120" s="15"/>
      <c r="D120" s="15"/>
      <c r="E120" s="15"/>
      <c r="F120" s="15"/>
      <c r="G120" s="15"/>
      <c r="H120" s="15"/>
      <c r="I120" s="15"/>
      <c r="J120" s="15"/>
      <c r="K120" s="15"/>
      <c r="L120" s="15"/>
      <c r="M120" s="15"/>
      <c r="N120" s="15"/>
      <c r="O120" s="15"/>
      <c r="P120" s="15"/>
      <c r="Q120" s="15"/>
    </row>
    <row r="121" spans="2:17" x14ac:dyDescent="0.25">
      <c r="B121" s="15"/>
      <c r="C121" s="15"/>
      <c r="D121" s="15"/>
      <c r="E121" s="15"/>
      <c r="F121" s="15"/>
      <c r="G121" s="15"/>
      <c r="H121" s="15"/>
      <c r="I121" s="15"/>
      <c r="J121" s="15"/>
      <c r="K121" s="15"/>
      <c r="L121" s="15"/>
      <c r="M121" s="15"/>
      <c r="N121" s="15"/>
      <c r="O121" s="15"/>
      <c r="P121" s="15"/>
      <c r="Q121" s="15"/>
    </row>
    <row r="122" spans="2:17" x14ac:dyDescent="0.25">
      <c r="B122" s="15"/>
      <c r="C122" s="15"/>
      <c r="D122" s="15"/>
      <c r="E122" s="15"/>
      <c r="F122" s="15"/>
      <c r="G122" s="15"/>
      <c r="H122" s="15"/>
      <c r="I122" s="15"/>
      <c r="J122" s="15"/>
      <c r="K122" s="15"/>
      <c r="L122" s="15"/>
      <c r="M122" s="15"/>
      <c r="N122" s="15"/>
      <c r="O122" s="15"/>
      <c r="P122" s="15"/>
      <c r="Q122" s="15"/>
    </row>
    <row r="123" spans="2:17" x14ac:dyDescent="0.25">
      <c r="B123" s="15"/>
      <c r="C123" s="15"/>
      <c r="D123" s="15"/>
      <c r="E123" s="15"/>
      <c r="F123" s="15"/>
      <c r="G123" s="15"/>
      <c r="H123" s="15"/>
      <c r="I123" s="15"/>
      <c r="J123" s="15"/>
      <c r="K123" s="15"/>
      <c r="L123" s="15"/>
      <c r="M123" s="15"/>
      <c r="N123" s="15"/>
      <c r="O123" s="15"/>
      <c r="P123" s="15"/>
      <c r="Q123" s="15"/>
    </row>
    <row r="124" spans="2:17" x14ac:dyDescent="0.25">
      <c r="B124" s="15"/>
      <c r="C124" s="15"/>
      <c r="D124" s="15"/>
      <c r="E124" s="15"/>
      <c r="F124" s="15"/>
      <c r="G124" s="15"/>
      <c r="H124" s="15"/>
      <c r="I124" s="15"/>
      <c r="J124" s="15"/>
      <c r="K124" s="15"/>
      <c r="L124" s="15"/>
      <c r="M124" s="15"/>
      <c r="N124" s="15"/>
      <c r="O124" s="15"/>
      <c r="P124" s="15"/>
      <c r="Q124" s="15"/>
    </row>
    <row r="125" spans="2:17" x14ac:dyDescent="0.25">
      <c r="B125" s="15"/>
      <c r="C125" s="15"/>
      <c r="D125" s="15"/>
      <c r="E125" s="15"/>
      <c r="F125" s="15"/>
      <c r="G125" s="15"/>
      <c r="H125" s="15"/>
      <c r="I125" s="15"/>
      <c r="J125" s="15"/>
      <c r="K125" s="15"/>
      <c r="L125" s="15"/>
      <c r="M125" s="15"/>
      <c r="N125" s="15"/>
      <c r="O125" s="15"/>
      <c r="P125" s="15"/>
      <c r="Q125" s="15"/>
    </row>
    <row r="126" spans="2:17" x14ac:dyDescent="0.25">
      <c r="B126" s="15"/>
      <c r="C126" s="15"/>
      <c r="D126" s="15"/>
      <c r="E126" s="15"/>
      <c r="F126" s="15"/>
      <c r="G126" s="15"/>
      <c r="H126" s="15"/>
      <c r="I126" s="15"/>
      <c r="J126" s="15"/>
      <c r="K126" s="15"/>
      <c r="L126" s="15"/>
      <c r="M126" s="15"/>
      <c r="N126" s="15"/>
      <c r="O126" s="15"/>
      <c r="P126" s="15"/>
      <c r="Q126" s="15"/>
    </row>
    <row r="127" spans="2:17" x14ac:dyDescent="0.25">
      <c r="B127" s="15"/>
      <c r="C127" s="15"/>
      <c r="D127" s="15"/>
      <c r="E127" s="15"/>
      <c r="F127" s="15"/>
      <c r="G127" s="15"/>
      <c r="H127" s="15"/>
      <c r="I127" s="15"/>
      <c r="J127" s="15"/>
      <c r="K127" s="15"/>
      <c r="L127" s="15"/>
      <c r="M127" s="15"/>
      <c r="N127" s="15"/>
      <c r="O127" s="15"/>
      <c r="P127" s="15"/>
      <c r="Q127" s="15"/>
    </row>
    <row r="128" spans="2:17" x14ac:dyDescent="0.25">
      <c r="B128" s="15"/>
      <c r="C128" s="15"/>
      <c r="D128" s="15"/>
      <c r="E128" s="15"/>
      <c r="F128" s="15"/>
      <c r="G128" s="15"/>
      <c r="H128" s="15"/>
      <c r="I128" s="15"/>
      <c r="J128" s="15"/>
      <c r="K128" s="15"/>
      <c r="L128" s="15"/>
      <c r="M128" s="15"/>
      <c r="N128" s="15"/>
      <c r="O128" s="15"/>
      <c r="P128" s="15"/>
      <c r="Q128" s="15"/>
    </row>
    <row r="129" spans="2:17" x14ac:dyDescent="0.25">
      <c r="B129" s="15"/>
      <c r="C129" s="15"/>
      <c r="D129" s="15"/>
      <c r="E129" s="15"/>
      <c r="F129" s="15"/>
      <c r="G129" s="15"/>
      <c r="H129" s="15"/>
      <c r="I129" s="15"/>
      <c r="J129" s="15"/>
      <c r="K129" s="15"/>
      <c r="L129" s="15"/>
      <c r="M129" s="15"/>
      <c r="N129" s="15"/>
      <c r="O129" s="15"/>
      <c r="P129" s="15"/>
      <c r="Q129" s="15"/>
    </row>
    <row r="130" spans="2:17" x14ac:dyDescent="0.25">
      <c r="B130" s="15"/>
      <c r="C130" s="15"/>
      <c r="D130" s="15"/>
      <c r="E130" s="15"/>
      <c r="F130" s="15"/>
      <c r="G130" s="15"/>
      <c r="H130" s="15"/>
      <c r="I130" s="15"/>
      <c r="J130" s="15"/>
      <c r="K130" s="15"/>
      <c r="L130" s="15"/>
      <c r="M130" s="15"/>
      <c r="N130" s="15"/>
      <c r="O130" s="15"/>
      <c r="P130" s="15"/>
      <c r="Q130" s="15"/>
    </row>
    <row r="131" spans="2:17" x14ac:dyDescent="0.25">
      <c r="B131" s="15"/>
      <c r="C131" s="15"/>
      <c r="D131" s="15"/>
      <c r="E131" s="15"/>
      <c r="F131" s="15"/>
      <c r="G131" s="15"/>
      <c r="H131" s="15"/>
      <c r="I131" s="15"/>
      <c r="J131" s="15"/>
      <c r="K131" s="15"/>
      <c r="L131" s="15"/>
      <c r="M131" s="15"/>
      <c r="N131" s="15"/>
      <c r="O131" s="15"/>
      <c r="P131" s="15"/>
      <c r="Q131" s="15"/>
    </row>
    <row r="132" spans="2:17" x14ac:dyDescent="0.25">
      <c r="B132" s="15"/>
      <c r="C132" s="15"/>
      <c r="D132" s="15"/>
      <c r="E132" s="15"/>
      <c r="F132" s="15"/>
      <c r="G132" s="15"/>
      <c r="H132" s="15"/>
      <c r="I132" s="15"/>
      <c r="J132" s="15"/>
      <c r="K132" s="15"/>
      <c r="L132" s="15"/>
      <c r="M132" s="15"/>
      <c r="N132" s="15"/>
      <c r="O132" s="15"/>
      <c r="P132" s="15"/>
      <c r="Q132" s="15"/>
    </row>
    <row r="133" spans="2:17" x14ac:dyDescent="0.25">
      <c r="B133" s="15"/>
      <c r="C133" s="15"/>
      <c r="D133" s="15"/>
      <c r="E133" s="15"/>
      <c r="F133" s="15"/>
      <c r="G133" s="15"/>
      <c r="H133" s="15"/>
      <c r="I133" s="15"/>
      <c r="J133" s="15"/>
      <c r="K133" s="15"/>
      <c r="L133" s="15"/>
      <c r="M133" s="15"/>
      <c r="N133" s="15"/>
      <c r="O133" s="15"/>
      <c r="P133" s="15"/>
      <c r="Q133" s="15"/>
    </row>
    <row r="134" spans="2:17" x14ac:dyDescent="0.25">
      <c r="B134" s="15"/>
      <c r="C134" s="15"/>
      <c r="D134" s="15"/>
      <c r="E134" s="15"/>
      <c r="F134" s="15"/>
      <c r="G134" s="15"/>
      <c r="H134" s="15"/>
      <c r="I134" s="15"/>
      <c r="J134" s="15"/>
      <c r="K134" s="15"/>
      <c r="L134" s="15"/>
      <c r="M134" s="15"/>
      <c r="N134" s="15"/>
      <c r="O134" s="15"/>
      <c r="P134" s="15"/>
      <c r="Q134" s="15"/>
    </row>
    <row r="135" spans="2:17" x14ac:dyDescent="0.25">
      <c r="B135" s="15"/>
      <c r="C135" s="15"/>
      <c r="D135" s="15"/>
      <c r="E135" s="15"/>
      <c r="F135" s="15"/>
      <c r="G135" s="15"/>
      <c r="H135" s="15"/>
      <c r="I135" s="15"/>
      <c r="J135" s="15"/>
      <c r="K135" s="15"/>
      <c r="L135" s="15"/>
      <c r="M135" s="15"/>
      <c r="N135" s="15"/>
      <c r="O135" s="15"/>
      <c r="P135" s="15"/>
      <c r="Q135" s="15"/>
    </row>
    <row r="136" spans="2:17" x14ac:dyDescent="0.25">
      <c r="B136" s="15"/>
      <c r="C136" s="15"/>
      <c r="D136" s="15"/>
      <c r="E136" s="15"/>
      <c r="F136" s="15"/>
      <c r="G136" s="15"/>
      <c r="H136" s="15"/>
      <c r="I136" s="15"/>
      <c r="J136" s="15"/>
      <c r="K136" s="15"/>
      <c r="L136" s="15"/>
      <c r="M136" s="15"/>
      <c r="N136" s="15"/>
      <c r="O136" s="15"/>
      <c r="P136" s="15"/>
      <c r="Q136" s="15"/>
    </row>
    <row r="137" spans="2:17" x14ac:dyDescent="0.25">
      <c r="B137" s="15"/>
      <c r="C137" s="15"/>
      <c r="D137" s="15"/>
      <c r="E137" s="15"/>
      <c r="F137" s="15"/>
      <c r="G137" s="15"/>
      <c r="H137" s="15"/>
      <c r="I137" s="15"/>
      <c r="J137" s="15"/>
      <c r="K137" s="15"/>
      <c r="L137" s="15"/>
      <c r="M137" s="15"/>
      <c r="N137" s="15"/>
      <c r="O137" s="15"/>
      <c r="P137" s="15"/>
      <c r="Q137" s="15"/>
    </row>
    <row r="138" spans="2:17" x14ac:dyDescent="0.25">
      <c r="B138" s="15"/>
      <c r="C138" s="15"/>
      <c r="D138" s="15"/>
      <c r="E138" s="15"/>
      <c r="F138" s="15"/>
      <c r="G138" s="15"/>
      <c r="H138" s="15"/>
      <c r="I138" s="15"/>
      <c r="J138" s="15"/>
      <c r="K138" s="15"/>
      <c r="L138" s="15"/>
      <c r="M138" s="15"/>
      <c r="N138" s="15"/>
      <c r="O138" s="15"/>
      <c r="P138" s="15"/>
      <c r="Q138" s="15"/>
    </row>
    <row r="139" spans="2:17" x14ac:dyDescent="0.25">
      <c r="B139" s="15"/>
      <c r="C139" s="15"/>
      <c r="D139" s="15"/>
      <c r="E139" s="15"/>
      <c r="F139" s="15"/>
      <c r="G139" s="15"/>
      <c r="H139" s="15"/>
      <c r="I139" s="15"/>
      <c r="J139" s="15"/>
      <c r="K139" s="15"/>
      <c r="L139" s="15"/>
      <c r="M139" s="15"/>
      <c r="N139" s="15"/>
      <c r="O139" s="15"/>
      <c r="P139" s="15"/>
      <c r="Q139" s="15"/>
    </row>
    <row r="140" spans="2:17" x14ac:dyDescent="0.25">
      <c r="B140" s="15"/>
      <c r="C140" s="15"/>
      <c r="D140" s="15"/>
      <c r="E140" s="15"/>
      <c r="F140" s="15"/>
      <c r="G140" s="15"/>
      <c r="H140" s="15"/>
      <c r="I140" s="15"/>
      <c r="J140" s="15"/>
      <c r="K140" s="15"/>
      <c r="L140" s="15"/>
      <c r="M140" s="15"/>
      <c r="N140" s="15"/>
      <c r="O140" s="15"/>
      <c r="P140" s="15"/>
      <c r="Q140" s="15"/>
    </row>
    <row r="141" spans="2:17" x14ac:dyDescent="0.25">
      <c r="B141" s="15"/>
      <c r="C141" s="15"/>
      <c r="D141" s="15"/>
      <c r="E141" s="15"/>
      <c r="F141" s="15"/>
      <c r="G141" s="15"/>
      <c r="H141" s="15"/>
      <c r="I141" s="15"/>
      <c r="J141" s="15"/>
      <c r="K141" s="15"/>
      <c r="L141" s="15"/>
      <c r="M141" s="15"/>
      <c r="N141" s="15"/>
      <c r="O141" s="15"/>
      <c r="P141" s="15"/>
      <c r="Q141" s="15"/>
    </row>
    <row r="142" spans="2:17" x14ac:dyDescent="0.25">
      <c r="B142" s="15"/>
      <c r="C142" s="15"/>
      <c r="D142" s="15"/>
      <c r="E142" s="15"/>
      <c r="F142" s="15"/>
      <c r="G142" s="15"/>
      <c r="H142" s="15"/>
      <c r="I142" s="15"/>
      <c r="J142" s="15"/>
      <c r="K142" s="15"/>
      <c r="L142" s="15"/>
      <c r="M142" s="15"/>
      <c r="N142" s="15"/>
      <c r="O142" s="15"/>
      <c r="P142" s="15"/>
      <c r="Q142" s="15"/>
    </row>
    <row r="143" spans="2:17" x14ac:dyDescent="0.25">
      <c r="B143" s="15"/>
      <c r="C143" s="15"/>
      <c r="D143" s="15"/>
      <c r="E143" s="15"/>
      <c r="F143" s="15"/>
      <c r="G143" s="15"/>
      <c r="H143" s="15"/>
      <c r="I143" s="15"/>
      <c r="J143" s="15"/>
      <c r="K143" s="15"/>
      <c r="L143" s="15"/>
      <c r="M143" s="15"/>
      <c r="N143" s="15"/>
      <c r="O143" s="15"/>
      <c r="P143" s="15"/>
      <c r="Q143" s="15"/>
    </row>
    <row r="144" spans="2:17" x14ac:dyDescent="0.25">
      <c r="B144" s="15"/>
      <c r="C144" s="15"/>
      <c r="D144" s="15"/>
      <c r="E144" s="15"/>
      <c r="F144" s="15"/>
      <c r="G144" s="15"/>
      <c r="H144" s="15"/>
      <c r="I144" s="15"/>
      <c r="J144" s="15"/>
      <c r="K144" s="15"/>
      <c r="L144" s="15"/>
      <c r="M144" s="15"/>
      <c r="N144" s="15"/>
      <c r="O144" s="15"/>
      <c r="P144" s="15"/>
      <c r="Q144" s="15"/>
    </row>
    <row r="145" spans="2:17" x14ac:dyDescent="0.25">
      <c r="B145" s="15"/>
      <c r="C145" s="15"/>
      <c r="D145" s="15"/>
      <c r="E145" s="15"/>
      <c r="F145" s="15"/>
      <c r="G145" s="15"/>
      <c r="H145" s="15"/>
      <c r="I145" s="15"/>
      <c r="J145" s="15"/>
      <c r="K145" s="15"/>
      <c r="L145" s="15"/>
      <c r="M145" s="15"/>
      <c r="N145" s="15"/>
      <c r="O145" s="15"/>
      <c r="P145" s="15"/>
      <c r="Q145" s="15"/>
    </row>
    <row r="146" spans="2:17" x14ac:dyDescent="0.25">
      <c r="B146" s="15"/>
      <c r="C146" s="15"/>
      <c r="D146" s="15"/>
      <c r="E146" s="15"/>
      <c r="F146" s="15"/>
      <c r="G146" s="15"/>
      <c r="H146" s="15"/>
      <c r="I146" s="15"/>
      <c r="J146" s="15"/>
      <c r="K146" s="15"/>
      <c r="L146" s="15"/>
      <c r="M146" s="15"/>
      <c r="N146" s="15"/>
      <c r="O146" s="15"/>
      <c r="P146" s="15"/>
      <c r="Q146" s="15"/>
    </row>
    <row r="147" spans="2:17" x14ac:dyDescent="0.25">
      <c r="B147" s="15"/>
      <c r="C147" s="15"/>
      <c r="D147" s="15"/>
      <c r="E147" s="15"/>
      <c r="F147" s="15"/>
      <c r="G147" s="15"/>
      <c r="H147" s="15"/>
      <c r="I147" s="15"/>
      <c r="J147" s="15"/>
      <c r="K147" s="15"/>
      <c r="L147" s="15"/>
      <c r="M147" s="15"/>
      <c r="N147" s="15"/>
      <c r="O147" s="15"/>
      <c r="P147" s="15"/>
      <c r="Q147" s="15"/>
    </row>
    <row r="148" spans="2:17" x14ac:dyDescent="0.25">
      <c r="B148" s="15"/>
      <c r="C148" s="15"/>
      <c r="D148" s="15"/>
      <c r="E148" s="15"/>
      <c r="F148" s="15"/>
      <c r="G148" s="15"/>
      <c r="H148" s="15"/>
      <c r="I148" s="15"/>
      <c r="J148" s="15"/>
      <c r="K148" s="15"/>
      <c r="L148" s="15"/>
      <c r="M148" s="15"/>
      <c r="N148" s="15"/>
      <c r="O148" s="15"/>
      <c r="P148" s="15"/>
      <c r="Q148" s="15"/>
    </row>
    <row r="149" spans="2:17" x14ac:dyDescent="0.25">
      <c r="B149" s="15"/>
      <c r="C149" s="15"/>
      <c r="D149" s="15"/>
      <c r="E149" s="15"/>
      <c r="F149" s="15"/>
      <c r="G149" s="15"/>
      <c r="H149" s="15"/>
      <c r="I149" s="15"/>
      <c r="J149" s="15"/>
      <c r="K149" s="15"/>
      <c r="L149" s="15"/>
      <c r="M149" s="15"/>
      <c r="N149" s="15"/>
      <c r="O149" s="15"/>
      <c r="P149" s="15"/>
      <c r="Q149" s="15"/>
    </row>
    <row r="150" spans="2:17" x14ac:dyDescent="0.25">
      <c r="B150" s="15"/>
      <c r="C150" s="15"/>
      <c r="D150" s="15"/>
      <c r="E150" s="15"/>
      <c r="F150" s="15"/>
      <c r="G150" s="15"/>
      <c r="H150" s="15"/>
      <c r="I150" s="15"/>
      <c r="J150" s="15"/>
      <c r="K150" s="15"/>
      <c r="L150" s="15"/>
      <c r="M150" s="15"/>
      <c r="N150" s="15"/>
      <c r="O150" s="15"/>
      <c r="P150" s="15"/>
      <c r="Q150" s="15"/>
    </row>
    <row r="151" spans="2:17" x14ac:dyDescent="0.25">
      <c r="B151" s="15"/>
      <c r="C151" s="15"/>
      <c r="D151" s="15"/>
      <c r="E151" s="15"/>
      <c r="F151" s="15"/>
      <c r="G151" s="15"/>
      <c r="H151" s="15"/>
      <c r="I151" s="15"/>
      <c r="J151" s="15"/>
      <c r="K151" s="15"/>
      <c r="L151" s="15"/>
      <c r="M151" s="15"/>
      <c r="N151" s="15"/>
      <c r="O151" s="15"/>
      <c r="P151" s="15"/>
      <c r="Q151" s="15"/>
    </row>
    <row r="152" spans="2:17" x14ac:dyDescent="0.25">
      <c r="B152" s="15"/>
      <c r="C152" s="15"/>
      <c r="D152" s="15"/>
      <c r="E152" s="15"/>
      <c r="F152" s="15"/>
      <c r="G152" s="15"/>
      <c r="H152" s="15"/>
      <c r="I152" s="15"/>
      <c r="J152" s="15"/>
      <c r="K152" s="15"/>
      <c r="L152" s="15"/>
      <c r="M152" s="15"/>
      <c r="N152" s="15"/>
      <c r="O152" s="15"/>
      <c r="P152" s="15"/>
      <c r="Q152" s="15"/>
    </row>
    <row r="153" spans="2:17" x14ac:dyDescent="0.25">
      <c r="B153" s="15"/>
      <c r="C153" s="15"/>
      <c r="D153" s="15"/>
      <c r="E153" s="15"/>
      <c r="F153" s="15"/>
      <c r="G153" s="15"/>
      <c r="H153" s="15"/>
      <c r="I153" s="15"/>
      <c r="J153" s="15"/>
      <c r="K153" s="15"/>
      <c r="L153" s="15"/>
      <c r="M153" s="15"/>
      <c r="N153" s="15"/>
      <c r="O153" s="15"/>
      <c r="P153" s="15"/>
      <c r="Q153" s="15"/>
    </row>
    <row r="154" spans="2:17" x14ac:dyDescent="0.25">
      <c r="B154" s="15"/>
      <c r="C154" s="15"/>
      <c r="D154" s="15"/>
      <c r="E154" s="15"/>
      <c r="F154" s="15"/>
      <c r="G154" s="15"/>
      <c r="H154" s="15"/>
      <c r="I154" s="15"/>
      <c r="J154" s="15"/>
      <c r="K154" s="15"/>
      <c r="L154" s="15"/>
      <c r="M154" s="15"/>
      <c r="N154" s="15"/>
      <c r="O154" s="15"/>
      <c r="P154" s="15"/>
      <c r="Q154" s="15"/>
    </row>
    <row r="155" spans="2:17" x14ac:dyDescent="0.25">
      <c r="B155" s="15"/>
      <c r="C155" s="15"/>
      <c r="D155" s="15"/>
      <c r="E155" s="15"/>
      <c r="F155" s="15"/>
      <c r="G155" s="15"/>
      <c r="H155" s="15"/>
      <c r="I155" s="15"/>
      <c r="J155" s="15"/>
      <c r="K155" s="15"/>
      <c r="L155" s="15"/>
      <c r="M155" s="15"/>
      <c r="N155" s="15"/>
      <c r="O155" s="15"/>
      <c r="P155" s="15"/>
      <c r="Q155" s="15"/>
    </row>
    <row r="156" spans="2:17" x14ac:dyDescent="0.25">
      <c r="B156" s="15"/>
      <c r="C156" s="15"/>
      <c r="D156" s="15"/>
      <c r="E156" s="15"/>
      <c r="F156" s="15"/>
      <c r="G156" s="15"/>
      <c r="H156" s="15"/>
      <c r="I156" s="15"/>
      <c r="J156" s="15"/>
      <c r="K156" s="15"/>
      <c r="L156" s="15"/>
      <c r="M156" s="15"/>
      <c r="N156" s="15"/>
      <c r="O156" s="15"/>
      <c r="P156" s="15"/>
      <c r="Q156" s="15"/>
    </row>
    <row r="157" spans="2:17" x14ac:dyDescent="0.25">
      <c r="B157" s="15"/>
      <c r="C157" s="15"/>
      <c r="D157" s="15"/>
      <c r="E157" s="15"/>
      <c r="F157" s="15"/>
      <c r="G157" s="15"/>
      <c r="H157" s="15"/>
      <c r="I157" s="15"/>
      <c r="J157" s="15"/>
      <c r="K157" s="15"/>
      <c r="L157" s="15"/>
      <c r="M157" s="15"/>
      <c r="N157" s="15"/>
      <c r="O157" s="15"/>
      <c r="P157" s="15"/>
      <c r="Q157" s="15"/>
    </row>
    <row r="158" spans="2:17" x14ac:dyDescent="0.25">
      <c r="B158" s="15"/>
      <c r="C158" s="15"/>
      <c r="D158" s="15"/>
      <c r="E158" s="15"/>
      <c r="F158" s="15"/>
      <c r="G158" s="15"/>
      <c r="H158" s="15"/>
      <c r="I158" s="15"/>
      <c r="J158" s="15"/>
      <c r="K158" s="15"/>
      <c r="L158" s="15"/>
      <c r="M158" s="15"/>
      <c r="N158" s="15"/>
      <c r="O158" s="15"/>
      <c r="P158" s="15"/>
      <c r="Q158" s="15"/>
    </row>
    <row r="159" spans="2:17" x14ac:dyDescent="0.25">
      <c r="B159" s="15"/>
      <c r="C159" s="15"/>
      <c r="D159" s="15"/>
      <c r="E159" s="15"/>
      <c r="F159" s="15"/>
      <c r="G159" s="15"/>
      <c r="H159" s="15"/>
      <c r="I159" s="15"/>
      <c r="J159" s="15"/>
      <c r="K159" s="15"/>
      <c r="L159" s="15"/>
      <c r="M159" s="15"/>
      <c r="N159" s="15"/>
      <c r="O159" s="15"/>
      <c r="P159" s="15"/>
      <c r="Q159" s="15"/>
    </row>
    <row r="160" spans="2:17" x14ac:dyDescent="0.25">
      <c r="B160" s="15"/>
      <c r="C160" s="15"/>
      <c r="D160" s="15"/>
      <c r="E160" s="15"/>
      <c r="F160" s="15"/>
      <c r="G160" s="15"/>
      <c r="H160" s="15"/>
      <c r="I160" s="15"/>
      <c r="J160" s="15"/>
      <c r="K160" s="15"/>
      <c r="L160" s="15"/>
      <c r="M160" s="15"/>
      <c r="N160" s="15"/>
      <c r="O160" s="15"/>
      <c r="P160" s="15"/>
      <c r="Q160" s="15"/>
    </row>
    <row r="161" spans="2:17" x14ac:dyDescent="0.25">
      <c r="B161" s="15"/>
      <c r="C161" s="15"/>
      <c r="D161" s="15"/>
      <c r="E161" s="15"/>
      <c r="F161" s="15"/>
      <c r="G161" s="15"/>
      <c r="H161" s="15"/>
      <c r="I161" s="15"/>
      <c r="J161" s="15"/>
      <c r="K161" s="15"/>
      <c r="L161" s="15"/>
      <c r="M161" s="15"/>
      <c r="N161" s="15"/>
      <c r="O161" s="15"/>
      <c r="P161" s="15"/>
      <c r="Q161" s="15"/>
    </row>
    <row r="162" spans="2:17" x14ac:dyDescent="0.25">
      <c r="B162" s="15"/>
      <c r="C162" s="15"/>
      <c r="D162" s="15"/>
      <c r="E162" s="15"/>
      <c r="F162" s="15"/>
      <c r="G162" s="15"/>
      <c r="H162" s="15"/>
      <c r="I162" s="15"/>
      <c r="J162" s="15"/>
      <c r="K162" s="15"/>
      <c r="L162" s="15"/>
      <c r="M162" s="15"/>
      <c r="N162" s="15"/>
      <c r="O162" s="15"/>
      <c r="P162" s="15"/>
      <c r="Q162" s="15"/>
    </row>
    <row r="163" spans="2:17" x14ac:dyDescent="0.25">
      <c r="B163" s="15"/>
      <c r="C163" s="15"/>
      <c r="D163" s="15"/>
      <c r="E163" s="15"/>
      <c r="F163" s="15"/>
      <c r="G163" s="15"/>
      <c r="H163" s="15"/>
      <c r="I163" s="15"/>
      <c r="J163" s="15"/>
      <c r="K163" s="15"/>
      <c r="L163" s="15"/>
      <c r="M163" s="15"/>
      <c r="N163" s="15"/>
      <c r="O163" s="15"/>
      <c r="P163" s="15"/>
      <c r="Q163" s="15"/>
    </row>
    <row r="164" spans="2:17" x14ac:dyDescent="0.25">
      <c r="B164" s="15"/>
      <c r="C164" s="15"/>
      <c r="D164" s="15"/>
      <c r="E164" s="15"/>
      <c r="F164" s="15"/>
      <c r="G164" s="15"/>
      <c r="H164" s="15"/>
      <c r="I164" s="15"/>
      <c r="J164" s="15"/>
      <c r="K164" s="15"/>
      <c r="L164" s="15"/>
      <c r="M164" s="15"/>
      <c r="N164" s="15"/>
      <c r="O164" s="15"/>
      <c r="P164" s="15"/>
      <c r="Q164" s="15"/>
    </row>
    <row r="165" spans="2:17" x14ac:dyDescent="0.25">
      <c r="B165" s="15"/>
      <c r="C165" s="15"/>
      <c r="D165" s="15"/>
      <c r="E165" s="15"/>
      <c r="F165" s="15"/>
      <c r="G165" s="15"/>
      <c r="H165" s="15"/>
      <c r="I165" s="15"/>
      <c r="J165" s="15"/>
      <c r="K165" s="15"/>
      <c r="L165" s="15"/>
      <c r="M165" s="15"/>
      <c r="N165" s="15"/>
      <c r="O165" s="15"/>
      <c r="P165" s="15"/>
      <c r="Q165" s="15"/>
    </row>
    <row r="166" spans="2:17" x14ac:dyDescent="0.25">
      <c r="B166" s="15"/>
      <c r="C166" s="15"/>
      <c r="D166" s="15"/>
      <c r="E166" s="15"/>
      <c r="F166" s="15"/>
      <c r="G166" s="15"/>
      <c r="H166" s="15"/>
      <c r="I166" s="15"/>
      <c r="J166" s="15"/>
      <c r="K166" s="15"/>
      <c r="L166" s="15"/>
      <c r="M166" s="15"/>
      <c r="N166" s="15"/>
      <c r="O166" s="15"/>
      <c r="P166" s="15"/>
      <c r="Q166" s="15"/>
    </row>
    <row r="167" spans="2:17" x14ac:dyDescent="0.25">
      <c r="B167" s="15"/>
      <c r="C167" s="15"/>
      <c r="D167" s="15"/>
      <c r="E167" s="15"/>
      <c r="F167" s="15"/>
      <c r="G167" s="15"/>
      <c r="H167" s="15"/>
      <c r="I167" s="15"/>
      <c r="J167" s="15"/>
      <c r="K167" s="15"/>
      <c r="L167" s="15"/>
      <c r="M167" s="15"/>
      <c r="N167" s="15"/>
      <c r="O167" s="15"/>
      <c r="P167" s="15"/>
      <c r="Q167" s="15"/>
    </row>
    <row r="168" spans="2:17" x14ac:dyDescent="0.25">
      <c r="B168" s="15"/>
      <c r="C168" s="15"/>
      <c r="D168" s="15"/>
      <c r="E168" s="15"/>
      <c r="F168" s="15"/>
      <c r="G168" s="15"/>
      <c r="H168" s="15"/>
      <c r="I168" s="15"/>
      <c r="J168" s="15"/>
      <c r="K168" s="15"/>
      <c r="L168" s="15"/>
      <c r="M168" s="15"/>
      <c r="N168" s="15"/>
      <c r="O168" s="15"/>
      <c r="P168" s="15"/>
      <c r="Q168" s="15"/>
    </row>
    <row r="169" spans="2:17" x14ac:dyDescent="0.25">
      <c r="B169" s="15"/>
      <c r="C169" s="15"/>
      <c r="D169" s="15"/>
      <c r="E169" s="15"/>
      <c r="F169" s="15"/>
      <c r="G169" s="15"/>
      <c r="H169" s="15"/>
      <c r="I169" s="15"/>
      <c r="J169" s="15"/>
      <c r="K169" s="15"/>
      <c r="L169" s="15"/>
      <c r="M169" s="15"/>
      <c r="N169" s="15"/>
      <c r="O169" s="15"/>
      <c r="P169" s="15"/>
      <c r="Q169" s="15"/>
    </row>
    <row r="170" spans="2:17" x14ac:dyDescent="0.25">
      <c r="B170" s="15"/>
      <c r="C170" s="15"/>
      <c r="D170" s="15"/>
      <c r="E170" s="15"/>
      <c r="F170" s="15"/>
      <c r="G170" s="15"/>
      <c r="H170" s="15"/>
      <c r="I170" s="15"/>
      <c r="J170" s="15"/>
      <c r="K170" s="15"/>
      <c r="L170" s="15"/>
      <c r="M170" s="15"/>
      <c r="N170" s="15"/>
      <c r="O170" s="15"/>
      <c r="P170" s="15"/>
      <c r="Q170" s="15"/>
    </row>
    <row r="171" spans="2:17" x14ac:dyDescent="0.25">
      <c r="B171" s="15"/>
      <c r="C171" s="15"/>
      <c r="D171" s="15"/>
      <c r="E171" s="15"/>
      <c r="F171" s="15"/>
      <c r="G171" s="15"/>
      <c r="H171" s="15"/>
      <c r="I171" s="15"/>
      <c r="J171" s="15"/>
      <c r="K171" s="15"/>
      <c r="L171" s="15"/>
      <c r="M171" s="15"/>
      <c r="N171" s="15"/>
      <c r="O171" s="15"/>
      <c r="P171" s="15"/>
      <c r="Q171" s="15"/>
    </row>
    <row r="172" spans="2:17" x14ac:dyDescent="0.25">
      <c r="B172" s="15"/>
      <c r="C172" s="15"/>
      <c r="D172" s="15"/>
      <c r="E172" s="15"/>
      <c r="F172" s="15"/>
      <c r="G172" s="15"/>
      <c r="H172" s="15"/>
      <c r="I172" s="15"/>
      <c r="J172" s="15"/>
      <c r="K172" s="15"/>
      <c r="L172" s="15"/>
      <c r="M172" s="15"/>
      <c r="N172" s="15"/>
      <c r="O172" s="15"/>
      <c r="P172" s="15"/>
      <c r="Q172" s="15"/>
    </row>
    <row r="173" spans="2:17" x14ac:dyDescent="0.25">
      <c r="B173" s="15"/>
      <c r="C173" s="15"/>
      <c r="D173" s="15"/>
      <c r="E173" s="15"/>
      <c r="F173" s="15"/>
      <c r="G173" s="15"/>
      <c r="H173" s="15"/>
      <c r="I173" s="15"/>
      <c r="J173" s="15"/>
      <c r="K173" s="15"/>
      <c r="L173" s="15"/>
      <c r="M173" s="15"/>
      <c r="N173" s="15"/>
      <c r="O173" s="15"/>
      <c r="P173" s="15"/>
      <c r="Q173" s="15"/>
    </row>
    <row r="174" spans="2:17" x14ac:dyDescent="0.25">
      <c r="B174" s="15"/>
      <c r="C174" s="15"/>
      <c r="D174" s="15"/>
      <c r="E174" s="15"/>
      <c r="F174" s="15"/>
      <c r="G174" s="15"/>
      <c r="H174" s="15"/>
      <c r="I174" s="15"/>
      <c r="J174" s="15"/>
      <c r="K174" s="15"/>
      <c r="L174" s="15"/>
      <c r="M174" s="15"/>
      <c r="N174" s="15"/>
      <c r="O174" s="15"/>
      <c r="P174" s="15"/>
      <c r="Q174" s="15"/>
    </row>
    <row r="175" spans="2:17" x14ac:dyDescent="0.25">
      <c r="B175" s="15"/>
      <c r="C175" s="15"/>
      <c r="D175" s="15"/>
      <c r="E175" s="15"/>
      <c r="F175" s="15"/>
      <c r="G175" s="15"/>
      <c r="H175" s="15"/>
      <c r="I175" s="15"/>
      <c r="J175" s="15"/>
      <c r="K175" s="15"/>
      <c r="L175" s="15"/>
      <c r="M175" s="15"/>
      <c r="N175" s="15"/>
      <c r="O175" s="15"/>
      <c r="P175" s="15"/>
      <c r="Q175" s="15"/>
    </row>
    <row r="176" spans="2:17" x14ac:dyDescent="0.25">
      <c r="B176" s="15"/>
      <c r="C176" s="15"/>
      <c r="D176" s="15"/>
      <c r="E176" s="15"/>
      <c r="F176" s="15"/>
      <c r="G176" s="15"/>
      <c r="H176" s="15"/>
      <c r="I176" s="15"/>
      <c r="J176" s="15"/>
      <c r="K176" s="15"/>
      <c r="L176" s="15"/>
      <c r="M176" s="15"/>
      <c r="N176" s="15"/>
      <c r="O176" s="15"/>
      <c r="P176" s="15"/>
      <c r="Q176" s="15"/>
    </row>
    <row r="177" spans="2:17" x14ac:dyDescent="0.25">
      <c r="B177" s="15"/>
      <c r="C177" s="15"/>
      <c r="D177" s="15"/>
      <c r="E177" s="15"/>
      <c r="F177" s="15"/>
      <c r="G177" s="15"/>
      <c r="H177" s="15"/>
      <c r="I177" s="15"/>
      <c r="J177" s="15"/>
      <c r="K177" s="15"/>
      <c r="L177" s="15"/>
      <c r="M177" s="15"/>
      <c r="N177" s="15"/>
      <c r="O177" s="15"/>
      <c r="P177" s="15"/>
      <c r="Q177" s="15"/>
    </row>
    <row r="178" spans="2:17" x14ac:dyDescent="0.25">
      <c r="B178" s="15"/>
      <c r="C178" s="15"/>
      <c r="D178" s="15"/>
      <c r="E178" s="15"/>
      <c r="F178" s="15"/>
      <c r="G178" s="15"/>
      <c r="H178" s="15"/>
      <c r="I178" s="15"/>
      <c r="J178" s="15"/>
      <c r="K178" s="15"/>
      <c r="L178" s="15"/>
      <c r="M178" s="15"/>
      <c r="N178" s="15"/>
      <c r="O178" s="15"/>
      <c r="P178" s="15"/>
      <c r="Q178" s="15"/>
    </row>
    <row r="179" spans="2:17" x14ac:dyDescent="0.25">
      <c r="B179" s="15"/>
      <c r="C179" s="15"/>
      <c r="D179" s="15"/>
      <c r="E179" s="15"/>
      <c r="F179" s="15"/>
      <c r="G179" s="15"/>
      <c r="H179" s="15"/>
      <c r="I179" s="15"/>
      <c r="J179" s="15"/>
      <c r="K179" s="15"/>
      <c r="L179" s="15"/>
      <c r="M179" s="15"/>
      <c r="N179" s="15"/>
      <c r="O179" s="15"/>
      <c r="P179" s="15"/>
      <c r="Q179" s="15"/>
    </row>
    <row r="180" spans="2:17" x14ac:dyDescent="0.25">
      <c r="B180" s="15"/>
      <c r="C180" s="15"/>
      <c r="D180" s="15"/>
      <c r="E180" s="15"/>
      <c r="F180" s="15"/>
      <c r="G180" s="15"/>
      <c r="H180" s="15"/>
      <c r="I180" s="15"/>
      <c r="J180" s="15"/>
      <c r="K180" s="15"/>
      <c r="L180" s="15"/>
      <c r="M180" s="15"/>
      <c r="N180" s="15"/>
      <c r="O180" s="15"/>
      <c r="P180" s="15"/>
      <c r="Q180" s="15"/>
    </row>
    <row r="181" spans="2:17" x14ac:dyDescent="0.25">
      <c r="B181" s="15"/>
      <c r="C181" s="15"/>
      <c r="D181" s="15"/>
      <c r="E181" s="15"/>
      <c r="F181" s="15"/>
      <c r="G181" s="15"/>
      <c r="H181" s="15"/>
      <c r="I181" s="15"/>
      <c r="J181" s="15"/>
      <c r="K181" s="15"/>
      <c r="L181" s="15"/>
      <c r="M181" s="15"/>
      <c r="N181" s="15"/>
      <c r="O181" s="15"/>
      <c r="P181" s="15"/>
      <c r="Q181" s="15"/>
    </row>
    <row r="182" spans="2:17" x14ac:dyDescent="0.25">
      <c r="B182" s="15"/>
      <c r="C182" s="15"/>
      <c r="D182" s="15"/>
      <c r="E182" s="15"/>
      <c r="F182" s="15"/>
      <c r="G182" s="15"/>
      <c r="H182" s="15"/>
      <c r="I182" s="15"/>
      <c r="J182" s="15"/>
      <c r="K182" s="15"/>
      <c r="L182" s="15"/>
      <c r="M182" s="15"/>
      <c r="N182" s="15"/>
      <c r="O182" s="15"/>
      <c r="P182" s="15"/>
      <c r="Q182" s="15"/>
    </row>
    <row r="183" spans="2:17" x14ac:dyDescent="0.25">
      <c r="B183" s="15"/>
      <c r="C183" s="15"/>
      <c r="D183" s="15"/>
      <c r="E183" s="15"/>
      <c r="F183" s="15"/>
      <c r="G183" s="15"/>
      <c r="H183" s="15"/>
      <c r="I183" s="15"/>
      <c r="J183" s="15"/>
      <c r="K183" s="15"/>
      <c r="L183" s="15"/>
      <c r="M183" s="15"/>
      <c r="N183" s="15"/>
      <c r="O183" s="15"/>
      <c r="P183" s="15"/>
      <c r="Q183" s="15"/>
    </row>
    <row r="184" spans="2:17" x14ac:dyDescent="0.25">
      <c r="B184" s="15"/>
      <c r="C184" s="15"/>
      <c r="D184" s="15"/>
      <c r="E184" s="15"/>
      <c r="F184" s="15"/>
      <c r="G184" s="15"/>
      <c r="H184" s="15"/>
      <c r="I184" s="15"/>
      <c r="J184" s="15"/>
      <c r="K184" s="15"/>
      <c r="L184" s="15"/>
      <c r="M184" s="15"/>
      <c r="N184" s="15"/>
      <c r="O184" s="15"/>
      <c r="P184" s="15"/>
      <c r="Q184" s="15"/>
    </row>
    <row r="185" spans="2:17" x14ac:dyDescent="0.25">
      <c r="B185" s="15"/>
      <c r="C185" s="15"/>
      <c r="D185" s="15"/>
      <c r="E185" s="15"/>
      <c r="F185" s="15"/>
      <c r="G185" s="15"/>
      <c r="H185" s="15"/>
      <c r="I185" s="15"/>
      <c r="J185" s="15"/>
      <c r="K185" s="15"/>
      <c r="L185" s="15"/>
      <c r="M185" s="15"/>
      <c r="N185" s="15"/>
      <c r="O185" s="15"/>
      <c r="P185" s="15"/>
      <c r="Q185" s="15"/>
    </row>
    <row r="186" spans="2:17" x14ac:dyDescent="0.25">
      <c r="B186" s="15"/>
      <c r="C186" s="15"/>
      <c r="D186" s="15"/>
      <c r="E186" s="15"/>
      <c r="F186" s="15"/>
      <c r="G186" s="15"/>
      <c r="H186" s="15"/>
      <c r="I186" s="15"/>
      <c r="J186" s="15"/>
      <c r="K186" s="15"/>
      <c r="L186" s="15"/>
      <c r="M186" s="15"/>
      <c r="N186" s="15"/>
      <c r="O186" s="15"/>
      <c r="P186" s="15"/>
      <c r="Q186" s="15"/>
    </row>
    <row r="187" spans="2:17" x14ac:dyDescent="0.25">
      <c r="B187" s="15"/>
      <c r="C187" s="15"/>
      <c r="D187" s="15"/>
      <c r="E187" s="15"/>
      <c r="F187" s="15"/>
      <c r="G187" s="15"/>
      <c r="H187" s="15"/>
      <c r="I187" s="15"/>
      <c r="J187" s="15"/>
      <c r="K187" s="15"/>
      <c r="L187" s="15"/>
      <c r="M187" s="15"/>
      <c r="N187" s="15"/>
      <c r="O187" s="15"/>
      <c r="P187" s="15"/>
      <c r="Q187" s="15"/>
    </row>
    <row r="188" spans="2:17" x14ac:dyDescent="0.25">
      <c r="B188" s="15"/>
      <c r="C188" s="15"/>
      <c r="D188" s="15"/>
      <c r="E188" s="15"/>
      <c r="F188" s="15"/>
      <c r="G188" s="15"/>
      <c r="H188" s="15"/>
      <c r="I188" s="15"/>
      <c r="J188" s="15"/>
      <c r="K188" s="15"/>
      <c r="L188" s="15"/>
      <c r="M188" s="15"/>
      <c r="N188" s="15"/>
      <c r="O188" s="15"/>
      <c r="P188" s="15"/>
      <c r="Q188" s="15"/>
    </row>
    <row r="189" spans="2:17" x14ac:dyDescent="0.25">
      <c r="B189" s="15"/>
      <c r="C189" s="15"/>
      <c r="D189" s="15"/>
      <c r="E189" s="15"/>
      <c r="F189" s="15"/>
      <c r="G189" s="15"/>
      <c r="H189" s="15"/>
      <c r="I189" s="15"/>
      <c r="J189" s="15"/>
      <c r="K189" s="15"/>
      <c r="L189" s="15"/>
      <c r="M189" s="15"/>
      <c r="N189" s="15"/>
      <c r="O189" s="15"/>
      <c r="P189" s="15"/>
      <c r="Q189" s="15"/>
    </row>
    <row r="190" spans="2:17" x14ac:dyDescent="0.25">
      <c r="B190" s="15"/>
      <c r="C190" s="15"/>
      <c r="D190" s="15"/>
      <c r="E190" s="15"/>
      <c r="F190" s="15"/>
      <c r="G190" s="15"/>
      <c r="H190" s="15"/>
      <c r="I190" s="15"/>
      <c r="J190" s="15"/>
      <c r="K190" s="15"/>
      <c r="L190" s="15"/>
      <c r="M190" s="15"/>
      <c r="N190" s="15"/>
      <c r="O190" s="15"/>
      <c r="P190" s="15"/>
      <c r="Q190" s="15"/>
    </row>
    <row r="191" spans="2:17" x14ac:dyDescent="0.25">
      <c r="B191" s="15"/>
      <c r="C191" s="15"/>
      <c r="D191" s="15"/>
      <c r="E191" s="15"/>
      <c r="F191" s="15"/>
      <c r="G191" s="15"/>
      <c r="H191" s="15"/>
      <c r="I191" s="15"/>
      <c r="J191" s="15"/>
      <c r="K191" s="15"/>
      <c r="L191" s="15"/>
      <c r="M191" s="15"/>
      <c r="N191" s="15"/>
      <c r="O191" s="15"/>
      <c r="P191" s="15"/>
      <c r="Q191" s="15"/>
    </row>
    <row r="192" spans="2:17" x14ac:dyDescent="0.25">
      <c r="B192" s="15"/>
      <c r="C192" s="15"/>
      <c r="D192" s="15"/>
      <c r="E192" s="15"/>
      <c r="F192" s="15"/>
      <c r="G192" s="15"/>
      <c r="H192" s="15"/>
      <c r="I192" s="15"/>
      <c r="J192" s="15"/>
      <c r="K192" s="15"/>
      <c r="L192" s="15"/>
      <c r="M192" s="15"/>
      <c r="N192" s="15"/>
      <c r="O192" s="15"/>
      <c r="P192" s="15"/>
      <c r="Q192" s="15"/>
    </row>
    <row r="193" spans="2:17" x14ac:dyDescent="0.25">
      <c r="B193" s="15"/>
      <c r="C193" s="15"/>
      <c r="D193" s="15"/>
      <c r="E193" s="15"/>
      <c r="F193" s="15"/>
      <c r="G193" s="15"/>
      <c r="H193" s="15"/>
      <c r="I193" s="15"/>
      <c r="J193" s="15"/>
      <c r="K193" s="15"/>
      <c r="L193" s="15"/>
      <c r="M193" s="15"/>
      <c r="N193" s="15"/>
      <c r="O193" s="15"/>
      <c r="P193" s="15"/>
      <c r="Q193" s="15"/>
    </row>
    <row r="194" spans="2:17" x14ac:dyDescent="0.25">
      <c r="B194" s="15"/>
      <c r="C194" s="15"/>
      <c r="D194" s="15"/>
      <c r="E194" s="15"/>
      <c r="F194" s="15"/>
      <c r="G194" s="15"/>
      <c r="H194" s="15"/>
      <c r="I194" s="15"/>
      <c r="J194" s="15"/>
      <c r="K194" s="15"/>
      <c r="L194" s="15"/>
      <c r="M194" s="15"/>
      <c r="N194" s="15"/>
      <c r="O194" s="15"/>
      <c r="P194" s="15"/>
      <c r="Q194" s="15"/>
    </row>
    <row r="195" spans="2:17" x14ac:dyDescent="0.25">
      <c r="B195" s="15"/>
      <c r="C195" s="15"/>
      <c r="D195" s="15"/>
      <c r="E195" s="15"/>
      <c r="F195" s="15"/>
      <c r="G195" s="15"/>
      <c r="H195" s="15"/>
      <c r="I195" s="15"/>
      <c r="J195" s="15"/>
      <c r="K195" s="15"/>
      <c r="L195" s="15"/>
      <c r="M195" s="15"/>
      <c r="N195" s="15"/>
      <c r="O195" s="15"/>
      <c r="P195" s="15"/>
      <c r="Q195" s="15"/>
    </row>
    <row r="196" spans="2:17" x14ac:dyDescent="0.25">
      <c r="B196" s="15"/>
      <c r="C196" s="15"/>
      <c r="D196" s="15"/>
      <c r="E196" s="15"/>
      <c r="F196" s="15"/>
      <c r="G196" s="15"/>
      <c r="H196" s="15"/>
      <c r="I196" s="15"/>
      <c r="J196" s="15"/>
      <c r="K196" s="15"/>
      <c r="L196" s="15"/>
      <c r="M196" s="15"/>
      <c r="N196" s="15"/>
      <c r="O196" s="15"/>
      <c r="P196" s="15"/>
      <c r="Q196" s="15"/>
    </row>
    <row r="197" spans="2:17" x14ac:dyDescent="0.25">
      <c r="B197" s="15"/>
      <c r="C197" s="15"/>
      <c r="D197" s="15"/>
      <c r="E197" s="15"/>
      <c r="F197" s="15"/>
      <c r="G197" s="15"/>
      <c r="H197" s="15"/>
      <c r="I197" s="15"/>
      <c r="J197" s="15"/>
      <c r="K197" s="15"/>
      <c r="L197" s="15"/>
      <c r="M197" s="15"/>
      <c r="N197" s="15"/>
      <c r="O197" s="15"/>
      <c r="P197" s="15"/>
      <c r="Q197" s="15"/>
    </row>
    <row r="198" spans="2:17" x14ac:dyDescent="0.25">
      <c r="B198" s="15"/>
      <c r="C198" s="15"/>
      <c r="D198" s="15"/>
      <c r="E198" s="15"/>
      <c r="F198" s="15"/>
      <c r="G198" s="15"/>
      <c r="H198" s="15"/>
      <c r="I198" s="15"/>
      <c r="J198" s="15"/>
      <c r="K198" s="15"/>
      <c r="L198" s="15"/>
      <c r="M198" s="15"/>
      <c r="N198" s="15"/>
      <c r="O198" s="15"/>
      <c r="P198" s="15"/>
      <c r="Q198" s="15"/>
    </row>
    <row r="199" spans="2:17" x14ac:dyDescent="0.25">
      <c r="B199" s="15"/>
      <c r="C199" s="15"/>
      <c r="D199" s="15"/>
      <c r="E199" s="15"/>
      <c r="F199" s="15"/>
      <c r="G199" s="15"/>
      <c r="H199" s="15"/>
      <c r="I199" s="15"/>
      <c r="J199" s="15"/>
      <c r="K199" s="15"/>
      <c r="L199" s="15"/>
      <c r="M199" s="15"/>
      <c r="N199" s="15"/>
      <c r="O199" s="15"/>
      <c r="P199" s="15"/>
      <c r="Q199" s="15"/>
    </row>
    <row r="200" spans="2:17" x14ac:dyDescent="0.25">
      <c r="B200" s="15"/>
      <c r="C200" s="15"/>
      <c r="D200" s="15"/>
      <c r="E200" s="15"/>
      <c r="F200" s="15"/>
      <c r="G200" s="15"/>
      <c r="H200" s="15"/>
      <c r="I200" s="15"/>
      <c r="J200" s="15"/>
      <c r="K200" s="15"/>
      <c r="L200" s="15"/>
      <c r="M200" s="15"/>
      <c r="N200" s="15"/>
      <c r="O200" s="15"/>
      <c r="P200" s="15"/>
      <c r="Q200" s="15"/>
    </row>
    <row r="201" spans="2:17" x14ac:dyDescent="0.25">
      <c r="B201" s="15"/>
      <c r="C201" s="15"/>
      <c r="D201" s="15"/>
      <c r="E201" s="15"/>
      <c r="F201" s="15"/>
      <c r="G201" s="15"/>
      <c r="H201" s="15"/>
      <c r="I201" s="15"/>
      <c r="J201" s="15"/>
      <c r="K201" s="15"/>
      <c r="L201" s="15"/>
      <c r="M201" s="15"/>
      <c r="N201" s="15"/>
      <c r="O201" s="15"/>
      <c r="P201" s="15"/>
      <c r="Q201" s="15"/>
    </row>
    <row r="202" spans="2:17" x14ac:dyDescent="0.25">
      <c r="B202" s="15"/>
      <c r="C202" s="15"/>
      <c r="D202" s="15"/>
      <c r="E202" s="15"/>
      <c r="F202" s="15"/>
      <c r="G202" s="15"/>
      <c r="H202" s="15"/>
      <c r="I202" s="15"/>
      <c r="J202" s="15"/>
      <c r="K202" s="15"/>
      <c r="L202" s="15"/>
      <c r="M202" s="15"/>
      <c r="N202" s="15"/>
      <c r="O202" s="15"/>
      <c r="P202" s="15"/>
      <c r="Q202" s="15"/>
    </row>
    <row r="203" spans="2:17" x14ac:dyDescent="0.25">
      <c r="B203" s="15"/>
      <c r="C203" s="15"/>
      <c r="D203" s="15"/>
      <c r="E203" s="15"/>
      <c r="F203" s="15"/>
      <c r="G203" s="15"/>
      <c r="H203" s="15"/>
      <c r="I203" s="15"/>
      <c r="J203" s="15"/>
      <c r="K203" s="15"/>
      <c r="L203" s="15"/>
      <c r="M203" s="15"/>
      <c r="N203" s="15"/>
      <c r="O203" s="15"/>
      <c r="P203" s="15"/>
      <c r="Q203" s="15"/>
    </row>
    <row r="204" spans="2:17" x14ac:dyDescent="0.25">
      <c r="B204" s="15"/>
      <c r="C204" s="15"/>
      <c r="D204" s="15"/>
      <c r="E204" s="15"/>
      <c r="F204" s="15"/>
      <c r="G204" s="15"/>
      <c r="H204" s="15"/>
      <c r="I204" s="15"/>
      <c r="J204" s="15"/>
      <c r="K204" s="15"/>
      <c r="L204" s="15"/>
      <c r="M204" s="15"/>
      <c r="N204" s="15"/>
      <c r="O204" s="15"/>
      <c r="P204" s="15"/>
      <c r="Q204" s="15"/>
    </row>
    <row r="205" spans="2:17" x14ac:dyDescent="0.25">
      <c r="B205" s="15"/>
      <c r="C205" s="15"/>
      <c r="D205" s="15"/>
      <c r="E205" s="15"/>
      <c r="F205" s="15"/>
      <c r="G205" s="15"/>
      <c r="H205" s="15"/>
      <c r="I205" s="15"/>
      <c r="J205" s="15"/>
      <c r="K205" s="15"/>
      <c r="L205" s="15"/>
      <c r="M205" s="15"/>
      <c r="N205" s="15"/>
      <c r="O205" s="15"/>
      <c r="P205" s="15"/>
      <c r="Q205" s="15"/>
    </row>
    <row r="206" spans="2:17" x14ac:dyDescent="0.25">
      <c r="B206" s="15"/>
      <c r="C206" s="15"/>
      <c r="D206" s="15"/>
      <c r="E206" s="15"/>
      <c r="F206" s="15"/>
      <c r="G206" s="15"/>
      <c r="H206" s="15"/>
      <c r="I206" s="15"/>
      <c r="J206" s="15"/>
      <c r="K206" s="15"/>
      <c r="L206" s="15"/>
      <c r="M206" s="15"/>
      <c r="N206" s="15"/>
      <c r="O206" s="15"/>
      <c r="P206" s="15"/>
      <c r="Q206" s="15"/>
    </row>
    <row r="207" spans="2:17" x14ac:dyDescent="0.25">
      <c r="B207" s="15"/>
      <c r="C207" s="15"/>
      <c r="D207" s="15"/>
      <c r="E207" s="15"/>
      <c r="F207" s="15"/>
      <c r="G207" s="15"/>
      <c r="H207" s="15"/>
      <c r="I207" s="15"/>
      <c r="J207" s="15"/>
      <c r="K207" s="15"/>
      <c r="L207" s="15"/>
      <c r="M207" s="15"/>
      <c r="N207" s="15"/>
      <c r="O207" s="15"/>
      <c r="P207" s="15"/>
      <c r="Q207" s="15"/>
    </row>
    <row r="208" spans="2:17" x14ac:dyDescent="0.25">
      <c r="B208" s="15"/>
      <c r="C208" s="15"/>
      <c r="D208" s="15"/>
      <c r="E208" s="15"/>
      <c r="F208" s="15"/>
      <c r="G208" s="15"/>
      <c r="H208" s="15"/>
      <c r="I208" s="15"/>
      <c r="J208" s="15"/>
      <c r="K208" s="15"/>
      <c r="L208" s="15"/>
      <c r="M208" s="15"/>
      <c r="N208" s="15"/>
      <c r="O208" s="15"/>
      <c r="P208" s="15"/>
      <c r="Q208" s="15"/>
    </row>
    <row r="209" spans="2:17" x14ac:dyDescent="0.25">
      <c r="B209" s="15"/>
      <c r="C209" s="15"/>
      <c r="D209" s="15"/>
      <c r="E209" s="15"/>
      <c r="F209" s="15"/>
      <c r="G209" s="15"/>
      <c r="H209" s="15"/>
      <c r="I209" s="15"/>
      <c r="J209" s="15"/>
      <c r="K209" s="15"/>
      <c r="L209" s="15"/>
      <c r="M209" s="15"/>
      <c r="N209" s="15"/>
      <c r="O209" s="15"/>
      <c r="P209" s="15"/>
      <c r="Q209" s="15"/>
    </row>
    <row r="210" spans="2:17" x14ac:dyDescent="0.25">
      <c r="B210" s="15"/>
      <c r="C210" s="15"/>
      <c r="D210" s="15"/>
      <c r="E210" s="15"/>
      <c r="F210" s="15"/>
      <c r="G210" s="15"/>
      <c r="H210" s="15"/>
      <c r="I210" s="15"/>
      <c r="J210" s="15"/>
      <c r="K210" s="15"/>
      <c r="L210" s="15"/>
      <c r="M210" s="15"/>
      <c r="N210" s="15"/>
      <c r="O210" s="15"/>
      <c r="P210" s="15"/>
      <c r="Q210" s="15"/>
    </row>
    <row r="211" spans="2:17" x14ac:dyDescent="0.25">
      <c r="B211" s="15"/>
      <c r="C211" s="15"/>
      <c r="D211" s="15"/>
      <c r="E211" s="15"/>
      <c r="F211" s="15"/>
      <c r="G211" s="15"/>
      <c r="H211" s="15"/>
      <c r="I211" s="15"/>
      <c r="J211" s="15"/>
      <c r="K211" s="15"/>
      <c r="L211" s="15"/>
      <c r="M211" s="15"/>
      <c r="N211" s="15"/>
      <c r="O211" s="15"/>
      <c r="P211" s="15"/>
      <c r="Q211" s="15"/>
    </row>
    <row r="212" spans="2:17" x14ac:dyDescent="0.25">
      <c r="B212" s="15"/>
      <c r="C212" s="15"/>
      <c r="D212" s="15"/>
      <c r="E212" s="15"/>
      <c r="F212" s="15"/>
      <c r="G212" s="15"/>
      <c r="H212" s="15"/>
      <c r="I212" s="15"/>
      <c r="J212" s="15"/>
      <c r="K212" s="15"/>
      <c r="L212" s="15"/>
      <c r="M212" s="15"/>
      <c r="N212" s="15"/>
      <c r="O212" s="15"/>
      <c r="P212" s="15"/>
      <c r="Q212" s="15"/>
    </row>
    <row r="213" spans="2:17" x14ac:dyDescent="0.25">
      <c r="B213" s="15"/>
      <c r="C213" s="15"/>
      <c r="D213" s="15"/>
      <c r="E213" s="15"/>
      <c r="F213" s="15"/>
      <c r="G213" s="15"/>
      <c r="H213" s="15"/>
      <c r="I213" s="15"/>
      <c r="J213" s="15"/>
      <c r="K213" s="15"/>
      <c r="L213" s="15"/>
      <c r="M213" s="15"/>
      <c r="N213" s="15"/>
      <c r="O213" s="15"/>
      <c r="P213" s="15"/>
      <c r="Q213" s="15"/>
    </row>
    <row r="214" spans="2:17" x14ac:dyDescent="0.25">
      <c r="B214" s="15"/>
      <c r="C214" s="15"/>
      <c r="D214" s="15"/>
      <c r="E214" s="15"/>
      <c r="F214" s="15"/>
      <c r="G214" s="15"/>
      <c r="H214" s="15"/>
      <c r="I214" s="15"/>
      <c r="J214" s="15"/>
      <c r="K214" s="15"/>
      <c r="L214" s="15"/>
      <c r="M214" s="15"/>
      <c r="N214" s="15"/>
      <c r="O214" s="15"/>
      <c r="P214" s="15"/>
      <c r="Q214" s="15"/>
    </row>
    <row r="215" spans="2:17" x14ac:dyDescent="0.25">
      <c r="B215" s="15"/>
      <c r="C215" s="15"/>
      <c r="D215" s="15"/>
      <c r="E215" s="15"/>
      <c r="F215" s="15"/>
      <c r="G215" s="15"/>
      <c r="H215" s="15"/>
      <c r="I215" s="15"/>
      <c r="J215" s="15"/>
      <c r="K215" s="15"/>
      <c r="L215" s="15"/>
      <c r="M215" s="15"/>
      <c r="N215" s="15"/>
      <c r="O215" s="15"/>
      <c r="P215" s="15"/>
      <c r="Q215" s="15"/>
    </row>
    <row r="216" spans="2:17" x14ac:dyDescent="0.25">
      <c r="B216" s="15"/>
      <c r="C216" s="15"/>
      <c r="D216" s="15"/>
      <c r="E216" s="15"/>
      <c r="F216" s="15"/>
      <c r="G216" s="15"/>
      <c r="H216" s="15"/>
      <c r="I216" s="15"/>
      <c r="J216" s="15"/>
      <c r="K216" s="15"/>
      <c r="L216" s="15"/>
      <c r="M216" s="15"/>
      <c r="N216" s="15"/>
      <c r="O216" s="15"/>
      <c r="P216" s="15"/>
      <c r="Q216" s="15"/>
    </row>
    <row r="217" spans="2:17" x14ac:dyDescent="0.25">
      <c r="B217" s="15"/>
      <c r="C217" s="15"/>
      <c r="D217" s="15"/>
      <c r="E217" s="15"/>
      <c r="F217" s="15"/>
      <c r="G217" s="15"/>
      <c r="H217" s="15"/>
      <c r="I217" s="15"/>
      <c r="J217" s="15"/>
      <c r="K217" s="15"/>
      <c r="L217" s="15"/>
      <c r="M217" s="15"/>
      <c r="N217" s="15"/>
      <c r="O217" s="15"/>
      <c r="P217" s="15"/>
      <c r="Q217" s="15"/>
    </row>
    <row r="218" spans="2:17" x14ac:dyDescent="0.25">
      <c r="B218" s="15"/>
      <c r="C218" s="15"/>
      <c r="D218" s="15"/>
      <c r="E218" s="15"/>
      <c r="F218" s="15"/>
      <c r="G218" s="15"/>
      <c r="H218" s="15"/>
      <c r="I218" s="15"/>
      <c r="J218" s="15"/>
      <c r="K218" s="15"/>
      <c r="L218" s="15"/>
      <c r="M218" s="15"/>
      <c r="N218" s="15"/>
      <c r="O218" s="15"/>
      <c r="P218" s="15"/>
      <c r="Q218" s="15"/>
    </row>
    <row r="219" spans="2:17" x14ac:dyDescent="0.25">
      <c r="B219" s="15"/>
      <c r="C219" s="15"/>
      <c r="D219" s="15"/>
      <c r="E219" s="15"/>
      <c r="F219" s="15"/>
      <c r="G219" s="15"/>
      <c r="H219" s="15"/>
      <c r="I219" s="15"/>
      <c r="J219" s="15"/>
      <c r="K219" s="15"/>
      <c r="L219" s="15"/>
      <c r="M219" s="15"/>
      <c r="N219" s="15"/>
      <c r="O219" s="15"/>
      <c r="P219" s="15"/>
      <c r="Q219" s="15"/>
    </row>
    <row r="220" spans="2:17" x14ac:dyDescent="0.25">
      <c r="B220" s="15"/>
      <c r="C220" s="15"/>
      <c r="D220" s="15"/>
      <c r="E220" s="15"/>
      <c r="F220" s="15"/>
      <c r="G220" s="15"/>
      <c r="H220" s="15"/>
      <c r="I220" s="15"/>
      <c r="J220" s="15"/>
      <c r="K220" s="15"/>
      <c r="L220" s="15"/>
      <c r="M220" s="15"/>
      <c r="N220" s="15"/>
      <c r="O220" s="15"/>
      <c r="P220" s="15"/>
      <c r="Q220" s="15"/>
    </row>
    <row r="221" spans="2:17" x14ac:dyDescent="0.25">
      <c r="B221" s="15"/>
      <c r="C221" s="15"/>
      <c r="D221" s="15"/>
      <c r="E221" s="15"/>
      <c r="F221" s="15"/>
      <c r="G221" s="15"/>
      <c r="H221" s="15"/>
      <c r="I221" s="15"/>
      <c r="J221" s="15"/>
      <c r="K221" s="15"/>
      <c r="L221" s="15"/>
      <c r="M221" s="15"/>
      <c r="N221" s="15"/>
      <c r="O221" s="15"/>
      <c r="P221" s="15"/>
      <c r="Q221" s="15"/>
    </row>
    <row r="222" spans="2:17" x14ac:dyDescent="0.25">
      <c r="B222" s="15"/>
      <c r="C222" s="15"/>
      <c r="D222" s="15"/>
      <c r="E222" s="15"/>
      <c r="F222" s="15"/>
      <c r="G222" s="15"/>
      <c r="H222" s="15"/>
      <c r="I222" s="15"/>
      <c r="J222" s="15"/>
      <c r="K222" s="15"/>
      <c r="L222" s="15"/>
      <c r="M222" s="15"/>
      <c r="N222" s="15"/>
      <c r="O222" s="15"/>
      <c r="P222" s="15"/>
      <c r="Q222" s="15"/>
    </row>
    <row r="223" spans="2:17" x14ac:dyDescent="0.25">
      <c r="B223" s="15"/>
      <c r="C223" s="15"/>
      <c r="D223" s="15"/>
      <c r="E223" s="15"/>
      <c r="F223" s="15"/>
      <c r="G223" s="15"/>
      <c r="H223" s="15"/>
      <c r="I223" s="15"/>
      <c r="J223" s="15"/>
      <c r="K223" s="15"/>
      <c r="L223" s="15"/>
      <c r="M223" s="15"/>
      <c r="N223" s="15"/>
      <c r="O223" s="15"/>
      <c r="P223" s="15"/>
      <c r="Q223" s="15"/>
    </row>
    <row r="224" spans="2:17" x14ac:dyDescent="0.25">
      <c r="B224" s="15"/>
      <c r="C224" s="15"/>
      <c r="D224" s="15"/>
      <c r="E224" s="15"/>
      <c r="F224" s="15"/>
      <c r="G224" s="15"/>
      <c r="H224" s="15"/>
      <c r="I224" s="15"/>
      <c r="J224" s="15"/>
      <c r="K224" s="15"/>
      <c r="L224" s="15"/>
      <c r="M224" s="15"/>
      <c r="N224" s="15"/>
      <c r="O224" s="15"/>
      <c r="P224" s="15"/>
      <c r="Q224" s="15"/>
    </row>
    <row r="225" spans="2:17" x14ac:dyDescent="0.25">
      <c r="B225" s="15"/>
      <c r="C225" s="15"/>
      <c r="D225" s="15"/>
      <c r="E225" s="15"/>
      <c r="F225" s="15"/>
      <c r="G225" s="15"/>
      <c r="H225" s="15"/>
      <c r="I225" s="15"/>
      <c r="J225" s="15"/>
      <c r="K225" s="15"/>
      <c r="L225" s="15"/>
      <c r="M225" s="15"/>
      <c r="N225" s="15"/>
      <c r="O225" s="15"/>
      <c r="P225" s="15"/>
      <c r="Q225" s="15"/>
    </row>
    <row r="226" spans="2:17" x14ac:dyDescent="0.25">
      <c r="B226" s="15"/>
      <c r="C226" s="15"/>
      <c r="D226" s="15"/>
      <c r="E226" s="15"/>
      <c r="F226" s="15"/>
      <c r="G226" s="15"/>
      <c r="H226" s="15"/>
      <c r="I226" s="15"/>
      <c r="J226" s="15"/>
      <c r="K226" s="15"/>
      <c r="L226" s="15"/>
      <c r="M226" s="15"/>
      <c r="N226" s="15"/>
      <c r="O226" s="15"/>
      <c r="P226" s="15"/>
      <c r="Q226" s="15"/>
    </row>
    <row r="227" spans="2:17" x14ac:dyDescent="0.25">
      <c r="B227" s="15"/>
      <c r="C227" s="15"/>
      <c r="D227" s="15"/>
      <c r="E227" s="15"/>
      <c r="F227" s="15"/>
      <c r="G227" s="15"/>
      <c r="H227" s="15"/>
      <c r="I227" s="15"/>
      <c r="J227" s="15"/>
      <c r="K227" s="15"/>
      <c r="L227" s="15"/>
      <c r="M227" s="15"/>
      <c r="N227" s="15"/>
      <c r="O227" s="15"/>
      <c r="P227" s="15"/>
      <c r="Q227" s="15"/>
    </row>
    <row r="228" spans="2:17" x14ac:dyDescent="0.25">
      <c r="B228" s="15"/>
      <c r="C228" s="15"/>
      <c r="D228" s="15"/>
      <c r="E228" s="15"/>
      <c r="F228" s="15"/>
      <c r="G228" s="15"/>
      <c r="H228" s="15"/>
      <c r="I228" s="15"/>
      <c r="J228" s="15"/>
      <c r="K228" s="15"/>
      <c r="L228" s="15"/>
      <c r="M228" s="15"/>
      <c r="N228" s="15"/>
      <c r="O228" s="15"/>
      <c r="P228" s="15"/>
      <c r="Q228" s="15"/>
    </row>
    <row r="229" spans="2:17" x14ac:dyDescent="0.25">
      <c r="B229" s="15"/>
      <c r="C229" s="15"/>
      <c r="D229" s="15"/>
      <c r="E229" s="15"/>
      <c r="F229" s="15"/>
      <c r="G229" s="15"/>
      <c r="H229" s="15"/>
      <c r="I229" s="15"/>
      <c r="J229" s="15"/>
      <c r="K229" s="15"/>
      <c r="L229" s="15"/>
      <c r="M229" s="15"/>
      <c r="N229" s="15"/>
      <c r="O229" s="15"/>
      <c r="P229" s="15"/>
      <c r="Q229" s="15"/>
    </row>
    <row r="230" spans="2:17" x14ac:dyDescent="0.25">
      <c r="B230" s="15"/>
      <c r="C230" s="15"/>
      <c r="D230" s="15"/>
      <c r="E230" s="15"/>
      <c r="F230" s="15"/>
      <c r="G230" s="15"/>
      <c r="H230" s="15"/>
      <c r="I230" s="15"/>
      <c r="J230" s="15"/>
      <c r="K230" s="15"/>
      <c r="L230" s="15"/>
      <c r="M230" s="15"/>
      <c r="N230" s="15"/>
      <c r="O230" s="15"/>
      <c r="P230" s="15"/>
      <c r="Q230" s="15"/>
    </row>
    <row r="231" spans="2:17" x14ac:dyDescent="0.25">
      <c r="B231" s="15"/>
      <c r="C231" s="15"/>
      <c r="D231" s="15"/>
      <c r="E231" s="15"/>
      <c r="F231" s="15"/>
      <c r="G231" s="15"/>
      <c r="H231" s="15"/>
      <c r="I231" s="15"/>
      <c r="J231" s="15"/>
      <c r="K231" s="15"/>
      <c r="L231" s="15"/>
      <c r="M231" s="15"/>
      <c r="N231" s="15"/>
      <c r="O231" s="15"/>
      <c r="P231" s="15"/>
      <c r="Q231" s="15"/>
    </row>
    <row r="232" spans="2:17" x14ac:dyDescent="0.25">
      <c r="B232" s="15"/>
      <c r="C232" s="15"/>
      <c r="D232" s="15"/>
      <c r="E232" s="15"/>
      <c r="F232" s="15"/>
      <c r="G232" s="15"/>
      <c r="H232" s="15"/>
      <c r="I232" s="15"/>
      <c r="J232" s="15"/>
      <c r="K232" s="15"/>
      <c r="L232" s="15"/>
      <c r="M232" s="15"/>
      <c r="N232" s="15"/>
      <c r="O232" s="15"/>
      <c r="P232" s="15"/>
      <c r="Q232" s="15"/>
    </row>
    <row r="233" spans="2:17" x14ac:dyDescent="0.25">
      <c r="B233" s="15"/>
      <c r="C233" s="15"/>
      <c r="D233" s="15"/>
      <c r="E233" s="15"/>
      <c r="F233" s="15"/>
      <c r="G233" s="15"/>
      <c r="H233" s="15"/>
      <c r="I233" s="15"/>
      <c r="J233" s="15"/>
      <c r="K233" s="15"/>
      <c r="L233" s="15"/>
      <c r="M233" s="15"/>
      <c r="N233" s="15"/>
      <c r="O233" s="15"/>
      <c r="P233" s="15"/>
      <c r="Q233" s="15"/>
    </row>
    <row r="234" spans="2:17" x14ac:dyDescent="0.25">
      <c r="B234" s="15"/>
      <c r="C234" s="15"/>
      <c r="D234" s="15"/>
      <c r="E234" s="15"/>
      <c r="F234" s="15"/>
      <c r="G234" s="15"/>
      <c r="H234" s="15"/>
      <c r="I234" s="15"/>
      <c r="J234" s="15"/>
      <c r="K234" s="15"/>
      <c r="L234" s="15"/>
      <c r="M234" s="15"/>
      <c r="N234" s="15"/>
      <c r="O234" s="15"/>
      <c r="P234" s="15"/>
      <c r="Q234" s="15"/>
    </row>
    <row r="235" spans="2:17" x14ac:dyDescent="0.25">
      <c r="B235" s="15"/>
      <c r="C235" s="15"/>
      <c r="D235" s="15"/>
      <c r="E235" s="15"/>
      <c r="F235" s="15"/>
      <c r="G235" s="15"/>
      <c r="H235" s="15"/>
      <c r="I235" s="15"/>
      <c r="J235" s="15"/>
      <c r="K235" s="15"/>
      <c r="L235" s="15"/>
      <c r="M235" s="15"/>
      <c r="N235" s="15"/>
      <c r="O235" s="15"/>
      <c r="P235" s="15"/>
      <c r="Q235" s="15"/>
    </row>
    <row r="236" spans="2:17" x14ac:dyDescent="0.25">
      <c r="B236" s="15"/>
      <c r="C236" s="15"/>
      <c r="D236" s="15"/>
      <c r="E236" s="15"/>
      <c r="F236" s="15"/>
      <c r="G236" s="15"/>
      <c r="H236" s="15"/>
      <c r="I236" s="15"/>
      <c r="J236" s="15"/>
      <c r="K236" s="15"/>
      <c r="L236" s="15"/>
      <c r="M236" s="15"/>
      <c r="N236" s="15"/>
      <c r="O236" s="15"/>
      <c r="P236" s="15"/>
      <c r="Q236" s="15"/>
    </row>
    <row r="237" spans="2:17" x14ac:dyDescent="0.25">
      <c r="B237" s="15"/>
      <c r="C237" s="15"/>
      <c r="D237" s="15"/>
      <c r="E237" s="15"/>
      <c r="F237" s="15"/>
      <c r="G237" s="15"/>
      <c r="H237" s="15"/>
      <c r="I237" s="15"/>
      <c r="J237" s="15"/>
      <c r="K237" s="15"/>
      <c r="L237" s="15"/>
      <c r="M237" s="15"/>
      <c r="N237" s="15"/>
      <c r="O237" s="15"/>
      <c r="P237" s="15"/>
      <c r="Q237" s="15"/>
    </row>
    <row r="238" spans="2:17" x14ac:dyDescent="0.25">
      <c r="B238" s="15"/>
      <c r="C238" s="15"/>
      <c r="D238" s="15"/>
      <c r="E238" s="15"/>
      <c r="F238" s="15"/>
      <c r="G238" s="15"/>
      <c r="H238" s="15"/>
      <c r="I238" s="15"/>
      <c r="J238" s="15"/>
      <c r="K238" s="15"/>
      <c r="L238" s="15"/>
      <c r="M238" s="15"/>
      <c r="N238" s="15"/>
      <c r="O238" s="15"/>
      <c r="P238" s="15"/>
      <c r="Q238" s="15"/>
    </row>
    <row r="239" spans="2:17" x14ac:dyDescent="0.25">
      <c r="B239" s="15"/>
      <c r="C239" s="15"/>
      <c r="D239" s="15"/>
      <c r="E239" s="15"/>
      <c r="F239" s="15"/>
      <c r="G239" s="15"/>
      <c r="H239" s="15"/>
      <c r="I239" s="15"/>
      <c r="J239" s="15"/>
      <c r="K239" s="15"/>
      <c r="L239" s="15"/>
      <c r="M239" s="15"/>
      <c r="N239" s="15"/>
      <c r="O239" s="15"/>
      <c r="P239" s="15"/>
      <c r="Q239" s="15"/>
    </row>
    <row r="240" spans="2:17" x14ac:dyDescent="0.25">
      <c r="B240" s="15"/>
      <c r="C240" s="15"/>
      <c r="D240" s="15"/>
      <c r="E240" s="15"/>
      <c r="F240" s="15"/>
      <c r="G240" s="15"/>
      <c r="H240" s="15"/>
      <c r="I240" s="15"/>
      <c r="J240" s="15"/>
      <c r="K240" s="15"/>
      <c r="L240" s="15"/>
      <c r="M240" s="15"/>
      <c r="N240" s="15"/>
      <c r="O240" s="15"/>
      <c r="P240" s="15"/>
      <c r="Q240" s="15"/>
    </row>
    <row r="241" spans="2:17" x14ac:dyDescent="0.25">
      <c r="B241" s="15"/>
      <c r="C241" s="15"/>
      <c r="D241" s="15"/>
      <c r="E241" s="15"/>
      <c r="F241" s="15"/>
      <c r="G241" s="15"/>
      <c r="H241" s="15"/>
      <c r="I241" s="15"/>
      <c r="J241" s="15"/>
      <c r="K241" s="15"/>
      <c r="L241" s="15"/>
      <c r="M241" s="15"/>
      <c r="N241" s="15"/>
      <c r="O241" s="15"/>
      <c r="P241" s="15"/>
      <c r="Q241" s="15"/>
    </row>
    <row r="242" spans="2:17" x14ac:dyDescent="0.25">
      <c r="B242" s="15"/>
      <c r="C242" s="15"/>
      <c r="D242" s="15"/>
      <c r="E242" s="15"/>
      <c r="F242" s="15"/>
      <c r="G242" s="15"/>
      <c r="H242" s="15"/>
      <c r="I242" s="15"/>
      <c r="J242" s="15"/>
      <c r="K242" s="15"/>
      <c r="L242" s="15"/>
      <c r="M242" s="15"/>
      <c r="N242" s="15"/>
      <c r="O242" s="15"/>
      <c r="P242" s="15"/>
      <c r="Q242" s="15"/>
    </row>
    <row r="243" spans="2:17" x14ac:dyDescent="0.25">
      <c r="B243" s="15"/>
      <c r="C243" s="15"/>
      <c r="D243" s="15"/>
      <c r="E243" s="15"/>
      <c r="F243" s="15"/>
      <c r="G243" s="15"/>
      <c r="H243" s="15"/>
      <c r="I243" s="15"/>
      <c r="J243" s="15"/>
      <c r="K243" s="15"/>
      <c r="L243" s="15"/>
      <c r="M243" s="15"/>
      <c r="N243" s="15"/>
      <c r="O243" s="15"/>
      <c r="P243" s="15"/>
      <c r="Q243" s="15"/>
    </row>
    <row r="244" spans="2:17" x14ac:dyDescent="0.25">
      <c r="B244" s="15"/>
      <c r="C244" s="15"/>
      <c r="D244" s="15"/>
      <c r="E244" s="15"/>
      <c r="F244" s="15"/>
      <c r="G244" s="15"/>
      <c r="H244" s="15"/>
      <c r="I244" s="15"/>
      <c r="J244" s="15"/>
      <c r="K244" s="15"/>
      <c r="L244" s="15"/>
      <c r="M244" s="15"/>
      <c r="N244" s="15"/>
      <c r="O244" s="15"/>
      <c r="P244" s="15"/>
      <c r="Q244" s="15"/>
    </row>
    <row r="245" spans="2:17" x14ac:dyDescent="0.25">
      <c r="B245" s="15"/>
      <c r="C245" s="15"/>
      <c r="D245" s="15"/>
      <c r="E245" s="15"/>
      <c r="F245" s="15"/>
      <c r="G245" s="15"/>
      <c r="H245" s="15"/>
      <c r="I245" s="15"/>
      <c r="J245" s="15"/>
      <c r="K245" s="15"/>
      <c r="L245" s="15"/>
      <c r="M245" s="15"/>
      <c r="N245" s="15"/>
      <c r="O245" s="15"/>
      <c r="P245" s="15"/>
      <c r="Q245" s="15"/>
    </row>
    <row r="246" spans="2:17" x14ac:dyDescent="0.25">
      <c r="B246" s="15"/>
      <c r="C246" s="15"/>
      <c r="D246" s="15"/>
      <c r="E246" s="15"/>
      <c r="F246" s="15"/>
      <c r="G246" s="15"/>
      <c r="H246" s="15"/>
      <c r="I246" s="15"/>
      <c r="J246" s="15"/>
      <c r="K246" s="15"/>
      <c r="L246" s="15"/>
      <c r="M246" s="15"/>
      <c r="N246" s="15"/>
      <c r="O246" s="15"/>
      <c r="P246" s="15"/>
      <c r="Q246" s="15"/>
    </row>
    <row r="247" spans="2:17" x14ac:dyDescent="0.25">
      <c r="B247" s="15"/>
      <c r="C247" s="15"/>
      <c r="D247" s="15"/>
      <c r="E247" s="15"/>
      <c r="F247" s="15"/>
      <c r="G247" s="15"/>
      <c r="H247" s="15"/>
      <c r="I247" s="15"/>
      <c r="J247" s="15"/>
      <c r="K247" s="15"/>
      <c r="L247" s="15"/>
      <c r="M247" s="15"/>
      <c r="N247" s="15"/>
      <c r="O247" s="15"/>
      <c r="P247" s="15"/>
      <c r="Q247" s="15"/>
    </row>
    <row r="248" spans="2:17" x14ac:dyDescent="0.25">
      <c r="B248" s="15"/>
      <c r="C248" s="15"/>
      <c r="D248" s="15"/>
      <c r="E248" s="15"/>
      <c r="F248" s="15"/>
      <c r="G248" s="15"/>
      <c r="H248" s="15"/>
      <c r="I248" s="15"/>
      <c r="J248" s="15"/>
      <c r="K248" s="15"/>
      <c r="L248" s="15"/>
      <c r="M248" s="15"/>
      <c r="N248" s="15"/>
      <c r="O248" s="15"/>
      <c r="P248" s="15"/>
      <c r="Q248" s="15"/>
    </row>
    <row r="249" spans="2:17" x14ac:dyDescent="0.25">
      <c r="B249" s="15"/>
      <c r="C249" s="15"/>
      <c r="D249" s="15"/>
      <c r="E249" s="15"/>
      <c r="F249" s="15"/>
      <c r="G249" s="15"/>
      <c r="H249" s="15"/>
      <c r="I249" s="15"/>
      <c r="J249" s="15"/>
      <c r="K249" s="15"/>
      <c r="L249" s="15"/>
      <c r="M249" s="15"/>
      <c r="N249" s="15"/>
      <c r="O249" s="15"/>
      <c r="P249" s="15"/>
      <c r="Q249" s="15"/>
    </row>
    <row r="250" spans="2:17" x14ac:dyDescent="0.25">
      <c r="B250" s="15"/>
      <c r="C250" s="15"/>
      <c r="D250" s="15"/>
      <c r="E250" s="15"/>
      <c r="F250" s="15"/>
      <c r="G250" s="15"/>
      <c r="H250" s="15"/>
      <c r="I250" s="15"/>
      <c r="J250" s="15"/>
      <c r="K250" s="15"/>
      <c r="L250" s="15"/>
      <c r="M250" s="15"/>
      <c r="N250" s="15"/>
      <c r="O250" s="15"/>
      <c r="P250" s="15"/>
      <c r="Q250" s="15"/>
    </row>
    <row r="251" spans="2:17" x14ac:dyDescent="0.25">
      <c r="B251" s="15"/>
      <c r="C251" s="15"/>
      <c r="D251" s="15"/>
      <c r="E251" s="15"/>
      <c r="F251" s="15"/>
      <c r="G251" s="15"/>
      <c r="H251" s="15"/>
      <c r="I251" s="15"/>
      <c r="J251" s="15"/>
      <c r="K251" s="15"/>
      <c r="L251" s="15"/>
      <c r="M251" s="15"/>
      <c r="N251" s="15"/>
      <c r="O251" s="15"/>
      <c r="P251" s="15"/>
      <c r="Q251" s="15"/>
    </row>
    <row r="252" spans="2:17" x14ac:dyDescent="0.25">
      <c r="B252" s="15"/>
      <c r="C252" s="15"/>
      <c r="D252" s="15"/>
      <c r="E252" s="15"/>
      <c r="F252" s="15"/>
      <c r="G252" s="15"/>
      <c r="H252" s="15"/>
      <c r="I252" s="15"/>
      <c r="J252" s="15"/>
      <c r="K252" s="15"/>
      <c r="L252" s="15"/>
      <c r="M252" s="15"/>
      <c r="N252" s="15"/>
      <c r="O252" s="15"/>
      <c r="P252" s="15"/>
      <c r="Q252" s="15"/>
    </row>
    <row r="253" spans="2:17" x14ac:dyDescent="0.25">
      <c r="B253" s="15"/>
      <c r="C253" s="15"/>
      <c r="D253" s="15"/>
      <c r="E253" s="15"/>
      <c r="F253" s="15"/>
      <c r="G253" s="15"/>
      <c r="H253" s="15"/>
      <c r="I253" s="15"/>
      <c r="J253" s="15"/>
      <c r="K253" s="15"/>
      <c r="L253" s="15"/>
      <c r="M253" s="15"/>
      <c r="N253" s="15"/>
      <c r="O253" s="15"/>
      <c r="P253" s="15"/>
      <c r="Q253" s="15"/>
    </row>
    <row r="254" spans="2:17" x14ac:dyDescent="0.25">
      <c r="B254" s="15"/>
      <c r="C254" s="15"/>
      <c r="D254" s="15"/>
      <c r="E254" s="15"/>
      <c r="F254" s="15"/>
      <c r="G254" s="15"/>
      <c r="H254" s="15"/>
      <c r="I254" s="15"/>
      <c r="J254" s="15"/>
      <c r="K254" s="15"/>
      <c r="L254" s="15"/>
      <c r="M254" s="15"/>
      <c r="N254" s="15"/>
      <c r="O254" s="15"/>
      <c r="P254" s="15"/>
      <c r="Q254" s="15"/>
    </row>
    <row r="255" spans="2:17" x14ac:dyDescent="0.25">
      <c r="B255" s="15"/>
      <c r="C255" s="15"/>
      <c r="D255" s="15"/>
      <c r="E255" s="15"/>
      <c r="F255" s="15"/>
      <c r="G255" s="15"/>
      <c r="H255" s="15"/>
      <c r="I255" s="15"/>
      <c r="J255" s="15"/>
      <c r="K255" s="15"/>
      <c r="L255" s="15"/>
      <c r="M255" s="15"/>
      <c r="N255" s="15"/>
      <c r="O255" s="15"/>
      <c r="P255" s="15"/>
      <c r="Q255" s="15"/>
    </row>
    <row r="256" spans="2:17" x14ac:dyDescent="0.25">
      <c r="B256" s="15"/>
      <c r="C256" s="15"/>
      <c r="D256" s="15"/>
      <c r="E256" s="15"/>
      <c r="F256" s="15"/>
      <c r="G256" s="15"/>
      <c r="H256" s="15"/>
      <c r="I256" s="15"/>
      <c r="J256" s="15"/>
      <c r="K256" s="15"/>
      <c r="L256" s="15"/>
      <c r="M256" s="15"/>
      <c r="N256" s="15"/>
      <c r="O256" s="15"/>
      <c r="P256" s="15"/>
      <c r="Q256" s="15"/>
    </row>
    <row r="257" spans="2:17" x14ac:dyDescent="0.25">
      <c r="B257" s="15"/>
      <c r="C257" s="15"/>
      <c r="D257" s="15"/>
      <c r="E257" s="15"/>
      <c r="F257" s="15"/>
      <c r="G257" s="15"/>
      <c r="H257" s="15"/>
      <c r="I257" s="15"/>
      <c r="J257" s="15"/>
      <c r="K257" s="15"/>
      <c r="L257" s="15"/>
      <c r="M257" s="15"/>
      <c r="N257" s="15"/>
      <c r="O257" s="15"/>
      <c r="P257" s="15"/>
      <c r="Q257" s="15"/>
    </row>
    <row r="258" spans="2:17" x14ac:dyDescent="0.25">
      <c r="B258" s="15"/>
      <c r="C258" s="15"/>
      <c r="D258" s="15"/>
      <c r="E258" s="15"/>
      <c r="F258" s="15"/>
      <c r="G258" s="15"/>
      <c r="H258" s="15"/>
      <c r="I258" s="15"/>
      <c r="J258" s="15"/>
      <c r="K258" s="15"/>
      <c r="L258" s="15"/>
      <c r="M258" s="15"/>
      <c r="N258" s="15"/>
      <c r="O258" s="15"/>
      <c r="P258" s="15"/>
      <c r="Q258" s="15"/>
    </row>
    <row r="259" spans="2:17" x14ac:dyDescent="0.25">
      <c r="B259" s="15"/>
      <c r="C259" s="15"/>
      <c r="D259" s="15"/>
      <c r="E259" s="15"/>
      <c r="F259" s="15"/>
      <c r="G259" s="15"/>
      <c r="H259" s="15"/>
      <c r="I259" s="15"/>
      <c r="J259" s="15"/>
      <c r="K259" s="15"/>
      <c r="L259" s="15"/>
      <c r="M259" s="15"/>
      <c r="N259" s="15"/>
      <c r="O259" s="15"/>
      <c r="P259" s="15"/>
      <c r="Q259" s="15"/>
    </row>
    <row r="260" spans="2:17" x14ac:dyDescent="0.25">
      <c r="B260" s="15"/>
      <c r="C260" s="15"/>
      <c r="D260" s="15"/>
      <c r="E260" s="15"/>
      <c r="F260" s="15"/>
      <c r="G260" s="15"/>
      <c r="H260" s="15"/>
      <c r="I260" s="15"/>
      <c r="J260" s="15"/>
      <c r="K260" s="15"/>
      <c r="L260" s="15"/>
      <c r="M260" s="15"/>
      <c r="N260" s="15"/>
      <c r="O260" s="15"/>
      <c r="P260" s="15"/>
      <c r="Q260" s="15"/>
    </row>
    <row r="261" spans="2:17" x14ac:dyDescent="0.25">
      <c r="B261" s="15"/>
      <c r="C261" s="15"/>
      <c r="D261" s="15"/>
      <c r="E261" s="15"/>
      <c r="F261" s="15"/>
      <c r="G261" s="15"/>
      <c r="H261" s="15"/>
      <c r="I261" s="15"/>
      <c r="J261" s="15"/>
      <c r="K261" s="15"/>
      <c r="L261" s="15"/>
      <c r="M261" s="15"/>
      <c r="N261" s="15"/>
      <c r="O261" s="15"/>
      <c r="P261" s="15"/>
      <c r="Q261" s="15"/>
    </row>
    <row r="262" spans="2:17" x14ac:dyDescent="0.25">
      <c r="B262" s="15"/>
      <c r="C262" s="15"/>
      <c r="D262" s="15"/>
      <c r="E262" s="15"/>
      <c r="F262" s="15"/>
      <c r="G262" s="15"/>
      <c r="H262" s="15"/>
      <c r="I262" s="15"/>
      <c r="J262" s="15"/>
      <c r="K262" s="15"/>
      <c r="L262" s="15"/>
      <c r="M262" s="15"/>
      <c r="N262" s="15"/>
      <c r="O262" s="15"/>
      <c r="P262" s="15"/>
      <c r="Q262" s="15"/>
    </row>
    <row r="263" spans="2:17" x14ac:dyDescent="0.25">
      <c r="B263" s="15"/>
      <c r="C263" s="15"/>
      <c r="D263" s="15"/>
      <c r="E263" s="15"/>
      <c r="F263" s="15"/>
      <c r="G263" s="15"/>
      <c r="H263" s="15"/>
      <c r="I263" s="15"/>
      <c r="J263" s="15"/>
      <c r="K263" s="15"/>
      <c r="L263" s="15"/>
      <c r="M263" s="15"/>
      <c r="N263" s="15"/>
      <c r="O263" s="15"/>
      <c r="P263" s="15"/>
      <c r="Q263" s="15"/>
    </row>
    <row r="264" spans="2:17" x14ac:dyDescent="0.25">
      <c r="B264" s="15"/>
      <c r="C264" s="15"/>
      <c r="D264" s="15"/>
      <c r="E264" s="15"/>
      <c r="F264" s="15"/>
      <c r="G264" s="15"/>
      <c r="H264" s="15"/>
      <c r="I264" s="15"/>
      <c r="J264" s="15"/>
      <c r="K264" s="15"/>
      <c r="L264" s="15"/>
      <c r="M264" s="15"/>
      <c r="N264" s="15"/>
      <c r="O264" s="15"/>
      <c r="P264" s="15"/>
      <c r="Q264" s="15"/>
    </row>
    <row r="265" spans="2:17" x14ac:dyDescent="0.25">
      <c r="B265" s="15"/>
      <c r="C265" s="15"/>
      <c r="D265" s="15"/>
      <c r="E265" s="15"/>
      <c r="F265" s="15"/>
      <c r="G265" s="15"/>
      <c r="H265" s="15"/>
      <c r="I265" s="15"/>
      <c r="J265" s="15"/>
      <c r="K265" s="15"/>
      <c r="L265" s="15"/>
      <c r="M265" s="15"/>
      <c r="N265" s="15"/>
      <c r="O265" s="15"/>
      <c r="P265" s="15"/>
      <c r="Q265" s="15"/>
    </row>
    <row r="266" spans="2:17" x14ac:dyDescent="0.25">
      <c r="B266" s="15"/>
      <c r="C266" s="15"/>
      <c r="D266" s="15"/>
      <c r="E266" s="15"/>
      <c r="F266" s="15"/>
      <c r="G266" s="15"/>
      <c r="H266" s="15"/>
      <c r="I266" s="15"/>
      <c r="J266" s="15"/>
      <c r="K266" s="15"/>
      <c r="L266" s="15"/>
      <c r="M266" s="15"/>
      <c r="N266" s="15"/>
      <c r="O266" s="15"/>
      <c r="P266" s="15"/>
      <c r="Q266" s="15"/>
    </row>
    <row r="267" spans="2:17" x14ac:dyDescent="0.25">
      <c r="B267" s="15"/>
      <c r="C267" s="15"/>
      <c r="D267" s="15"/>
      <c r="E267" s="15"/>
      <c r="F267" s="15"/>
      <c r="G267" s="15"/>
      <c r="H267" s="15"/>
      <c r="I267" s="15"/>
      <c r="J267" s="15"/>
      <c r="K267" s="15"/>
      <c r="L267" s="15"/>
      <c r="M267" s="15"/>
      <c r="N267" s="15"/>
      <c r="O267" s="15"/>
      <c r="P267" s="15"/>
      <c r="Q267" s="15"/>
    </row>
    <row r="268" spans="2:17" x14ac:dyDescent="0.25">
      <c r="B268" s="15"/>
      <c r="C268" s="15"/>
      <c r="D268" s="15"/>
      <c r="E268" s="15"/>
      <c r="F268" s="15"/>
      <c r="G268" s="15"/>
      <c r="H268" s="15"/>
      <c r="I268" s="15"/>
      <c r="J268" s="15"/>
      <c r="K268" s="15"/>
      <c r="L268" s="15"/>
      <c r="M268" s="15"/>
      <c r="N268" s="15"/>
      <c r="O268" s="15"/>
      <c r="P268" s="15"/>
      <c r="Q268" s="15"/>
    </row>
    <row r="269" spans="2:17" x14ac:dyDescent="0.25">
      <c r="B269" s="15"/>
      <c r="C269" s="15"/>
      <c r="D269" s="15"/>
      <c r="E269" s="15"/>
      <c r="F269" s="15"/>
      <c r="G269" s="15"/>
      <c r="H269" s="15"/>
      <c r="I269" s="15"/>
      <c r="J269" s="15"/>
      <c r="K269" s="15"/>
      <c r="L269" s="15"/>
      <c r="M269" s="15"/>
      <c r="N269" s="15"/>
      <c r="O269" s="15"/>
      <c r="P269" s="15"/>
      <c r="Q269" s="15"/>
    </row>
    <row r="270" spans="2:17" x14ac:dyDescent="0.25">
      <c r="B270" s="15"/>
      <c r="C270" s="15"/>
      <c r="D270" s="15"/>
      <c r="E270" s="15"/>
      <c r="F270" s="15"/>
      <c r="G270" s="15"/>
      <c r="H270" s="15"/>
      <c r="I270" s="15"/>
      <c r="J270" s="15"/>
      <c r="K270" s="15"/>
      <c r="L270" s="15"/>
      <c r="M270" s="15"/>
      <c r="N270" s="15"/>
      <c r="O270" s="15"/>
      <c r="P270" s="15"/>
      <c r="Q270" s="15"/>
    </row>
    <row r="271" spans="2:17" x14ac:dyDescent="0.25">
      <c r="B271" s="15"/>
      <c r="C271" s="15"/>
      <c r="D271" s="15"/>
      <c r="E271" s="15"/>
      <c r="F271" s="15"/>
      <c r="G271" s="15"/>
      <c r="H271" s="15"/>
      <c r="I271" s="15"/>
      <c r="J271" s="15"/>
      <c r="K271" s="15"/>
      <c r="L271" s="15"/>
      <c r="M271" s="15"/>
      <c r="N271" s="15"/>
      <c r="O271" s="15"/>
      <c r="P271" s="15"/>
      <c r="Q271" s="15"/>
    </row>
    <row r="272" spans="2:17" x14ac:dyDescent="0.25">
      <c r="B272" s="15"/>
      <c r="C272" s="15"/>
      <c r="D272" s="15"/>
      <c r="E272" s="15"/>
      <c r="F272" s="15"/>
      <c r="G272" s="15"/>
      <c r="H272" s="15"/>
      <c r="I272" s="15"/>
      <c r="J272" s="15"/>
      <c r="K272" s="15"/>
      <c r="L272" s="15"/>
      <c r="M272" s="15"/>
      <c r="N272" s="15"/>
      <c r="O272" s="15"/>
      <c r="P272" s="15"/>
      <c r="Q272" s="15"/>
    </row>
    <row r="273" spans="2:17" x14ac:dyDescent="0.25">
      <c r="B273" s="15"/>
      <c r="C273" s="15"/>
      <c r="D273" s="15"/>
      <c r="E273" s="15"/>
      <c r="F273" s="15"/>
      <c r="G273" s="15"/>
      <c r="H273" s="15"/>
      <c r="I273" s="15"/>
      <c r="J273" s="15"/>
      <c r="K273" s="15"/>
      <c r="L273" s="15"/>
      <c r="M273" s="15"/>
      <c r="N273" s="15"/>
      <c r="O273" s="15"/>
      <c r="P273" s="15"/>
      <c r="Q273" s="15"/>
    </row>
    <row r="274" spans="2:17" x14ac:dyDescent="0.25">
      <c r="B274" s="15"/>
      <c r="C274" s="15"/>
      <c r="D274" s="15"/>
      <c r="E274" s="15"/>
      <c r="F274" s="15"/>
      <c r="G274" s="15"/>
      <c r="H274" s="15"/>
      <c r="I274" s="15"/>
      <c r="J274" s="15"/>
      <c r="K274" s="15"/>
      <c r="L274" s="15"/>
      <c r="M274" s="15"/>
      <c r="N274" s="15"/>
      <c r="O274" s="15"/>
      <c r="P274" s="15"/>
      <c r="Q274" s="15"/>
    </row>
    <row r="275" spans="2:17" x14ac:dyDescent="0.25">
      <c r="B275" s="15"/>
      <c r="C275" s="15"/>
      <c r="D275" s="15"/>
      <c r="E275" s="15"/>
      <c r="F275" s="15"/>
      <c r="G275" s="15"/>
      <c r="H275" s="15"/>
      <c r="I275" s="15"/>
      <c r="J275" s="15"/>
      <c r="K275" s="15"/>
      <c r="L275" s="15"/>
      <c r="M275" s="15"/>
      <c r="N275" s="15"/>
      <c r="O275" s="15"/>
      <c r="P275" s="15"/>
      <c r="Q275" s="15"/>
    </row>
    <row r="276" spans="2:17" x14ac:dyDescent="0.25">
      <c r="B276" s="15"/>
      <c r="C276" s="15"/>
      <c r="D276" s="15"/>
      <c r="E276" s="15"/>
      <c r="F276" s="15"/>
      <c r="G276" s="15"/>
      <c r="H276" s="15"/>
      <c r="I276" s="15"/>
      <c r="J276" s="15"/>
      <c r="K276" s="15"/>
      <c r="L276" s="15"/>
      <c r="M276" s="15"/>
      <c r="N276" s="15"/>
      <c r="O276" s="15"/>
      <c r="P276" s="15"/>
      <c r="Q276" s="15"/>
    </row>
    <row r="277" spans="2:17" x14ac:dyDescent="0.25">
      <c r="B277" s="15"/>
      <c r="C277" s="15"/>
      <c r="D277" s="15"/>
      <c r="E277" s="15"/>
      <c r="F277" s="15"/>
      <c r="G277" s="15"/>
      <c r="H277" s="15"/>
      <c r="I277" s="15"/>
      <c r="J277" s="15"/>
      <c r="K277" s="15"/>
      <c r="L277" s="15"/>
      <c r="M277" s="15"/>
      <c r="N277" s="15"/>
      <c r="O277" s="15"/>
      <c r="P277" s="15"/>
      <c r="Q277" s="15"/>
    </row>
    <row r="278" spans="2:17" x14ac:dyDescent="0.25">
      <c r="B278" s="15"/>
      <c r="C278" s="15"/>
      <c r="D278" s="15"/>
      <c r="E278" s="15"/>
      <c r="F278" s="15"/>
      <c r="G278" s="15"/>
      <c r="H278" s="15"/>
      <c r="I278" s="15"/>
      <c r="J278" s="15"/>
      <c r="K278" s="15"/>
      <c r="L278" s="15"/>
      <c r="M278" s="15"/>
      <c r="N278" s="15"/>
      <c r="O278" s="15"/>
      <c r="P278" s="15"/>
      <c r="Q278" s="15"/>
    </row>
    <row r="279" spans="2:17" x14ac:dyDescent="0.25">
      <c r="B279" s="15"/>
      <c r="C279" s="15"/>
      <c r="D279" s="15"/>
      <c r="E279" s="15"/>
      <c r="F279" s="15"/>
      <c r="G279" s="15"/>
      <c r="H279" s="15"/>
      <c r="I279" s="15"/>
      <c r="J279" s="15"/>
      <c r="K279" s="15"/>
      <c r="L279" s="15"/>
      <c r="M279" s="15"/>
      <c r="N279" s="15"/>
      <c r="O279" s="15"/>
      <c r="P279" s="15"/>
      <c r="Q279" s="15"/>
    </row>
    <row r="280" spans="2:17" x14ac:dyDescent="0.25">
      <c r="B280" s="15"/>
      <c r="C280" s="15"/>
      <c r="D280" s="15"/>
      <c r="E280" s="15"/>
      <c r="F280" s="15"/>
      <c r="G280" s="15"/>
      <c r="H280" s="15"/>
      <c r="I280" s="15"/>
      <c r="J280" s="15"/>
      <c r="K280" s="15"/>
      <c r="L280" s="15"/>
      <c r="M280" s="15"/>
      <c r="N280" s="15"/>
      <c r="O280" s="15"/>
      <c r="P280" s="15"/>
      <c r="Q280" s="15"/>
    </row>
    <row r="281" spans="2:17" x14ac:dyDescent="0.25">
      <c r="B281" s="15"/>
      <c r="C281" s="15"/>
      <c r="D281" s="15"/>
      <c r="E281" s="15"/>
      <c r="F281" s="15"/>
      <c r="G281" s="15"/>
      <c r="H281" s="15"/>
      <c r="I281" s="15"/>
      <c r="J281" s="15"/>
      <c r="K281" s="15"/>
      <c r="L281" s="15"/>
      <c r="M281" s="15"/>
      <c r="N281" s="15"/>
      <c r="O281" s="15"/>
      <c r="P281" s="15"/>
      <c r="Q281" s="15"/>
    </row>
    <row r="282" spans="2:17" x14ac:dyDescent="0.25">
      <c r="B282" s="15"/>
      <c r="C282" s="15"/>
      <c r="D282" s="15"/>
      <c r="E282" s="15"/>
      <c r="F282" s="15"/>
      <c r="G282" s="15"/>
      <c r="H282" s="15"/>
      <c r="I282" s="15"/>
      <c r="J282" s="15"/>
      <c r="K282" s="15"/>
      <c r="L282" s="15"/>
      <c r="M282" s="15"/>
      <c r="N282" s="15"/>
      <c r="O282" s="15"/>
      <c r="P282" s="15"/>
      <c r="Q282" s="15"/>
    </row>
    <row r="283" spans="2:17" x14ac:dyDescent="0.25">
      <c r="B283" s="15"/>
      <c r="C283" s="15"/>
      <c r="D283" s="15"/>
      <c r="E283" s="15"/>
      <c r="F283" s="15"/>
      <c r="G283" s="15"/>
      <c r="H283" s="15"/>
      <c r="I283" s="15"/>
      <c r="J283" s="15"/>
      <c r="K283" s="15"/>
      <c r="L283" s="15"/>
      <c r="M283" s="15"/>
      <c r="N283" s="15"/>
      <c r="O283" s="15"/>
      <c r="P283" s="15"/>
      <c r="Q283" s="15"/>
    </row>
    <row r="284" spans="2:17" x14ac:dyDescent="0.25">
      <c r="B284" s="15"/>
      <c r="C284" s="15"/>
      <c r="D284" s="15"/>
      <c r="E284" s="15"/>
      <c r="F284" s="15"/>
      <c r="G284" s="15"/>
      <c r="H284" s="15"/>
      <c r="I284" s="15"/>
      <c r="J284" s="15"/>
      <c r="K284" s="15"/>
      <c r="L284" s="15"/>
      <c r="M284" s="15"/>
      <c r="N284" s="15"/>
      <c r="O284" s="15"/>
      <c r="P284" s="15"/>
      <c r="Q284" s="15"/>
    </row>
    <row r="285" spans="2:17" x14ac:dyDescent="0.25">
      <c r="B285" s="15"/>
      <c r="C285" s="15"/>
      <c r="D285" s="15"/>
      <c r="E285" s="15"/>
      <c r="F285" s="15"/>
      <c r="G285" s="15"/>
      <c r="H285" s="15"/>
      <c r="I285" s="15"/>
      <c r="J285" s="15"/>
      <c r="K285" s="15"/>
      <c r="L285" s="15"/>
      <c r="M285" s="15"/>
      <c r="N285" s="15"/>
      <c r="O285" s="15"/>
      <c r="P285" s="15"/>
      <c r="Q285" s="15"/>
    </row>
    <row r="286" spans="2:17" x14ac:dyDescent="0.25">
      <c r="B286" s="15"/>
      <c r="C286" s="15"/>
      <c r="D286" s="15"/>
      <c r="E286" s="15"/>
      <c r="F286" s="15"/>
      <c r="G286" s="15"/>
      <c r="H286" s="15"/>
      <c r="I286" s="15"/>
      <c r="J286" s="15"/>
      <c r="K286" s="15"/>
      <c r="L286" s="15"/>
      <c r="M286" s="15"/>
      <c r="N286" s="15"/>
      <c r="O286" s="15"/>
      <c r="P286" s="15"/>
      <c r="Q286" s="15"/>
    </row>
    <row r="287" spans="2:17" x14ac:dyDescent="0.25">
      <c r="B287" s="15"/>
      <c r="C287" s="15"/>
      <c r="D287" s="15"/>
      <c r="E287" s="15"/>
      <c r="F287" s="15"/>
      <c r="G287" s="15"/>
      <c r="H287" s="15"/>
      <c r="I287" s="15"/>
      <c r="J287" s="15"/>
      <c r="K287" s="15"/>
      <c r="L287" s="15"/>
      <c r="M287" s="15"/>
      <c r="N287" s="15"/>
      <c r="O287" s="15"/>
      <c r="P287" s="15"/>
      <c r="Q287" s="15"/>
    </row>
    <row r="288" spans="2:17" x14ac:dyDescent="0.25">
      <c r="B288" s="15"/>
      <c r="C288" s="15"/>
      <c r="D288" s="15"/>
      <c r="E288" s="15"/>
      <c r="F288" s="15"/>
      <c r="G288" s="15"/>
      <c r="H288" s="15"/>
      <c r="I288" s="15"/>
      <c r="J288" s="15"/>
      <c r="K288" s="15"/>
      <c r="L288" s="15"/>
      <c r="M288" s="15"/>
      <c r="N288" s="15"/>
      <c r="O288" s="15"/>
      <c r="P288" s="15"/>
      <c r="Q288" s="15"/>
    </row>
    <row r="289" spans="2:17" x14ac:dyDescent="0.25">
      <c r="B289" s="15"/>
      <c r="C289" s="15"/>
      <c r="D289" s="15"/>
      <c r="E289" s="15"/>
      <c r="F289" s="15"/>
      <c r="G289" s="15"/>
      <c r="H289" s="15"/>
      <c r="I289" s="15"/>
      <c r="J289" s="15"/>
      <c r="K289" s="15"/>
      <c r="L289" s="15"/>
      <c r="M289" s="15"/>
      <c r="N289" s="15"/>
      <c r="O289" s="15"/>
      <c r="P289" s="15"/>
      <c r="Q289" s="15"/>
    </row>
    <row r="290" spans="2:17" x14ac:dyDescent="0.25">
      <c r="B290" s="15"/>
      <c r="C290" s="15"/>
      <c r="D290" s="15"/>
      <c r="E290" s="15"/>
      <c r="F290" s="15"/>
      <c r="G290" s="15"/>
      <c r="H290" s="15"/>
      <c r="I290" s="15"/>
      <c r="J290" s="15"/>
      <c r="K290" s="15"/>
      <c r="L290" s="15"/>
      <c r="M290" s="15"/>
      <c r="N290" s="15"/>
      <c r="O290" s="15"/>
      <c r="P290" s="15"/>
      <c r="Q290" s="15"/>
    </row>
    <row r="291" spans="2:17" x14ac:dyDescent="0.25">
      <c r="B291" s="15"/>
      <c r="C291" s="15"/>
      <c r="D291" s="15"/>
      <c r="E291" s="15"/>
      <c r="F291" s="15"/>
      <c r="G291" s="15"/>
      <c r="H291" s="15"/>
      <c r="I291" s="15"/>
      <c r="J291" s="15"/>
      <c r="K291" s="15"/>
      <c r="L291" s="15"/>
      <c r="M291" s="15"/>
      <c r="N291" s="15"/>
      <c r="O291" s="15"/>
      <c r="P291" s="15"/>
      <c r="Q291" s="15"/>
    </row>
    <row r="292" spans="2:17" x14ac:dyDescent="0.25">
      <c r="B292" s="15"/>
      <c r="C292" s="15"/>
      <c r="D292" s="15"/>
      <c r="E292" s="15"/>
      <c r="F292" s="15"/>
      <c r="G292" s="15"/>
      <c r="H292" s="15"/>
      <c r="I292" s="15"/>
      <c r="J292" s="15"/>
      <c r="K292" s="15"/>
      <c r="L292" s="15"/>
      <c r="M292" s="15"/>
      <c r="N292" s="15"/>
      <c r="O292" s="15"/>
      <c r="P292" s="15"/>
      <c r="Q292" s="15"/>
    </row>
    <row r="293" spans="2:17" x14ac:dyDescent="0.25">
      <c r="B293" s="15"/>
      <c r="C293" s="15"/>
      <c r="D293" s="15"/>
      <c r="E293" s="15"/>
      <c r="F293" s="15"/>
      <c r="G293" s="15"/>
      <c r="H293" s="15"/>
      <c r="I293" s="15"/>
      <c r="J293" s="15"/>
      <c r="K293" s="15"/>
      <c r="L293" s="15"/>
      <c r="M293" s="15"/>
      <c r="N293" s="15"/>
      <c r="O293" s="15"/>
      <c r="P293" s="15"/>
      <c r="Q293" s="15"/>
    </row>
    <row r="294" spans="2:17" x14ac:dyDescent="0.25">
      <c r="B294" s="15"/>
      <c r="C294" s="15"/>
      <c r="D294" s="15"/>
      <c r="E294" s="15"/>
      <c r="F294" s="15"/>
      <c r="G294" s="15"/>
      <c r="H294" s="15"/>
      <c r="I294" s="15"/>
      <c r="J294" s="15"/>
      <c r="K294" s="15"/>
      <c r="L294" s="15"/>
      <c r="M294" s="15"/>
      <c r="N294" s="15"/>
      <c r="O294" s="15"/>
      <c r="P294" s="15"/>
      <c r="Q294" s="15"/>
    </row>
    <row r="295" spans="2:17" x14ac:dyDescent="0.25">
      <c r="B295" s="15"/>
      <c r="C295" s="15"/>
      <c r="D295" s="15"/>
      <c r="E295" s="15"/>
      <c r="F295" s="15"/>
      <c r="G295" s="15"/>
      <c r="H295" s="15"/>
      <c r="I295" s="15"/>
      <c r="J295" s="15"/>
      <c r="K295" s="15"/>
      <c r="L295" s="15"/>
      <c r="M295" s="15"/>
      <c r="N295" s="15"/>
      <c r="O295" s="15"/>
      <c r="P295" s="15"/>
      <c r="Q295" s="15"/>
    </row>
    <row r="296" spans="2:17" x14ac:dyDescent="0.25">
      <c r="B296" s="15"/>
      <c r="C296" s="15"/>
      <c r="D296" s="15"/>
      <c r="E296" s="15"/>
      <c r="F296" s="15"/>
      <c r="G296" s="15"/>
      <c r="H296" s="15"/>
      <c r="I296" s="15"/>
      <c r="J296" s="15"/>
      <c r="K296" s="15"/>
      <c r="L296" s="15"/>
      <c r="M296" s="15"/>
      <c r="N296" s="15"/>
      <c r="O296" s="15"/>
      <c r="P296" s="15"/>
      <c r="Q296" s="15"/>
    </row>
    <row r="297" spans="2:17" x14ac:dyDescent="0.25">
      <c r="B297" s="15"/>
      <c r="C297" s="15"/>
      <c r="D297" s="15"/>
      <c r="E297" s="15"/>
      <c r="F297" s="15"/>
      <c r="G297" s="15"/>
      <c r="H297" s="15"/>
      <c r="I297" s="15"/>
      <c r="J297" s="15"/>
      <c r="K297" s="15"/>
      <c r="L297" s="15"/>
      <c r="M297" s="15"/>
      <c r="N297" s="15"/>
      <c r="O297" s="15"/>
      <c r="P297" s="15"/>
      <c r="Q297" s="15"/>
    </row>
    <row r="298" spans="2:17" x14ac:dyDescent="0.25">
      <c r="B298" s="15"/>
      <c r="C298" s="15"/>
      <c r="D298" s="15"/>
      <c r="E298" s="15"/>
      <c r="F298" s="15"/>
      <c r="G298" s="15"/>
      <c r="H298" s="15"/>
      <c r="I298" s="15"/>
      <c r="J298" s="15"/>
      <c r="K298" s="15"/>
      <c r="L298" s="15"/>
      <c r="M298" s="15"/>
      <c r="N298" s="15"/>
      <c r="O298" s="15"/>
      <c r="P298" s="15"/>
      <c r="Q298" s="15"/>
    </row>
    <row r="299" spans="2:17" x14ac:dyDescent="0.25">
      <c r="B299" s="15"/>
      <c r="C299" s="15"/>
      <c r="D299" s="15"/>
      <c r="E299" s="15"/>
      <c r="F299" s="15"/>
      <c r="G299" s="15"/>
      <c r="H299" s="15"/>
      <c r="I299" s="15"/>
      <c r="J299" s="15"/>
      <c r="K299" s="15"/>
      <c r="L299" s="15"/>
      <c r="M299" s="15"/>
      <c r="N299" s="15"/>
      <c r="O299" s="15"/>
      <c r="P299" s="15"/>
      <c r="Q299" s="15"/>
    </row>
    <row r="300" spans="2:17" x14ac:dyDescent="0.25">
      <c r="B300" s="15"/>
      <c r="C300" s="15"/>
      <c r="D300" s="15"/>
      <c r="E300" s="15"/>
      <c r="F300" s="15"/>
      <c r="G300" s="15"/>
      <c r="H300" s="15"/>
      <c r="I300" s="15"/>
      <c r="J300" s="15"/>
      <c r="K300" s="15"/>
      <c r="L300" s="15"/>
      <c r="M300" s="15"/>
      <c r="N300" s="15"/>
      <c r="O300" s="15"/>
      <c r="P300" s="15"/>
      <c r="Q300" s="15"/>
    </row>
    <row r="301" spans="2:17" x14ac:dyDescent="0.25">
      <c r="B301" s="15"/>
      <c r="C301" s="15"/>
      <c r="D301" s="15"/>
      <c r="E301" s="15"/>
      <c r="F301" s="15"/>
      <c r="G301" s="15"/>
      <c r="H301" s="15"/>
      <c r="I301" s="15"/>
      <c r="J301" s="15"/>
      <c r="K301" s="15"/>
      <c r="L301" s="15"/>
      <c r="M301" s="15"/>
      <c r="N301" s="15"/>
      <c r="O301" s="15"/>
      <c r="P301" s="15"/>
      <c r="Q301" s="15"/>
    </row>
    <row r="302" spans="2:17" x14ac:dyDescent="0.25">
      <c r="B302" s="15"/>
      <c r="C302" s="15"/>
      <c r="D302" s="15"/>
      <c r="E302" s="15"/>
      <c r="F302" s="15"/>
      <c r="G302" s="15"/>
      <c r="H302" s="15"/>
      <c r="I302" s="15"/>
      <c r="J302" s="15"/>
      <c r="K302" s="15"/>
      <c r="L302" s="15"/>
      <c r="M302" s="15"/>
      <c r="N302" s="15"/>
      <c r="O302" s="15"/>
      <c r="P302" s="15"/>
      <c r="Q302" s="15"/>
    </row>
    <row r="303" spans="2:17" x14ac:dyDescent="0.25">
      <c r="B303" s="15"/>
      <c r="C303" s="15"/>
      <c r="D303" s="15"/>
      <c r="E303" s="15"/>
      <c r="F303" s="15"/>
      <c r="G303" s="15"/>
      <c r="H303" s="15"/>
      <c r="I303" s="15"/>
      <c r="J303" s="15"/>
      <c r="K303" s="15"/>
      <c r="L303" s="15"/>
      <c r="M303" s="15"/>
      <c r="N303" s="15"/>
      <c r="O303" s="15"/>
      <c r="P303" s="15"/>
      <c r="Q303" s="15"/>
    </row>
    <row r="304" spans="2:17" x14ac:dyDescent="0.25">
      <c r="B304" s="15"/>
      <c r="C304" s="15"/>
      <c r="D304" s="15"/>
      <c r="E304" s="15"/>
      <c r="F304" s="15"/>
      <c r="G304" s="15"/>
      <c r="H304" s="15"/>
      <c r="I304" s="15"/>
      <c r="J304" s="15"/>
      <c r="K304" s="15"/>
      <c r="L304" s="15"/>
      <c r="M304" s="15"/>
      <c r="N304" s="15"/>
      <c r="O304" s="15"/>
      <c r="P304" s="15"/>
      <c r="Q304" s="15"/>
    </row>
    <row r="305" spans="2:17" x14ac:dyDescent="0.25">
      <c r="B305" s="15"/>
      <c r="C305" s="15"/>
      <c r="D305" s="15"/>
      <c r="E305" s="15"/>
      <c r="F305" s="15"/>
      <c r="G305" s="15"/>
      <c r="H305" s="15"/>
      <c r="I305" s="15"/>
      <c r="J305" s="15"/>
      <c r="K305" s="15"/>
      <c r="L305" s="15"/>
      <c r="M305" s="15"/>
      <c r="N305" s="15"/>
      <c r="O305" s="15"/>
      <c r="P305" s="15"/>
      <c r="Q305" s="15"/>
    </row>
    <row r="306" spans="2:17" x14ac:dyDescent="0.25">
      <c r="B306" s="15"/>
      <c r="C306" s="15"/>
      <c r="D306" s="15"/>
      <c r="E306" s="15"/>
      <c r="F306" s="15"/>
      <c r="G306" s="15"/>
      <c r="H306" s="15"/>
      <c r="I306" s="15"/>
      <c r="J306" s="15"/>
      <c r="K306" s="15"/>
      <c r="L306" s="15"/>
      <c r="M306" s="15"/>
      <c r="N306" s="15"/>
      <c r="O306" s="15"/>
      <c r="P306" s="15"/>
      <c r="Q306" s="15"/>
    </row>
    <row r="307" spans="2:17" x14ac:dyDescent="0.25">
      <c r="B307" s="15"/>
      <c r="C307" s="15"/>
      <c r="D307" s="15"/>
      <c r="E307" s="15"/>
      <c r="F307" s="15"/>
      <c r="G307" s="15"/>
      <c r="H307" s="15"/>
      <c r="I307" s="15"/>
      <c r="J307" s="15"/>
      <c r="K307" s="15"/>
      <c r="L307" s="15"/>
      <c r="M307" s="15"/>
      <c r="N307" s="15"/>
      <c r="O307" s="15"/>
      <c r="P307" s="15"/>
      <c r="Q307" s="15"/>
    </row>
    <row r="308" spans="2:17" x14ac:dyDescent="0.25">
      <c r="B308" s="15"/>
      <c r="C308" s="15"/>
      <c r="D308" s="15"/>
      <c r="E308" s="15"/>
      <c r="F308" s="15"/>
      <c r="G308" s="15"/>
      <c r="H308" s="15"/>
      <c r="I308" s="15"/>
      <c r="J308" s="15"/>
      <c r="K308" s="15"/>
      <c r="L308" s="15"/>
      <c r="M308" s="15"/>
      <c r="N308" s="15"/>
      <c r="O308" s="15"/>
      <c r="P308" s="15"/>
      <c r="Q308" s="15"/>
    </row>
    <row r="309" spans="2:17" x14ac:dyDescent="0.25">
      <c r="B309" s="15"/>
      <c r="C309" s="15"/>
      <c r="D309" s="15"/>
      <c r="E309" s="15"/>
      <c r="F309" s="15"/>
      <c r="G309" s="15"/>
      <c r="H309" s="15"/>
      <c r="I309" s="15"/>
      <c r="J309" s="15"/>
      <c r="K309" s="15"/>
      <c r="L309" s="15"/>
      <c r="M309" s="15"/>
      <c r="N309" s="15"/>
      <c r="O309" s="15"/>
      <c r="P309" s="15"/>
      <c r="Q309" s="15"/>
    </row>
    <row r="310" spans="2:17" x14ac:dyDescent="0.25">
      <c r="B310" s="15"/>
      <c r="C310" s="15"/>
      <c r="D310" s="15"/>
      <c r="E310" s="15"/>
      <c r="F310" s="15"/>
      <c r="G310" s="15"/>
      <c r="H310" s="15"/>
      <c r="I310" s="15"/>
      <c r="J310" s="15"/>
      <c r="K310" s="15"/>
      <c r="L310" s="15"/>
      <c r="M310" s="15"/>
      <c r="N310" s="15"/>
      <c r="O310" s="15"/>
      <c r="P310" s="15"/>
      <c r="Q310" s="15"/>
    </row>
    <row r="311" spans="2:17" x14ac:dyDescent="0.25">
      <c r="B311" s="15"/>
      <c r="C311" s="15"/>
      <c r="D311" s="15"/>
      <c r="E311" s="15"/>
      <c r="F311" s="15"/>
      <c r="G311" s="15"/>
      <c r="H311" s="15"/>
      <c r="I311" s="15"/>
      <c r="J311" s="15"/>
      <c r="K311" s="15"/>
      <c r="L311" s="15"/>
      <c r="M311" s="15"/>
      <c r="N311" s="15"/>
      <c r="O311" s="15"/>
      <c r="P311" s="15"/>
      <c r="Q311" s="15"/>
    </row>
    <row r="312" spans="2:17" x14ac:dyDescent="0.25">
      <c r="B312" s="15"/>
      <c r="C312" s="15"/>
      <c r="D312" s="15"/>
      <c r="E312" s="15"/>
      <c r="F312" s="15"/>
      <c r="G312" s="15"/>
      <c r="H312" s="15"/>
      <c r="I312" s="15"/>
      <c r="J312" s="15"/>
      <c r="K312" s="15"/>
      <c r="L312" s="15"/>
      <c r="M312" s="15"/>
      <c r="N312" s="15"/>
      <c r="O312" s="15"/>
      <c r="P312" s="15"/>
      <c r="Q312" s="15"/>
    </row>
    <row r="313" spans="2:17" x14ac:dyDescent="0.25">
      <c r="B313" s="15"/>
      <c r="C313" s="15"/>
      <c r="D313" s="15"/>
      <c r="E313" s="15"/>
      <c r="F313" s="15"/>
      <c r="G313" s="15"/>
      <c r="H313" s="15"/>
      <c r="I313" s="15"/>
      <c r="J313" s="15"/>
      <c r="K313" s="15"/>
      <c r="L313" s="15"/>
      <c r="M313" s="15"/>
      <c r="N313" s="15"/>
      <c r="O313" s="15"/>
      <c r="P313" s="15"/>
      <c r="Q313" s="15"/>
    </row>
    <row r="314" spans="2:17" x14ac:dyDescent="0.25">
      <c r="B314" s="15"/>
      <c r="C314" s="15"/>
      <c r="D314" s="15"/>
      <c r="E314" s="15"/>
      <c r="F314" s="15"/>
      <c r="G314" s="15"/>
      <c r="H314" s="15"/>
      <c r="I314" s="15"/>
      <c r="J314" s="15"/>
      <c r="K314" s="15"/>
      <c r="L314" s="15"/>
      <c r="M314" s="15"/>
      <c r="N314" s="15"/>
      <c r="O314" s="15"/>
      <c r="P314" s="15"/>
      <c r="Q314" s="15"/>
    </row>
    <row r="315" spans="2:17" x14ac:dyDescent="0.25">
      <c r="B315" s="15"/>
      <c r="C315" s="15"/>
      <c r="D315" s="15"/>
      <c r="E315" s="15"/>
      <c r="F315" s="15"/>
      <c r="G315" s="15"/>
      <c r="H315" s="15"/>
      <c r="I315" s="15"/>
      <c r="J315" s="15"/>
      <c r="K315" s="15"/>
      <c r="L315" s="15"/>
      <c r="M315" s="15"/>
      <c r="N315" s="15"/>
      <c r="O315" s="15"/>
      <c r="P315" s="15"/>
      <c r="Q315" s="15"/>
    </row>
    <row r="316" spans="2:17" x14ac:dyDescent="0.25">
      <c r="B316" s="15"/>
      <c r="C316" s="15"/>
      <c r="D316" s="15"/>
      <c r="E316" s="15"/>
      <c r="F316" s="15"/>
      <c r="G316" s="15"/>
      <c r="H316" s="15"/>
      <c r="I316" s="15"/>
      <c r="J316" s="15"/>
      <c r="K316" s="15"/>
      <c r="L316" s="15"/>
      <c r="M316" s="15"/>
      <c r="N316" s="15"/>
      <c r="O316" s="15"/>
      <c r="P316" s="15"/>
      <c r="Q316" s="15"/>
    </row>
    <row r="317" spans="2:17" x14ac:dyDescent="0.25">
      <c r="B317" s="15"/>
      <c r="C317" s="15"/>
      <c r="D317" s="15"/>
      <c r="E317" s="15"/>
      <c r="F317" s="15"/>
      <c r="G317" s="15"/>
      <c r="H317" s="15"/>
      <c r="I317" s="15"/>
      <c r="J317" s="15"/>
      <c r="K317" s="15"/>
      <c r="L317" s="15"/>
      <c r="M317" s="15"/>
      <c r="N317" s="15"/>
      <c r="O317" s="15"/>
      <c r="P317" s="15"/>
      <c r="Q317" s="15"/>
    </row>
    <row r="318" spans="2:17" x14ac:dyDescent="0.25">
      <c r="B318" s="15"/>
      <c r="C318" s="15"/>
      <c r="D318" s="15"/>
      <c r="E318" s="15"/>
      <c r="F318" s="15"/>
      <c r="G318" s="15"/>
      <c r="H318" s="15"/>
      <c r="I318" s="15"/>
      <c r="J318" s="15"/>
      <c r="K318" s="15"/>
      <c r="L318" s="15"/>
      <c r="M318" s="15"/>
      <c r="N318" s="15"/>
      <c r="O318" s="15"/>
      <c r="P318" s="15"/>
      <c r="Q318" s="15"/>
    </row>
    <row r="319" spans="2:17" x14ac:dyDescent="0.25">
      <c r="B319" s="15"/>
      <c r="C319" s="15"/>
      <c r="D319" s="15"/>
      <c r="E319" s="15"/>
      <c r="F319" s="15"/>
      <c r="G319" s="15"/>
      <c r="H319" s="15"/>
      <c r="I319" s="15"/>
      <c r="J319" s="15"/>
      <c r="K319" s="15"/>
      <c r="L319" s="15"/>
      <c r="M319" s="15"/>
      <c r="N319" s="15"/>
      <c r="O319" s="15"/>
      <c r="P319" s="15"/>
      <c r="Q319" s="15"/>
    </row>
    <row r="320" spans="2:17" x14ac:dyDescent="0.25">
      <c r="B320" s="15"/>
      <c r="C320" s="15"/>
      <c r="D320" s="15"/>
      <c r="E320" s="15"/>
      <c r="F320" s="15"/>
      <c r="G320" s="15"/>
      <c r="H320" s="15"/>
      <c r="I320" s="15"/>
      <c r="J320" s="15"/>
      <c r="K320" s="15"/>
      <c r="L320" s="15"/>
      <c r="M320" s="15"/>
      <c r="N320" s="15"/>
      <c r="O320" s="15"/>
      <c r="P320" s="15"/>
      <c r="Q320" s="15"/>
    </row>
    <row r="321" spans="2:17" x14ac:dyDescent="0.25">
      <c r="B321" s="15"/>
      <c r="C321" s="15"/>
      <c r="D321" s="15"/>
      <c r="E321" s="15"/>
      <c r="F321" s="15"/>
      <c r="G321" s="15"/>
      <c r="H321" s="15"/>
      <c r="I321" s="15"/>
      <c r="J321" s="15"/>
      <c r="K321" s="15"/>
      <c r="L321" s="15"/>
      <c r="M321" s="15"/>
      <c r="N321" s="15"/>
      <c r="O321" s="15"/>
      <c r="P321" s="15"/>
      <c r="Q321" s="15"/>
    </row>
    <row r="322" spans="2:17" x14ac:dyDescent="0.25">
      <c r="B322" s="15"/>
      <c r="C322" s="15"/>
      <c r="D322" s="15"/>
      <c r="E322" s="15"/>
      <c r="F322" s="15"/>
      <c r="G322" s="15"/>
      <c r="H322" s="15"/>
      <c r="I322" s="15"/>
      <c r="J322" s="15"/>
      <c r="K322" s="15"/>
      <c r="L322" s="15"/>
      <c r="M322" s="15"/>
      <c r="N322" s="15"/>
      <c r="O322" s="15"/>
      <c r="P322" s="15"/>
      <c r="Q322" s="15"/>
    </row>
    <row r="323" spans="2:17" x14ac:dyDescent="0.25">
      <c r="B323" s="15"/>
      <c r="C323" s="15"/>
      <c r="D323" s="15"/>
      <c r="E323" s="15"/>
      <c r="F323" s="15"/>
      <c r="G323" s="15"/>
      <c r="H323" s="15"/>
      <c r="I323" s="15"/>
      <c r="J323" s="15"/>
      <c r="K323" s="15"/>
      <c r="L323" s="15"/>
      <c r="M323" s="15"/>
      <c r="N323" s="15"/>
      <c r="O323" s="15"/>
      <c r="P323" s="15"/>
      <c r="Q323" s="15"/>
    </row>
    <row r="324" spans="2:17" x14ac:dyDescent="0.25">
      <c r="B324" s="15"/>
      <c r="C324" s="15"/>
      <c r="D324" s="15"/>
      <c r="E324" s="15"/>
      <c r="F324" s="15"/>
      <c r="G324" s="15"/>
      <c r="H324" s="15"/>
      <c r="I324" s="15"/>
      <c r="J324" s="15"/>
      <c r="K324" s="15"/>
      <c r="L324" s="15"/>
      <c r="M324" s="15"/>
      <c r="N324" s="15"/>
      <c r="O324" s="15"/>
      <c r="P324" s="15"/>
      <c r="Q324" s="15"/>
    </row>
    <row r="325" spans="2:17" x14ac:dyDescent="0.25">
      <c r="B325" s="15"/>
      <c r="C325" s="15"/>
      <c r="D325" s="15"/>
      <c r="E325" s="15"/>
      <c r="F325" s="15"/>
      <c r="G325" s="15"/>
      <c r="H325" s="15"/>
      <c r="I325" s="15"/>
      <c r="J325" s="15"/>
      <c r="K325" s="15"/>
      <c r="L325" s="15"/>
      <c r="M325" s="15"/>
      <c r="N325" s="15"/>
      <c r="O325" s="15"/>
      <c r="P325" s="15"/>
      <c r="Q325" s="15"/>
    </row>
    <row r="326" spans="2:17" x14ac:dyDescent="0.25">
      <c r="B326" s="15"/>
      <c r="C326" s="15"/>
      <c r="D326" s="15"/>
      <c r="E326" s="15"/>
      <c r="F326" s="15"/>
      <c r="G326" s="15"/>
      <c r="H326" s="15"/>
      <c r="I326" s="15"/>
      <c r="J326" s="15"/>
      <c r="K326" s="15"/>
      <c r="L326" s="15"/>
      <c r="M326" s="15"/>
      <c r="N326" s="15"/>
      <c r="O326" s="15"/>
      <c r="P326" s="15"/>
      <c r="Q326" s="15"/>
    </row>
    <row r="327" spans="2:17" x14ac:dyDescent="0.25">
      <c r="B327" s="15"/>
      <c r="C327" s="15"/>
      <c r="D327" s="15"/>
      <c r="E327" s="15"/>
      <c r="F327" s="15"/>
      <c r="G327" s="15"/>
      <c r="H327" s="15"/>
      <c r="I327" s="15"/>
      <c r="J327" s="15"/>
      <c r="K327" s="15"/>
      <c r="L327" s="15"/>
      <c r="M327" s="15"/>
      <c r="N327" s="15"/>
      <c r="O327" s="15"/>
      <c r="P327" s="15"/>
      <c r="Q327" s="15"/>
    </row>
    <row r="328" spans="2:17" x14ac:dyDescent="0.25">
      <c r="B328" s="15"/>
      <c r="C328" s="15"/>
      <c r="D328" s="15"/>
      <c r="E328" s="15"/>
      <c r="F328" s="15"/>
      <c r="G328" s="15"/>
      <c r="H328" s="15"/>
      <c r="I328" s="15"/>
      <c r="J328" s="15"/>
      <c r="K328" s="15"/>
      <c r="L328" s="15"/>
      <c r="M328" s="15"/>
      <c r="N328" s="15"/>
      <c r="O328" s="15"/>
      <c r="P328" s="15"/>
      <c r="Q328" s="15"/>
    </row>
    <row r="329" spans="2:17" x14ac:dyDescent="0.25">
      <c r="B329" s="15"/>
      <c r="C329" s="15"/>
      <c r="D329" s="15"/>
      <c r="E329" s="15"/>
      <c r="F329" s="15"/>
      <c r="G329" s="15"/>
      <c r="H329" s="15"/>
      <c r="I329" s="15"/>
      <c r="J329" s="15"/>
      <c r="K329" s="15"/>
      <c r="L329" s="15"/>
      <c r="M329" s="15"/>
      <c r="N329" s="15"/>
      <c r="O329" s="15"/>
      <c r="P329" s="15"/>
      <c r="Q329" s="15"/>
    </row>
    <row r="330" spans="2:17" x14ac:dyDescent="0.25">
      <c r="B330" s="15"/>
      <c r="C330" s="15"/>
      <c r="D330" s="15"/>
      <c r="E330" s="15"/>
      <c r="F330" s="15"/>
      <c r="G330" s="15"/>
      <c r="H330" s="15"/>
      <c r="I330" s="15"/>
      <c r="J330" s="15"/>
      <c r="K330" s="15"/>
      <c r="L330" s="15"/>
      <c r="M330" s="15"/>
      <c r="N330" s="15"/>
      <c r="O330" s="15"/>
      <c r="P330" s="15"/>
      <c r="Q330" s="15"/>
    </row>
    <row r="331" spans="2:17" x14ac:dyDescent="0.25">
      <c r="B331" s="15"/>
      <c r="C331" s="15"/>
      <c r="D331" s="15"/>
      <c r="E331" s="15"/>
      <c r="F331" s="15"/>
      <c r="G331" s="15"/>
      <c r="H331" s="15"/>
      <c r="I331" s="15"/>
      <c r="J331" s="15"/>
      <c r="K331" s="15"/>
      <c r="L331" s="15"/>
      <c r="M331" s="15"/>
      <c r="N331" s="15"/>
      <c r="O331" s="15"/>
      <c r="P331" s="15"/>
      <c r="Q331" s="15"/>
    </row>
    <row r="332" spans="2:17" x14ac:dyDescent="0.25">
      <c r="B332" s="15"/>
      <c r="C332" s="15"/>
      <c r="D332" s="15"/>
      <c r="E332" s="15"/>
      <c r="F332" s="15"/>
      <c r="G332" s="15"/>
      <c r="H332" s="15"/>
      <c r="I332" s="15"/>
      <c r="J332" s="15"/>
      <c r="K332" s="15"/>
      <c r="L332" s="15"/>
      <c r="M332" s="15"/>
      <c r="N332" s="15"/>
      <c r="O332" s="15"/>
      <c r="P332" s="15"/>
      <c r="Q332" s="15"/>
    </row>
    <row r="333" spans="2:17" x14ac:dyDescent="0.25">
      <c r="B333" s="15"/>
      <c r="C333" s="15"/>
      <c r="D333" s="15"/>
      <c r="E333" s="15"/>
      <c r="F333" s="15"/>
      <c r="G333" s="15"/>
      <c r="H333" s="15"/>
      <c r="I333" s="15"/>
      <c r="J333" s="15"/>
      <c r="K333" s="15"/>
      <c r="L333" s="15"/>
      <c r="M333" s="15"/>
      <c r="N333" s="15"/>
      <c r="O333" s="15"/>
      <c r="P333" s="15"/>
      <c r="Q333" s="15"/>
    </row>
    <row r="334" spans="2:17" x14ac:dyDescent="0.25">
      <c r="B334" s="15"/>
      <c r="C334" s="15"/>
      <c r="D334" s="15"/>
      <c r="E334" s="15"/>
      <c r="F334" s="15"/>
      <c r="G334" s="15"/>
      <c r="H334" s="15"/>
      <c r="I334" s="15"/>
      <c r="J334" s="15"/>
      <c r="K334" s="15"/>
      <c r="L334" s="15"/>
      <c r="M334" s="15"/>
      <c r="N334" s="15"/>
      <c r="O334" s="15"/>
      <c r="P334" s="15"/>
      <c r="Q334" s="15"/>
    </row>
    <row r="335" spans="2:17" x14ac:dyDescent="0.25">
      <c r="B335" s="15"/>
      <c r="C335" s="15"/>
      <c r="D335" s="15"/>
      <c r="E335" s="15"/>
      <c r="F335" s="15"/>
      <c r="G335" s="15"/>
      <c r="H335" s="15"/>
      <c r="I335" s="15"/>
      <c r="J335" s="15"/>
      <c r="K335" s="15"/>
      <c r="L335" s="15"/>
      <c r="M335" s="15"/>
      <c r="N335" s="15"/>
      <c r="O335" s="15"/>
      <c r="P335" s="15"/>
      <c r="Q335" s="15"/>
    </row>
    <row r="336" spans="2:17" x14ac:dyDescent="0.25">
      <c r="B336" s="15"/>
      <c r="C336" s="15"/>
      <c r="D336" s="15"/>
      <c r="E336" s="15"/>
      <c r="F336" s="15"/>
      <c r="G336" s="15"/>
      <c r="H336" s="15"/>
      <c r="I336" s="15"/>
      <c r="J336" s="15"/>
      <c r="K336" s="15"/>
      <c r="L336" s="15"/>
      <c r="M336" s="15"/>
      <c r="N336" s="15"/>
      <c r="O336" s="15"/>
      <c r="P336" s="15"/>
      <c r="Q336" s="15"/>
    </row>
    <row r="337" spans="2:17" x14ac:dyDescent="0.25">
      <c r="B337" s="15"/>
      <c r="C337" s="15"/>
      <c r="D337" s="15"/>
      <c r="E337" s="15"/>
      <c r="F337" s="15"/>
      <c r="G337" s="15"/>
      <c r="H337" s="15"/>
      <c r="I337" s="15"/>
      <c r="J337" s="15"/>
      <c r="K337" s="15"/>
      <c r="L337" s="15"/>
      <c r="M337" s="15"/>
      <c r="N337" s="15"/>
      <c r="O337" s="15"/>
      <c r="P337" s="15"/>
      <c r="Q337" s="15"/>
    </row>
    <row r="338" spans="2:17" x14ac:dyDescent="0.25">
      <c r="B338" s="15"/>
      <c r="C338" s="15"/>
      <c r="D338" s="15"/>
      <c r="E338" s="15"/>
      <c r="F338" s="15"/>
      <c r="G338" s="15"/>
      <c r="H338" s="15"/>
      <c r="I338" s="15"/>
      <c r="J338" s="15"/>
      <c r="K338" s="15"/>
      <c r="L338" s="15"/>
      <c r="M338" s="15"/>
      <c r="N338" s="15"/>
      <c r="O338" s="15"/>
      <c r="P338" s="15"/>
      <c r="Q338" s="15"/>
    </row>
    <row r="339" spans="2:17" x14ac:dyDescent="0.25">
      <c r="B339" s="15"/>
      <c r="C339" s="15"/>
      <c r="D339" s="15"/>
      <c r="E339" s="15"/>
      <c r="F339" s="15"/>
      <c r="G339" s="15"/>
      <c r="H339" s="15"/>
      <c r="I339" s="15"/>
      <c r="J339" s="15"/>
      <c r="K339" s="15"/>
      <c r="L339" s="15"/>
      <c r="M339" s="15"/>
      <c r="N339" s="15"/>
      <c r="O339" s="15"/>
      <c r="P339" s="15"/>
      <c r="Q339" s="15"/>
    </row>
    <row r="340" spans="2:17" x14ac:dyDescent="0.25">
      <c r="B340" s="15"/>
      <c r="C340" s="15"/>
      <c r="D340" s="15"/>
      <c r="E340" s="15"/>
      <c r="F340" s="15"/>
      <c r="G340" s="15"/>
      <c r="H340" s="15"/>
      <c r="I340" s="15"/>
      <c r="J340" s="15"/>
      <c r="K340" s="15"/>
      <c r="L340" s="15"/>
      <c r="M340" s="15"/>
      <c r="N340" s="15"/>
      <c r="O340" s="15"/>
      <c r="P340" s="15"/>
      <c r="Q340" s="15"/>
    </row>
    <row r="341" spans="2:17" x14ac:dyDescent="0.25">
      <c r="B341" s="15"/>
      <c r="C341" s="15"/>
      <c r="D341" s="15"/>
      <c r="E341" s="15"/>
      <c r="F341" s="15"/>
      <c r="G341" s="15"/>
      <c r="H341" s="15"/>
      <c r="I341" s="15"/>
      <c r="J341" s="15"/>
      <c r="K341" s="15"/>
      <c r="L341" s="15"/>
      <c r="M341" s="15"/>
      <c r="N341" s="15"/>
      <c r="O341" s="15"/>
      <c r="P341" s="15"/>
      <c r="Q341" s="15"/>
    </row>
    <row r="342" spans="2:17" x14ac:dyDescent="0.25">
      <c r="B342" s="15"/>
      <c r="C342" s="15"/>
      <c r="D342" s="15"/>
      <c r="E342" s="15"/>
      <c r="F342" s="15"/>
      <c r="G342" s="15"/>
      <c r="H342" s="15"/>
      <c r="I342" s="15"/>
      <c r="J342" s="15"/>
      <c r="K342" s="15"/>
      <c r="L342" s="15"/>
      <c r="M342" s="15"/>
      <c r="N342" s="15"/>
      <c r="O342" s="15"/>
      <c r="P342" s="15"/>
      <c r="Q342" s="15"/>
    </row>
    <row r="343" spans="2:17" x14ac:dyDescent="0.25">
      <c r="B343" s="15"/>
      <c r="C343" s="15"/>
      <c r="D343" s="15"/>
      <c r="E343" s="15"/>
      <c r="F343" s="15"/>
      <c r="G343" s="15"/>
      <c r="H343" s="15"/>
      <c r="I343" s="15"/>
      <c r="J343" s="15"/>
      <c r="K343" s="15"/>
      <c r="L343" s="15"/>
      <c r="M343" s="15"/>
      <c r="N343" s="15"/>
      <c r="O343" s="15"/>
      <c r="P343" s="15"/>
      <c r="Q343" s="15"/>
    </row>
    <row r="344" spans="2:17" x14ac:dyDescent="0.25">
      <c r="B344" s="15"/>
      <c r="C344" s="15"/>
      <c r="D344" s="15"/>
      <c r="E344" s="15"/>
      <c r="F344" s="15"/>
      <c r="G344" s="15"/>
      <c r="H344" s="15"/>
      <c r="I344" s="15"/>
      <c r="J344" s="15"/>
      <c r="K344" s="15"/>
      <c r="L344" s="15"/>
      <c r="M344" s="15"/>
      <c r="N344" s="15"/>
      <c r="O344" s="15"/>
      <c r="P344" s="15"/>
      <c r="Q344" s="15"/>
    </row>
    <row r="345" spans="2:17" x14ac:dyDescent="0.25">
      <c r="B345" s="15"/>
      <c r="C345" s="15"/>
      <c r="D345" s="15"/>
      <c r="E345" s="15"/>
      <c r="F345" s="15"/>
      <c r="G345" s="15"/>
      <c r="H345" s="15"/>
      <c r="I345" s="15"/>
      <c r="J345" s="15"/>
      <c r="K345" s="15"/>
      <c r="L345" s="15"/>
      <c r="M345" s="15"/>
      <c r="N345" s="15"/>
      <c r="O345" s="15"/>
      <c r="P345" s="15"/>
      <c r="Q345" s="15"/>
    </row>
    <row r="346" spans="2:17" x14ac:dyDescent="0.25">
      <c r="B346" s="15"/>
      <c r="C346" s="15"/>
      <c r="D346" s="15"/>
      <c r="E346" s="15"/>
      <c r="F346" s="15"/>
      <c r="G346" s="15"/>
      <c r="H346" s="15"/>
      <c r="I346" s="15"/>
      <c r="J346" s="15"/>
      <c r="K346" s="15"/>
      <c r="L346" s="15"/>
      <c r="M346" s="15"/>
      <c r="N346" s="15"/>
      <c r="O346" s="15"/>
      <c r="P346" s="15"/>
      <c r="Q346" s="15"/>
    </row>
    <row r="347" spans="2:17" x14ac:dyDescent="0.25">
      <c r="B347" s="15"/>
      <c r="C347" s="15"/>
      <c r="D347" s="15"/>
      <c r="E347" s="15"/>
      <c r="F347" s="15"/>
      <c r="G347" s="15"/>
      <c r="H347" s="15"/>
      <c r="I347" s="15"/>
      <c r="J347" s="15"/>
      <c r="K347" s="15"/>
      <c r="L347" s="15"/>
      <c r="M347" s="15"/>
      <c r="N347" s="15"/>
      <c r="O347" s="15"/>
      <c r="P347" s="15"/>
      <c r="Q347" s="15"/>
    </row>
    <row r="348" spans="2:17" x14ac:dyDescent="0.25">
      <c r="B348" s="15"/>
      <c r="C348" s="15"/>
      <c r="D348" s="15"/>
      <c r="E348" s="15"/>
      <c r="F348" s="15"/>
      <c r="G348" s="15"/>
      <c r="H348" s="15"/>
      <c r="I348" s="15"/>
      <c r="J348" s="15"/>
      <c r="K348" s="15"/>
      <c r="L348" s="15"/>
      <c r="M348" s="15"/>
      <c r="N348" s="15"/>
      <c r="O348" s="15"/>
      <c r="P348" s="15"/>
      <c r="Q348" s="15"/>
    </row>
    <row r="349" spans="2:17" x14ac:dyDescent="0.25">
      <c r="B349" s="15"/>
      <c r="C349" s="15"/>
      <c r="D349" s="15"/>
      <c r="E349" s="15"/>
      <c r="F349" s="15"/>
      <c r="G349" s="15"/>
      <c r="H349" s="15"/>
      <c r="I349" s="15"/>
      <c r="J349" s="15"/>
      <c r="K349" s="15"/>
      <c r="L349" s="15"/>
      <c r="M349" s="15"/>
      <c r="N349" s="15"/>
      <c r="O349" s="15"/>
      <c r="P349" s="15"/>
      <c r="Q349" s="15"/>
    </row>
    <row r="350" spans="2:17" x14ac:dyDescent="0.25">
      <c r="B350" s="15"/>
      <c r="C350" s="15"/>
      <c r="D350" s="15"/>
      <c r="E350" s="15"/>
      <c r="F350" s="15"/>
      <c r="G350" s="15"/>
      <c r="H350" s="15"/>
      <c r="I350" s="15"/>
      <c r="J350" s="15"/>
      <c r="K350" s="15"/>
      <c r="L350" s="15"/>
      <c r="M350" s="15"/>
      <c r="N350" s="15"/>
      <c r="O350" s="15"/>
      <c r="P350" s="15"/>
      <c r="Q350" s="15"/>
    </row>
    <row r="351" spans="2:17" x14ac:dyDescent="0.25">
      <c r="B351" s="15"/>
      <c r="C351" s="15"/>
      <c r="D351" s="15"/>
      <c r="E351" s="15"/>
      <c r="F351" s="15"/>
      <c r="G351" s="15"/>
      <c r="H351" s="15"/>
      <c r="I351" s="15"/>
      <c r="J351" s="15"/>
      <c r="K351" s="15"/>
      <c r="L351" s="15"/>
      <c r="M351" s="15"/>
      <c r="N351" s="15"/>
      <c r="O351" s="15"/>
      <c r="P351" s="15"/>
      <c r="Q351" s="15"/>
    </row>
    <row r="352" spans="2:17" x14ac:dyDescent="0.25">
      <c r="B352" s="15"/>
      <c r="C352" s="15"/>
      <c r="D352" s="15"/>
      <c r="E352" s="15"/>
      <c r="F352" s="15"/>
      <c r="G352" s="15"/>
      <c r="H352" s="15"/>
      <c r="I352" s="15"/>
      <c r="J352" s="15"/>
      <c r="K352" s="15"/>
      <c r="L352" s="15"/>
      <c r="M352" s="15"/>
      <c r="N352" s="15"/>
      <c r="O352" s="15"/>
      <c r="P352" s="15"/>
      <c r="Q352" s="15"/>
    </row>
    <row r="353" spans="2:17" x14ac:dyDescent="0.25">
      <c r="B353" s="15"/>
      <c r="C353" s="15"/>
      <c r="D353" s="15"/>
      <c r="E353" s="15"/>
      <c r="F353" s="15"/>
      <c r="G353" s="15"/>
      <c r="H353" s="15"/>
      <c r="I353" s="15"/>
      <c r="J353" s="15"/>
      <c r="K353" s="15"/>
      <c r="L353" s="15"/>
      <c r="M353" s="15"/>
      <c r="N353" s="15"/>
      <c r="O353" s="15"/>
      <c r="P353" s="15"/>
      <c r="Q353" s="15"/>
    </row>
    <row r="354" spans="2:17" x14ac:dyDescent="0.25">
      <c r="B354" s="15"/>
      <c r="C354" s="15"/>
      <c r="D354" s="15"/>
      <c r="E354" s="15"/>
      <c r="F354" s="15"/>
      <c r="G354" s="15"/>
      <c r="H354" s="15"/>
      <c r="I354" s="15"/>
      <c r="J354" s="15"/>
      <c r="K354" s="15"/>
      <c r="L354" s="15"/>
      <c r="M354" s="15"/>
      <c r="N354" s="15"/>
      <c r="O354" s="15"/>
      <c r="P354" s="15"/>
      <c r="Q354" s="15"/>
    </row>
    <row r="355" spans="2:17" x14ac:dyDescent="0.25">
      <c r="B355" s="15"/>
      <c r="C355" s="15"/>
      <c r="D355" s="15"/>
      <c r="E355" s="15"/>
      <c r="F355" s="15"/>
      <c r="G355" s="15"/>
      <c r="H355" s="15"/>
      <c r="I355" s="15"/>
      <c r="J355" s="15"/>
      <c r="K355" s="15"/>
      <c r="L355" s="15"/>
      <c r="M355" s="15"/>
      <c r="N355" s="15"/>
      <c r="O355" s="15"/>
      <c r="P355" s="15"/>
      <c r="Q355" s="15"/>
    </row>
    <row r="356" spans="2:17" x14ac:dyDescent="0.25">
      <c r="B356" s="15"/>
      <c r="C356" s="15"/>
      <c r="D356" s="15"/>
      <c r="E356" s="15"/>
      <c r="F356" s="15"/>
      <c r="G356" s="15"/>
      <c r="H356" s="15"/>
      <c r="I356" s="15"/>
      <c r="J356" s="15"/>
      <c r="K356" s="15"/>
      <c r="L356" s="15"/>
      <c r="M356" s="15"/>
      <c r="N356" s="15"/>
      <c r="O356" s="15"/>
      <c r="P356" s="15"/>
      <c r="Q356" s="15"/>
    </row>
    <row r="357" spans="2:17" x14ac:dyDescent="0.25">
      <c r="B357" s="15"/>
      <c r="C357" s="15"/>
      <c r="D357" s="15"/>
      <c r="E357" s="15"/>
      <c r="F357" s="15"/>
      <c r="G357" s="15"/>
      <c r="H357" s="15"/>
      <c r="I357" s="15"/>
      <c r="J357" s="15"/>
      <c r="K357" s="15"/>
      <c r="L357" s="15"/>
      <c r="M357" s="15"/>
      <c r="N357" s="15"/>
      <c r="O357" s="15"/>
      <c r="P357" s="15"/>
      <c r="Q357" s="15"/>
    </row>
    <row r="358" spans="2:17" x14ac:dyDescent="0.25">
      <c r="B358" s="15"/>
      <c r="C358" s="15"/>
      <c r="D358" s="15"/>
      <c r="E358" s="15"/>
      <c r="F358" s="15"/>
      <c r="G358" s="15"/>
      <c r="H358" s="15"/>
      <c r="I358" s="15"/>
      <c r="J358" s="15"/>
      <c r="K358" s="15"/>
      <c r="L358" s="15"/>
      <c r="M358" s="15"/>
      <c r="N358" s="15"/>
      <c r="O358" s="15"/>
      <c r="P358" s="15"/>
      <c r="Q358" s="15"/>
    </row>
    <row r="359" spans="2:17" x14ac:dyDescent="0.25">
      <c r="B359" s="15"/>
      <c r="C359" s="15"/>
      <c r="D359" s="15"/>
      <c r="E359" s="15"/>
      <c r="F359" s="15"/>
      <c r="G359" s="15"/>
      <c r="H359" s="15"/>
      <c r="I359" s="15"/>
      <c r="J359" s="15"/>
      <c r="K359" s="15"/>
      <c r="L359" s="15"/>
      <c r="M359" s="15"/>
      <c r="N359" s="15"/>
      <c r="O359" s="15"/>
      <c r="P359" s="15"/>
      <c r="Q359" s="15"/>
    </row>
    <row r="360" spans="2:17" x14ac:dyDescent="0.25">
      <c r="B360" s="15"/>
      <c r="C360" s="15"/>
      <c r="D360" s="15"/>
      <c r="E360" s="15"/>
      <c r="F360" s="15"/>
      <c r="G360" s="15"/>
      <c r="H360" s="15"/>
      <c r="I360" s="15"/>
      <c r="J360" s="15"/>
      <c r="K360" s="15"/>
      <c r="L360" s="15"/>
      <c r="M360" s="15"/>
      <c r="N360" s="15"/>
      <c r="O360" s="15"/>
      <c r="P360" s="15"/>
      <c r="Q360" s="15"/>
    </row>
    <row r="361" spans="2:17" x14ac:dyDescent="0.25">
      <c r="B361" s="15"/>
      <c r="C361" s="15"/>
      <c r="D361" s="15"/>
      <c r="E361" s="15"/>
      <c r="F361" s="15"/>
      <c r="G361" s="15"/>
      <c r="H361" s="15"/>
      <c r="I361" s="15"/>
      <c r="J361" s="15"/>
      <c r="K361" s="15"/>
      <c r="L361" s="15"/>
      <c r="M361" s="15"/>
      <c r="N361" s="15"/>
      <c r="O361" s="15"/>
      <c r="P361" s="15"/>
      <c r="Q361" s="15"/>
    </row>
    <row r="362" spans="2:17" x14ac:dyDescent="0.25">
      <c r="B362" s="15"/>
      <c r="C362" s="15"/>
      <c r="D362" s="15"/>
      <c r="E362" s="15"/>
      <c r="F362" s="15"/>
      <c r="G362" s="15"/>
      <c r="H362" s="15"/>
      <c r="I362" s="15"/>
      <c r="J362" s="15"/>
      <c r="K362" s="15"/>
      <c r="L362" s="15"/>
      <c r="M362" s="15"/>
      <c r="N362" s="15"/>
      <c r="O362" s="15"/>
      <c r="P362" s="15"/>
      <c r="Q362" s="15"/>
    </row>
    <row r="363" spans="2:17" x14ac:dyDescent="0.25">
      <c r="B363" s="15"/>
      <c r="C363" s="15"/>
      <c r="D363" s="15"/>
      <c r="E363" s="15"/>
      <c r="F363" s="15"/>
      <c r="G363" s="15"/>
      <c r="H363" s="15"/>
      <c r="I363" s="15"/>
      <c r="J363" s="15"/>
      <c r="K363" s="15"/>
      <c r="L363" s="15"/>
      <c r="M363" s="15"/>
      <c r="N363" s="15"/>
      <c r="O363" s="15"/>
      <c r="P363" s="15"/>
      <c r="Q363" s="15"/>
    </row>
    <row r="364" spans="2:17" x14ac:dyDescent="0.25">
      <c r="B364" s="15"/>
      <c r="C364" s="15"/>
      <c r="D364" s="15"/>
      <c r="E364" s="15"/>
      <c r="F364" s="15"/>
      <c r="G364" s="15"/>
      <c r="H364" s="15"/>
      <c r="I364" s="15"/>
      <c r="J364" s="15"/>
      <c r="K364" s="15"/>
      <c r="L364" s="15"/>
      <c r="M364" s="15"/>
      <c r="N364" s="15"/>
      <c r="O364" s="15"/>
      <c r="P364" s="15"/>
      <c r="Q364" s="15"/>
    </row>
    <row r="365" spans="2:17" x14ac:dyDescent="0.25">
      <c r="B365" s="15"/>
      <c r="C365" s="15"/>
      <c r="D365" s="15"/>
      <c r="E365" s="15"/>
      <c r="F365" s="15"/>
      <c r="G365" s="15"/>
      <c r="H365" s="15"/>
      <c r="I365" s="15"/>
      <c r="J365" s="15"/>
      <c r="K365" s="15"/>
      <c r="L365" s="15"/>
      <c r="M365" s="15"/>
      <c r="N365" s="15"/>
      <c r="O365" s="15"/>
      <c r="P365" s="15"/>
      <c r="Q365" s="15"/>
    </row>
    <row r="366" spans="2:17" x14ac:dyDescent="0.25">
      <c r="B366" s="15"/>
      <c r="C366" s="15"/>
      <c r="D366" s="15"/>
      <c r="E366" s="15"/>
      <c r="F366" s="15"/>
      <c r="G366" s="15"/>
      <c r="H366" s="15"/>
      <c r="I366" s="15"/>
      <c r="J366" s="15"/>
      <c r="K366" s="15"/>
      <c r="L366" s="15"/>
      <c r="M366" s="15"/>
      <c r="N366" s="15"/>
      <c r="O366" s="15"/>
      <c r="P366" s="15"/>
      <c r="Q366" s="15"/>
    </row>
    <row r="367" spans="2:17" x14ac:dyDescent="0.25">
      <c r="B367" s="15"/>
      <c r="C367" s="15"/>
      <c r="D367" s="15"/>
      <c r="E367" s="15"/>
      <c r="F367" s="15"/>
      <c r="G367" s="15"/>
      <c r="H367" s="15"/>
      <c r="I367" s="15"/>
      <c r="J367" s="15"/>
      <c r="K367" s="15"/>
      <c r="L367" s="15"/>
      <c r="M367" s="15"/>
      <c r="N367" s="15"/>
      <c r="O367" s="15"/>
      <c r="P367" s="15"/>
      <c r="Q367" s="15"/>
    </row>
    <row r="368" spans="2:17" x14ac:dyDescent="0.25">
      <c r="B368" s="15"/>
      <c r="C368" s="15"/>
      <c r="D368" s="15"/>
      <c r="E368" s="15"/>
      <c r="F368" s="15"/>
      <c r="G368" s="15"/>
      <c r="H368" s="15"/>
      <c r="I368" s="15"/>
      <c r="J368" s="15"/>
      <c r="K368" s="15"/>
      <c r="L368" s="15"/>
      <c r="M368" s="15"/>
      <c r="N368" s="15"/>
      <c r="O368" s="15"/>
      <c r="P368" s="15"/>
      <c r="Q368" s="15"/>
    </row>
    <row r="369" spans="2:17" x14ac:dyDescent="0.25">
      <c r="B369" s="15"/>
      <c r="C369" s="15"/>
      <c r="D369" s="15"/>
      <c r="E369" s="15"/>
      <c r="F369" s="15"/>
      <c r="G369" s="15"/>
      <c r="H369" s="15"/>
      <c r="I369" s="15"/>
      <c r="J369" s="15"/>
      <c r="K369" s="15"/>
      <c r="L369" s="15"/>
      <c r="M369" s="15"/>
      <c r="N369" s="15"/>
      <c r="O369" s="15"/>
      <c r="P369" s="15"/>
      <c r="Q369" s="15"/>
    </row>
    <row r="370" spans="2:17" x14ac:dyDescent="0.25">
      <c r="B370" s="15"/>
      <c r="C370" s="15"/>
      <c r="D370" s="15"/>
      <c r="E370" s="15"/>
      <c r="F370" s="15"/>
      <c r="G370" s="15"/>
      <c r="H370" s="15"/>
      <c r="I370" s="15"/>
      <c r="J370" s="15"/>
      <c r="K370" s="15"/>
      <c r="L370" s="15"/>
      <c r="M370" s="15"/>
      <c r="N370" s="15"/>
      <c r="O370" s="15"/>
      <c r="P370" s="15"/>
      <c r="Q370" s="15"/>
    </row>
    <row r="371" spans="2:17" x14ac:dyDescent="0.25">
      <c r="B371" s="15"/>
      <c r="C371" s="15"/>
      <c r="D371" s="15"/>
      <c r="E371" s="15"/>
      <c r="F371" s="15"/>
      <c r="G371" s="15"/>
      <c r="H371" s="15"/>
      <c r="I371" s="15"/>
      <c r="J371" s="15"/>
      <c r="K371" s="15"/>
      <c r="L371" s="15"/>
      <c r="M371" s="15"/>
      <c r="N371" s="15"/>
      <c r="O371" s="15"/>
      <c r="P371" s="15"/>
      <c r="Q371" s="15"/>
    </row>
    <row r="372" spans="2:17" x14ac:dyDescent="0.25">
      <c r="B372" s="15"/>
      <c r="C372" s="15"/>
      <c r="D372" s="15"/>
      <c r="E372" s="15"/>
      <c r="F372" s="15"/>
      <c r="G372" s="15"/>
      <c r="H372" s="15"/>
      <c r="I372" s="15"/>
      <c r="J372" s="15"/>
      <c r="K372" s="15"/>
      <c r="L372" s="15"/>
      <c r="M372" s="15"/>
      <c r="N372" s="15"/>
      <c r="O372" s="15"/>
      <c r="P372" s="15"/>
      <c r="Q372" s="15"/>
    </row>
    <row r="373" spans="2:17" x14ac:dyDescent="0.25">
      <c r="B373" s="15"/>
      <c r="C373" s="15"/>
      <c r="D373" s="15"/>
      <c r="E373" s="15"/>
      <c r="F373" s="15"/>
      <c r="G373" s="15"/>
      <c r="H373" s="15"/>
      <c r="I373" s="15"/>
      <c r="J373" s="15"/>
      <c r="K373" s="15"/>
      <c r="L373" s="15"/>
      <c r="M373" s="15"/>
      <c r="N373" s="15"/>
      <c r="O373" s="15"/>
      <c r="P373" s="15"/>
      <c r="Q373" s="15"/>
    </row>
    <row r="374" spans="2:17" x14ac:dyDescent="0.25">
      <c r="B374" s="15"/>
      <c r="C374" s="15"/>
      <c r="D374" s="15"/>
      <c r="E374" s="15"/>
      <c r="F374" s="15"/>
      <c r="G374" s="15"/>
      <c r="H374" s="15"/>
      <c r="I374" s="15"/>
      <c r="J374" s="15"/>
      <c r="K374" s="15"/>
      <c r="L374" s="15"/>
      <c r="M374" s="15"/>
      <c r="N374" s="15"/>
      <c r="O374" s="15"/>
      <c r="P374" s="15"/>
      <c r="Q374" s="15"/>
    </row>
    <row r="375" spans="2:17" x14ac:dyDescent="0.25">
      <c r="B375" s="15"/>
      <c r="C375" s="15"/>
      <c r="D375" s="15"/>
      <c r="E375" s="15"/>
      <c r="F375" s="15"/>
      <c r="G375" s="15"/>
      <c r="H375" s="15"/>
      <c r="I375" s="15"/>
      <c r="J375" s="15"/>
      <c r="K375" s="15"/>
      <c r="L375" s="15"/>
      <c r="M375" s="15"/>
      <c r="N375" s="15"/>
      <c r="O375" s="15"/>
      <c r="P375" s="15"/>
      <c r="Q375" s="15"/>
    </row>
    <row r="376" spans="2:17" x14ac:dyDescent="0.25">
      <c r="B376" s="15"/>
      <c r="C376" s="15"/>
      <c r="D376" s="15"/>
      <c r="E376" s="15"/>
      <c r="F376" s="15"/>
      <c r="G376" s="15"/>
      <c r="H376" s="15"/>
      <c r="I376" s="15"/>
      <c r="J376" s="15"/>
      <c r="K376" s="15"/>
      <c r="L376" s="15"/>
      <c r="M376" s="15"/>
      <c r="N376" s="15"/>
      <c r="O376" s="15"/>
      <c r="P376" s="15"/>
      <c r="Q376" s="15"/>
    </row>
    <row r="377" spans="2:17" x14ac:dyDescent="0.25">
      <c r="B377" s="15"/>
      <c r="C377" s="15"/>
      <c r="D377" s="15"/>
      <c r="E377" s="15"/>
      <c r="F377" s="15"/>
      <c r="G377" s="15"/>
      <c r="H377" s="15"/>
      <c r="I377" s="15"/>
      <c r="J377" s="15"/>
      <c r="K377" s="15"/>
      <c r="L377" s="15"/>
      <c r="M377" s="15"/>
      <c r="N377" s="15"/>
      <c r="O377" s="15"/>
      <c r="P377" s="15"/>
      <c r="Q377" s="15"/>
    </row>
    <row r="378" spans="2:17" x14ac:dyDescent="0.25">
      <c r="B378" s="15"/>
      <c r="C378" s="15"/>
      <c r="D378" s="15"/>
      <c r="E378" s="15"/>
      <c r="F378" s="15"/>
      <c r="G378" s="15"/>
      <c r="H378" s="15"/>
      <c r="I378" s="15"/>
      <c r="J378" s="15"/>
      <c r="K378" s="15"/>
      <c r="L378" s="15"/>
      <c r="M378" s="15"/>
      <c r="N378" s="15"/>
      <c r="O378" s="15"/>
      <c r="P378" s="15"/>
      <c r="Q378" s="15"/>
    </row>
    <row r="379" spans="2:17" x14ac:dyDescent="0.25">
      <c r="B379" s="15"/>
      <c r="C379" s="15"/>
      <c r="D379" s="15"/>
      <c r="E379" s="15"/>
      <c r="F379" s="15"/>
      <c r="G379" s="15"/>
      <c r="H379" s="15"/>
      <c r="I379" s="15"/>
      <c r="J379" s="15"/>
      <c r="K379" s="15"/>
      <c r="L379" s="15"/>
      <c r="M379" s="15"/>
      <c r="N379" s="15"/>
      <c r="O379" s="15"/>
      <c r="P379" s="15"/>
      <c r="Q379" s="15"/>
    </row>
    <row r="380" spans="2:17" x14ac:dyDescent="0.25">
      <c r="B380" s="15"/>
      <c r="C380" s="15"/>
      <c r="D380" s="15"/>
      <c r="E380" s="15"/>
      <c r="F380" s="15"/>
      <c r="G380" s="15"/>
      <c r="H380" s="15"/>
      <c r="I380" s="15"/>
      <c r="J380" s="15"/>
      <c r="K380" s="15"/>
      <c r="L380" s="15"/>
      <c r="M380" s="15"/>
      <c r="N380" s="15"/>
      <c r="O380" s="15"/>
      <c r="P380" s="15"/>
      <c r="Q380" s="15"/>
    </row>
    <row r="381" spans="2:17" x14ac:dyDescent="0.25">
      <c r="B381" s="15"/>
      <c r="C381" s="15"/>
      <c r="D381" s="15"/>
      <c r="E381" s="15"/>
      <c r="F381" s="15"/>
      <c r="G381" s="15"/>
      <c r="H381" s="15"/>
      <c r="I381" s="15"/>
      <c r="J381" s="15"/>
      <c r="K381" s="15"/>
      <c r="L381" s="15"/>
      <c r="M381" s="15"/>
      <c r="N381" s="15"/>
      <c r="O381" s="15"/>
      <c r="P381" s="15"/>
      <c r="Q381" s="15"/>
    </row>
    <row r="382" spans="2:17" x14ac:dyDescent="0.25">
      <c r="B382" s="15"/>
      <c r="C382" s="15"/>
      <c r="D382" s="15"/>
      <c r="E382" s="15"/>
      <c r="F382" s="15"/>
      <c r="G382" s="15"/>
      <c r="H382" s="15"/>
      <c r="I382" s="15"/>
      <c r="J382" s="15"/>
      <c r="K382" s="15"/>
      <c r="L382" s="15"/>
      <c r="M382" s="15"/>
      <c r="N382" s="15"/>
      <c r="O382" s="15"/>
      <c r="P382" s="15"/>
      <c r="Q382" s="15"/>
    </row>
    <row r="383" spans="2:17" x14ac:dyDescent="0.25">
      <c r="B383" s="15"/>
      <c r="C383" s="15"/>
      <c r="D383" s="15"/>
      <c r="E383" s="15"/>
      <c r="F383" s="15"/>
      <c r="G383" s="15"/>
      <c r="H383" s="15"/>
      <c r="I383" s="15"/>
      <c r="J383" s="15"/>
      <c r="K383" s="15"/>
      <c r="L383" s="15"/>
      <c r="M383" s="15"/>
      <c r="N383" s="15"/>
      <c r="O383" s="15"/>
      <c r="P383" s="15"/>
      <c r="Q383" s="15"/>
    </row>
    <row r="384" spans="2:17" x14ac:dyDescent="0.25">
      <c r="B384" s="15"/>
      <c r="C384" s="15"/>
      <c r="D384" s="15"/>
      <c r="E384" s="15"/>
      <c r="F384" s="15"/>
      <c r="G384" s="15"/>
      <c r="H384" s="15"/>
      <c r="I384" s="15"/>
      <c r="J384" s="15"/>
      <c r="K384" s="15"/>
      <c r="L384" s="15"/>
      <c r="M384" s="15"/>
      <c r="N384" s="15"/>
      <c r="O384" s="15"/>
      <c r="P384" s="15"/>
      <c r="Q384" s="15"/>
    </row>
    <row r="385" spans="2:17" x14ac:dyDescent="0.25">
      <c r="B385" s="15"/>
      <c r="C385" s="15"/>
      <c r="D385" s="15"/>
      <c r="E385" s="15"/>
      <c r="F385" s="15"/>
      <c r="G385" s="15"/>
      <c r="H385" s="15"/>
      <c r="I385" s="15"/>
      <c r="J385" s="15"/>
      <c r="K385" s="15"/>
      <c r="L385" s="15"/>
      <c r="M385" s="15"/>
      <c r="N385" s="15"/>
      <c r="O385" s="15"/>
      <c r="P385" s="15"/>
      <c r="Q385" s="15"/>
    </row>
    <row r="386" spans="2:17" x14ac:dyDescent="0.25">
      <c r="B386" s="15"/>
      <c r="C386" s="15"/>
      <c r="D386" s="15"/>
      <c r="E386" s="15"/>
      <c r="F386" s="15"/>
      <c r="G386" s="15"/>
      <c r="H386" s="15"/>
      <c r="I386" s="15"/>
      <c r="J386" s="15"/>
      <c r="K386" s="15"/>
      <c r="L386" s="15"/>
      <c r="M386" s="15"/>
      <c r="N386" s="15"/>
      <c r="O386" s="15"/>
      <c r="P386" s="15"/>
      <c r="Q386" s="15"/>
    </row>
    <row r="387" spans="2:17" x14ac:dyDescent="0.25">
      <c r="B387" s="15"/>
      <c r="C387" s="15"/>
      <c r="D387" s="15"/>
      <c r="E387" s="15"/>
      <c r="F387" s="15"/>
      <c r="G387" s="15"/>
      <c r="H387" s="15"/>
      <c r="I387" s="15"/>
      <c r="J387" s="15"/>
      <c r="K387" s="15"/>
      <c r="L387" s="15"/>
      <c r="M387" s="15"/>
      <c r="N387" s="15"/>
      <c r="O387" s="15"/>
      <c r="P387" s="15"/>
      <c r="Q387" s="15"/>
    </row>
    <row r="388" spans="2:17" x14ac:dyDescent="0.25">
      <c r="B388" s="15"/>
      <c r="C388" s="15"/>
      <c r="D388" s="15"/>
      <c r="E388" s="15"/>
      <c r="F388" s="15"/>
      <c r="G388" s="15"/>
      <c r="H388" s="15"/>
      <c r="I388" s="15"/>
      <c r="J388" s="15"/>
      <c r="K388" s="15"/>
      <c r="L388" s="15"/>
      <c r="M388" s="15"/>
      <c r="N388" s="15"/>
      <c r="O388" s="15"/>
      <c r="P388" s="15"/>
      <c r="Q388" s="15"/>
    </row>
    <row r="389" spans="2:17" x14ac:dyDescent="0.25">
      <c r="B389" s="15"/>
      <c r="C389" s="15"/>
      <c r="D389" s="15"/>
      <c r="E389" s="15"/>
      <c r="F389" s="15"/>
      <c r="G389" s="15"/>
      <c r="H389" s="15"/>
      <c r="I389" s="15"/>
      <c r="J389" s="15"/>
      <c r="K389" s="15"/>
      <c r="L389" s="15"/>
      <c r="M389" s="15"/>
      <c r="N389" s="15"/>
      <c r="O389" s="15"/>
      <c r="P389" s="15"/>
      <c r="Q389" s="15"/>
    </row>
    <row r="390" spans="2:17" x14ac:dyDescent="0.25">
      <c r="B390" s="15"/>
      <c r="C390" s="15"/>
      <c r="D390" s="15"/>
      <c r="E390" s="15"/>
      <c r="F390" s="15"/>
      <c r="G390" s="15"/>
      <c r="H390" s="15"/>
      <c r="I390" s="15"/>
      <c r="J390" s="15"/>
      <c r="K390" s="15"/>
      <c r="L390" s="15"/>
      <c r="M390" s="15"/>
      <c r="N390" s="15"/>
      <c r="O390" s="15"/>
      <c r="P390" s="15"/>
      <c r="Q390" s="15"/>
    </row>
    <row r="391" spans="2:17" x14ac:dyDescent="0.25">
      <c r="B391" s="15"/>
      <c r="C391" s="15"/>
      <c r="D391" s="15"/>
      <c r="E391" s="15"/>
      <c r="F391" s="15"/>
      <c r="G391" s="15"/>
      <c r="H391" s="15"/>
      <c r="I391" s="15"/>
      <c r="J391" s="15"/>
      <c r="K391" s="15"/>
      <c r="L391" s="15"/>
      <c r="M391" s="15"/>
      <c r="N391" s="15"/>
      <c r="O391" s="15"/>
      <c r="P391" s="15"/>
      <c r="Q391" s="15"/>
    </row>
    <row r="392" spans="2:17" x14ac:dyDescent="0.25">
      <c r="B392" s="15"/>
      <c r="C392" s="15"/>
      <c r="D392" s="15"/>
      <c r="E392" s="15"/>
      <c r="F392" s="15"/>
      <c r="G392" s="15"/>
      <c r="H392" s="15"/>
      <c r="I392" s="15"/>
      <c r="J392" s="15"/>
      <c r="K392" s="15"/>
      <c r="L392" s="15"/>
      <c r="M392" s="15"/>
      <c r="N392" s="15"/>
      <c r="O392" s="15"/>
      <c r="P392" s="15"/>
      <c r="Q392" s="15"/>
    </row>
    <row r="393" spans="2:17" x14ac:dyDescent="0.25">
      <c r="B393" s="15"/>
      <c r="C393" s="15"/>
      <c r="D393" s="15"/>
      <c r="E393" s="15"/>
      <c r="F393" s="15"/>
      <c r="G393" s="15"/>
      <c r="H393" s="15"/>
      <c r="I393" s="15"/>
      <c r="J393" s="15"/>
      <c r="K393" s="15"/>
      <c r="L393" s="15"/>
      <c r="M393" s="15"/>
      <c r="N393" s="15"/>
      <c r="O393" s="15"/>
      <c r="P393" s="15"/>
      <c r="Q393" s="15"/>
    </row>
    <row r="394" spans="2:17" x14ac:dyDescent="0.25">
      <c r="B394" s="15"/>
      <c r="C394" s="15"/>
      <c r="D394" s="15"/>
      <c r="E394" s="15"/>
      <c r="F394" s="15"/>
      <c r="G394" s="15"/>
      <c r="H394" s="15"/>
      <c r="I394" s="15"/>
      <c r="J394" s="15"/>
      <c r="K394" s="15"/>
      <c r="L394" s="15"/>
      <c r="M394" s="15"/>
      <c r="N394" s="15"/>
      <c r="O394" s="15"/>
      <c r="P394" s="15"/>
      <c r="Q394" s="15"/>
    </row>
    <row r="395" spans="2:17" x14ac:dyDescent="0.25">
      <c r="B395" s="15"/>
      <c r="C395" s="15"/>
      <c r="D395" s="15"/>
      <c r="E395" s="15"/>
      <c r="F395" s="15"/>
      <c r="G395" s="15"/>
      <c r="H395" s="15"/>
      <c r="I395" s="15"/>
      <c r="J395" s="15"/>
      <c r="K395" s="15"/>
      <c r="L395" s="15"/>
      <c r="M395" s="15"/>
      <c r="N395" s="15"/>
      <c r="O395" s="15"/>
      <c r="P395" s="15"/>
      <c r="Q395" s="15"/>
    </row>
    <row r="396" spans="2:17" x14ac:dyDescent="0.25">
      <c r="B396" s="15"/>
      <c r="C396" s="15"/>
      <c r="D396" s="15"/>
      <c r="E396" s="15"/>
      <c r="F396" s="15"/>
      <c r="G396" s="15"/>
      <c r="H396" s="15"/>
      <c r="I396" s="15"/>
      <c r="J396" s="15"/>
      <c r="K396" s="15"/>
      <c r="L396" s="15"/>
      <c r="M396" s="15"/>
      <c r="N396" s="15"/>
      <c r="O396" s="15"/>
      <c r="P396" s="15"/>
      <c r="Q396" s="15"/>
    </row>
    <row r="397" spans="2:17" x14ac:dyDescent="0.25">
      <c r="B397" s="15"/>
      <c r="C397" s="15"/>
      <c r="D397" s="15"/>
      <c r="E397" s="15"/>
      <c r="F397" s="15"/>
      <c r="G397" s="15"/>
      <c r="H397" s="15"/>
      <c r="I397" s="15"/>
      <c r="J397" s="15"/>
      <c r="K397" s="15"/>
      <c r="L397" s="15"/>
      <c r="M397" s="15"/>
      <c r="N397" s="15"/>
      <c r="O397" s="15"/>
      <c r="P397" s="15"/>
      <c r="Q397" s="15"/>
    </row>
    <row r="398" spans="2:17" x14ac:dyDescent="0.25">
      <c r="B398" s="15"/>
      <c r="C398" s="15"/>
      <c r="D398" s="15"/>
      <c r="E398" s="15"/>
      <c r="F398" s="15"/>
      <c r="G398" s="15"/>
      <c r="H398" s="15"/>
      <c r="I398" s="15"/>
      <c r="J398" s="15"/>
      <c r="K398" s="15"/>
      <c r="L398" s="15"/>
      <c r="M398" s="15"/>
      <c r="N398" s="15"/>
      <c r="O398" s="15"/>
      <c r="P398" s="15"/>
      <c r="Q398" s="15"/>
    </row>
    <row r="399" spans="2:17" x14ac:dyDescent="0.25">
      <c r="B399" s="15"/>
      <c r="C399" s="15"/>
      <c r="D399" s="15"/>
      <c r="E399" s="15"/>
      <c r="F399" s="15"/>
      <c r="G399" s="15"/>
      <c r="H399" s="15"/>
      <c r="I399" s="15"/>
      <c r="J399" s="15"/>
      <c r="K399" s="15"/>
      <c r="L399" s="15"/>
      <c r="M399" s="15"/>
      <c r="N399" s="15"/>
      <c r="O399" s="15"/>
      <c r="P399" s="15"/>
      <c r="Q399" s="15"/>
    </row>
    <row r="400" spans="2:17" x14ac:dyDescent="0.25">
      <c r="B400" s="15"/>
      <c r="C400" s="15"/>
      <c r="D400" s="15"/>
      <c r="E400" s="15"/>
      <c r="F400" s="15"/>
      <c r="G400" s="15"/>
      <c r="H400" s="15"/>
      <c r="I400" s="15"/>
      <c r="J400" s="15"/>
      <c r="K400" s="15"/>
      <c r="L400" s="15"/>
      <c r="M400" s="15"/>
      <c r="N400" s="15"/>
      <c r="O400" s="15"/>
      <c r="P400" s="15"/>
      <c r="Q400" s="15"/>
    </row>
    <row r="401" spans="2:17" x14ac:dyDescent="0.25">
      <c r="B401" s="15"/>
      <c r="C401" s="15"/>
      <c r="D401" s="15"/>
      <c r="E401" s="15"/>
      <c r="F401" s="15"/>
      <c r="G401" s="15"/>
      <c r="H401" s="15"/>
      <c r="I401" s="15"/>
      <c r="J401" s="15"/>
      <c r="K401" s="15"/>
      <c r="L401" s="15"/>
      <c r="M401" s="15"/>
      <c r="N401" s="15"/>
      <c r="O401" s="15"/>
      <c r="P401" s="15"/>
      <c r="Q401" s="15"/>
    </row>
    <row r="402" spans="2:17" x14ac:dyDescent="0.25">
      <c r="B402" s="15"/>
      <c r="C402" s="15"/>
      <c r="D402" s="15"/>
      <c r="E402" s="15"/>
      <c r="F402" s="15"/>
      <c r="G402" s="15"/>
      <c r="H402" s="15"/>
      <c r="I402" s="15"/>
      <c r="J402" s="15"/>
      <c r="K402" s="15"/>
      <c r="L402" s="15"/>
      <c r="M402" s="15"/>
      <c r="N402" s="15"/>
      <c r="O402" s="15"/>
      <c r="P402" s="15"/>
      <c r="Q402" s="15"/>
    </row>
    <row r="403" spans="2:17" x14ac:dyDescent="0.25">
      <c r="B403" s="15"/>
      <c r="C403" s="15"/>
      <c r="D403" s="15"/>
      <c r="E403" s="15"/>
      <c r="F403" s="15"/>
      <c r="G403" s="15"/>
      <c r="H403" s="15"/>
      <c r="I403" s="15"/>
      <c r="J403" s="15"/>
      <c r="K403" s="15"/>
      <c r="L403" s="15"/>
      <c r="M403" s="15"/>
      <c r="N403" s="15"/>
      <c r="O403" s="15"/>
      <c r="P403" s="15"/>
      <c r="Q403" s="15"/>
    </row>
    <row r="404" spans="2:17" x14ac:dyDescent="0.25">
      <c r="B404" s="15"/>
      <c r="C404" s="15"/>
      <c r="D404" s="15"/>
      <c r="E404" s="15"/>
      <c r="F404" s="15"/>
      <c r="G404" s="15"/>
      <c r="H404" s="15"/>
      <c r="I404" s="15"/>
      <c r="J404" s="15"/>
      <c r="K404" s="15"/>
      <c r="L404" s="15"/>
      <c r="M404" s="15"/>
      <c r="N404" s="15"/>
      <c r="O404" s="15"/>
      <c r="P404" s="15"/>
      <c r="Q404" s="15"/>
    </row>
    <row r="405" spans="2:17" x14ac:dyDescent="0.25">
      <c r="B405" s="15"/>
      <c r="C405" s="15"/>
      <c r="D405" s="15"/>
      <c r="E405" s="15"/>
      <c r="F405" s="15"/>
      <c r="G405" s="15"/>
      <c r="H405" s="15"/>
      <c r="I405" s="15"/>
      <c r="J405" s="15"/>
      <c r="K405" s="15"/>
      <c r="L405" s="15"/>
      <c r="M405" s="15"/>
      <c r="N405" s="15"/>
      <c r="O405" s="15"/>
      <c r="P405" s="15"/>
      <c r="Q405" s="15"/>
    </row>
    <row r="406" spans="2:17" x14ac:dyDescent="0.25">
      <c r="B406" s="15"/>
      <c r="C406" s="15"/>
      <c r="D406" s="15"/>
      <c r="E406" s="15"/>
      <c r="F406" s="15"/>
      <c r="G406" s="15"/>
      <c r="H406" s="15"/>
      <c r="I406" s="15"/>
      <c r="J406" s="15"/>
      <c r="K406" s="15"/>
      <c r="L406" s="15"/>
      <c r="M406" s="15"/>
      <c r="N406" s="15"/>
      <c r="O406" s="15"/>
      <c r="P406" s="15"/>
      <c r="Q406" s="15"/>
    </row>
    <row r="407" spans="2:17" x14ac:dyDescent="0.25">
      <c r="B407" s="15"/>
      <c r="C407" s="15"/>
      <c r="D407" s="15"/>
      <c r="E407" s="15"/>
      <c r="F407" s="15"/>
      <c r="G407" s="15"/>
      <c r="H407" s="15"/>
      <c r="I407" s="15"/>
      <c r="J407" s="15"/>
      <c r="K407" s="15"/>
      <c r="L407" s="15"/>
      <c r="M407" s="15"/>
      <c r="N407" s="15"/>
      <c r="O407" s="15"/>
      <c r="P407" s="15"/>
      <c r="Q407" s="15"/>
    </row>
    <row r="408" spans="2:17" x14ac:dyDescent="0.25">
      <c r="B408" s="15"/>
      <c r="C408" s="15"/>
      <c r="D408" s="15"/>
      <c r="E408" s="15"/>
      <c r="F408" s="15"/>
      <c r="G408" s="15"/>
      <c r="H408" s="15"/>
      <c r="I408" s="15"/>
      <c r="J408" s="15"/>
      <c r="K408" s="15"/>
      <c r="L408" s="15"/>
      <c r="M408" s="15"/>
      <c r="N408" s="15"/>
      <c r="O408" s="15"/>
      <c r="P408" s="15"/>
      <c r="Q408" s="15"/>
    </row>
    <row r="409" spans="2:17" x14ac:dyDescent="0.25">
      <c r="B409" s="15"/>
      <c r="C409" s="15"/>
      <c r="D409" s="15"/>
      <c r="E409" s="15"/>
      <c r="F409" s="15"/>
      <c r="G409" s="15"/>
      <c r="H409" s="15"/>
      <c r="I409" s="15"/>
      <c r="J409" s="15"/>
      <c r="K409" s="15"/>
      <c r="L409" s="15"/>
      <c r="M409" s="15"/>
      <c r="N409" s="15"/>
      <c r="O409" s="15"/>
      <c r="P409" s="15"/>
      <c r="Q409" s="15"/>
    </row>
    <row r="410" spans="2:17" x14ac:dyDescent="0.25">
      <c r="B410" s="15"/>
      <c r="C410" s="15"/>
      <c r="D410" s="15"/>
      <c r="E410" s="15"/>
      <c r="F410" s="15"/>
      <c r="G410" s="15"/>
      <c r="H410" s="15"/>
      <c r="I410" s="15"/>
      <c r="J410" s="15"/>
      <c r="K410" s="15"/>
      <c r="L410" s="15"/>
      <c r="M410" s="15"/>
      <c r="N410" s="15"/>
      <c r="O410" s="15"/>
      <c r="P410" s="15"/>
      <c r="Q410" s="15"/>
    </row>
    <row r="411" spans="2:17" x14ac:dyDescent="0.25">
      <c r="B411" s="15"/>
      <c r="C411" s="15"/>
      <c r="D411" s="15"/>
      <c r="E411" s="15"/>
      <c r="F411" s="15"/>
      <c r="G411" s="15"/>
      <c r="H411" s="15"/>
      <c r="I411" s="15"/>
      <c r="J411" s="15"/>
      <c r="K411" s="15"/>
      <c r="L411" s="15"/>
      <c r="M411" s="15"/>
      <c r="N411" s="15"/>
      <c r="O411" s="15"/>
      <c r="P411" s="15"/>
      <c r="Q411" s="15"/>
    </row>
    <row r="412" spans="2:17" x14ac:dyDescent="0.25">
      <c r="B412" s="15"/>
      <c r="C412" s="15"/>
      <c r="D412" s="15"/>
      <c r="E412" s="15"/>
      <c r="F412" s="15"/>
      <c r="G412" s="15"/>
      <c r="H412" s="15"/>
      <c r="I412" s="15"/>
      <c r="J412" s="15"/>
      <c r="K412" s="15"/>
      <c r="L412" s="15"/>
      <c r="M412" s="15"/>
      <c r="N412" s="15"/>
      <c r="O412" s="15"/>
      <c r="P412" s="15"/>
      <c r="Q412" s="15"/>
    </row>
    <row r="413" spans="2:17" x14ac:dyDescent="0.25">
      <c r="B413" s="15"/>
      <c r="C413" s="15"/>
      <c r="D413" s="15"/>
      <c r="E413" s="15"/>
      <c r="F413" s="15"/>
      <c r="G413" s="15"/>
      <c r="H413" s="15"/>
      <c r="I413" s="15"/>
      <c r="J413" s="15"/>
      <c r="K413" s="15"/>
      <c r="L413" s="15"/>
      <c r="M413" s="15"/>
      <c r="N413" s="15"/>
      <c r="O413" s="15"/>
      <c r="P413" s="15"/>
      <c r="Q413" s="15"/>
    </row>
    <row r="414" spans="2:17" x14ac:dyDescent="0.25">
      <c r="B414" s="15"/>
      <c r="C414" s="15"/>
      <c r="D414" s="15"/>
      <c r="E414" s="15"/>
      <c r="F414" s="15"/>
      <c r="G414" s="15"/>
      <c r="H414" s="15"/>
      <c r="I414" s="15"/>
      <c r="J414" s="15"/>
      <c r="K414" s="15"/>
      <c r="L414" s="15"/>
      <c r="M414" s="15"/>
      <c r="N414" s="15"/>
      <c r="O414" s="15"/>
      <c r="P414" s="15"/>
      <c r="Q414" s="15"/>
    </row>
    <row r="415" spans="2:17" x14ac:dyDescent="0.25">
      <c r="B415" s="15"/>
      <c r="C415" s="15"/>
      <c r="D415" s="15"/>
      <c r="E415" s="15"/>
      <c r="F415" s="15"/>
      <c r="G415" s="15"/>
      <c r="H415" s="15"/>
      <c r="I415" s="15"/>
      <c r="J415" s="15"/>
      <c r="K415" s="15"/>
      <c r="L415" s="15"/>
      <c r="M415" s="15"/>
      <c r="N415" s="15"/>
      <c r="O415" s="15"/>
      <c r="P415" s="15"/>
      <c r="Q415" s="15"/>
    </row>
    <row r="416" spans="2:17" x14ac:dyDescent="0.25">
      <c r="B416" s="15"/>
      <c r="C416" s="15"/>
      <c r="D416" s="15"/>
      <c r="E416" s="15"/>
      <c r="F416" s="15"/>
      <c r="G416" s="15"/>
      <c r="H416" s="15"/>
      <c r="I416" s="15"/>
      <c r="J416" s="15"/>
      <c r="K416" s="15"/>
      <c r="L416" s="15"/>
      <c r="M416" s="15"/>
      <c r="N416" s="15"/>
      <c r="O416" s="15"/>
      <c r="P416" s="15"/>
      <c r="Q416" s="15"/>
    </row>
    <row r="417" spans="2:17" x14ac:dyDescent="0.25">
      <c r="B417" s="15"/>
      <c r="C417" s="15"/>
      <c r="D417" s="15"/>
      <c r="E417" s="15"/>
      <c r="F417" s="15"/>
      <c r="G417" s="15"/>
      <c r="H417" s="15"/>
      <c r="I417" s="15"/>
      <c r="J417" s="15"/>
      <c r="K417" s="15"/>
      <c r="L417" s="15"/>
      <c r="M417" s="15"/>
      <c r="N417" s="15"/>
      <c r="O417" s="15"/>
      <c r="P417" s="15"/>
      <c r="Q417" s="15"/>
    </row>
    <row r="418" spans="2:17" x14ac:dyDescent="0.25">
      <c r="B418" s="15"/>
      <c r="C418" s="15"/>
      <c r="D418" s="15"/>
      <c r="E418" s="15"/>
      <c r="F418" s="15"/>
      <c r="G418" s="15"/>
      <c r="H418" s="15"/>
      <c r="I418" s="15"/>
      <c r="J418" s="15"/>
      <c r="K418" s="15"/>
      <c r="L418" s="15"/>
      <c r="M418" s="15"/>
      <c r="N418" s="15"/>
      <c r="O418" s="15"/>
      <c r="P418" s="15"/>
      <c r="Q418" s="15"/>
    </row>
    <row r="419" spans="2:17" x14ac:dyDescent="0.25">
      <c r="B419" s="15"/>
      <c r="C419" s="15"/>
      <c r="D419" s="15"/>
      <c r="E419" s="15"/>
      <c r="F419" s="15"/>
      <c r="G419" s="15"/>
      <c r="H419" s="15"/>
      <c r="I419" s="15"/>
      <c r="J419" s="15"/>
      <c r="K419" s="15"/>
      <c r="L419" s="15"/>
      <c r="M419" s="15"/>
      <c r="N419" s="15"/>
      <c r="O419" s="15"/>
      <c r="P419" s="15"/>
      <c r="Q419" s="15"/>
    </row>
    <row r="420" spans="2:17" x14ac:dyDescent="0.25">
      <c r="B420" s="15"/>
      <c r="C420" s="15"/>
      <c r="D420" s="15"/>
      <c r="E420" s="15"/>
      <c r="F420" s="15"/>
      <c r="G420" s="15"/>
      <c r="H420" s="15"/>
      <c r="I420" s="15"/>
      <c r="J420" s="15"/>
      <c r="K420" s="15"/>
      <c r="L420" s="15"/>
      <c r="M420" s="15"/>
      <c r="N420" s="15"/>
      <c r="O420" s="15"/>
      <c r="P420" s="15"/>
      <c r="Q420" s="15"/>
    </row>
    <row r="421" spans="2:17" x14ac:dyDescent="0.25">
      <c r="B421" s="15"/>
      <c r="C421" s="15"/>
      <c r="D421" s="15"/>
      <c r="E421" s="15"/>
      <c r="F421" s="15"/>
      <c r="G421" s="15"/>
      <c r="H421" s="15"/>
      <c r="I421" s="15"/>
      <c r="J421" s="15"/>
      <c r="K421" s="15"/>
      <c r="L421" s="15"/>
      <c r="M421" s="15"/>
      <c r="N421" s="15"/>
      <c r="O421" s="15"/>
      <c r="P421" s="15"/>
      <c r="Q421" s="15"/>
    </row>
    <row r="422" spans="2:17" x14ac:dyDescent="0.25">
      <c r="B422" s="15"/>
      <c r="C422" s="15"/>
      <c r="D422" s="15"/>
      <c r="E422" s="15"/>
      <c r="F422" s="15"/>
      <c r="G422" s="15"/>
      <c r="H422" s="15"/>
      <c r="I422" s="15"/>
      <c r="J422" s="15"/>
      <c r="K422" s="15"/>
      <c r="L422" s="15"/>
      <c r="M422" s="15"/>
      <c r="N422" s="15"/>
      <c r="O422" s="15"/>
      <c r="P422" s="15"/>
      <c r="Q422" s="15"/>
    </row>
    <row r="423" spans="2:17" x14ac:dyDescent="0.25">
      <c r="B423" s="15"/>
      <c r="C423" s="15"/>
      <c r="D423" s="15"/>
      <c r="E423" s="15"/>
      <c r="F423" s="15"/>
      <c r="G423" s="15"/>
      <c r="H423" s="15"/>
      <c r="I423" s="15"/>
      <c r="J423" s="15"/>
      <c r="K423" s="15"/>
      <c r="L423" s="15"/>
      <c r="M423" s="15"/>
      <c r="N423" s="15"/>
      <c r="O423" s="15"/>
      <c r="P423" s="15"/>
      <c r="Q423" s="15"/>
    </row>
    <row r="424" spans="2:17" x14ac:dyDescent="0.25">
      <c r="B424" s="15"/>
      <c r="C424" s="15"/>
      <c r="D424" s="15"/>
      <c r="E424" s="15"/>
      <c r="F424" s="15"/>
      <c r="G424" s="15"/>
      <c r="H424" s="15"/>
      <c r="I424" s="15"/>
      <c r="J424" s="15"/>
      <c r="K424" s="15"/>
      <c r="L424" s="15"/>
      <c r="M424" s="15"/>
      <c r="N424" s="15"/>
      <c r="O424" s="15"/>
      <c r="P424" s="15"/>
      <c r="Q424" s="15"/>
    </row>
    <row r="425" spans="2:17" x14ac:dyDescent="0.25">
      <c r="B425" s="15"/>
      <c r="C425" s="15"/>
      <c r="D425" s="15"/>
      <c r="E425" s="15"/>
      <c r="F425" s="15"/>
      <c r="G425" s="15"/>
      <c r="H425" s="15"/>
      <c r="I425" s="15"/>
      <c r="J425" s="15"/>
      <c r="K425" s="15"/>
      <c r="L425" s="15"/>
      <c r="M425" s="15"/>
      <c r="N425" s="15"/>
      <c r="O425" s="15"/>
      <c r="P425" s="15"/>
      <c r="Q425" s="15"/>
    </row>
    <row r="426" spans="2:17" x14ac:dyDescent="0.25">
      <c r="B426" s="15"/>
      <c r="C426" s="15"/>
      <c r="D426" s="15"/>
      <c r="E426" s="15"/>
      <c r="F426" s="15"/>
      <c r="G426" s="15"/>
      <c r="H426" s="15"/>
      <c r="I426" s="15"/>
      <c r="J426" s="15"/>
      <c r="K426" s="15"/>
      <c r="L426" s="15"/>
      <c r="M426" s="15"/>
      <c r="N426" s="15"/>
      <c r="O426" s="15"/>
      <c r="P426" s="15"/>
      <c r="Q426" s="15"/>
    </row>
    <row r="427" spans="2:17" x14ac:dyDescent="0.25">
      <c r="B427" s="15"/>
      <c r="C427" s="15"/>
      <c r="D427" s="15"/>
      <c r="E427" s="15"/>
      <c r="F427" s="15"/>
      <c r="G427" s="15"/>
      <c r="H427" s="15"/>
      <c r="I427" s="15"/>
      <c r="J427" s="15"/>
      <c r="K427" s="15"/>
      <c r="L427" s="15"/>
      <c r="M427" s="15"/>
      <c r="N427" s="15"/>
      <c r="O427" s="15"/>
      <c r="P427" s="15"/>
      <c r="Q427" s="15"/>
    </row>
    <row r="428" spans="2:17" x14ac:dyDescent="0.25">
      <c r="B428" s="15"/>
      <c r="C428" s="15"/>
      <c r="D428" s="15"/>
      <c r="E428" s="15"/>
      <c r="F428" s="15"/>
      <c r="G428" s="15"/>
      <c r="H428" s="15"/>
      <c r="I428" s="15"/>
      <c r="J428" s="15"/>
      <c r="K428" s="15"/>
      <c r="L428" s="15"/>
      <c r="M428" s="15"/>
      <c r="N428" s="15"/>
      <c r="O428" s="15"/>
      <c r="P428" s="15"/>
      <c r="Q428" s="15"/>
    </row>
    <row r="429" spans="2:17" x14ac:dyDescent="0.25">
      <c r="B429" s="15"/>
      <c r="C429" s="15"/>
      <c r="D429" s="15"/>
      <c r="E429" s="15"/>
      <c r="F429" s="15"/>
      <c r="G429" s="15"/>
      <c r="H429" s="15"/>
      <c r="I429" s="15"/>
      <c r="J429" s="15"/>
      <c r="K429" s="15"/>
      <c r="L429" s="15"/>
      <c r="M429" s="15"/>
      <c r="N429" s="15"/>
      <c r="O429" s="15"/>
      <c r="P429" s="15"/>
      <c r="Q429" s="15"/>
    </row>
    <row r="430" spans="2:17" x14ac:dyDescent="0.25">
      <c r="B430" s="15"/>
      <c r="C430" s="15"/>
      <c r="D430" s="15"/>
      <c r="E430" s="15"/>
      <c r="F430" s="15"/>
      <c r="G430" s="15"/>
      <c r="H430" s="15"/>
      <c r="I430" s="15"/>
      <c r="J430" s="15"/>
      <c r="K430" s="15"/>
      <c r="L430" s="15"/>
      <c r="M430" s="15"/>
      <c r="N430" s="15"/>
      <c r="O430" s="15"/>
      <c r="P430" s="15"/>
      <c r="Q430" s="15"/>
    </row>
    <row r="431" spans="2:17" x14ac:dyDescent="0.25">
      <c r="B431" s="15"/>
      <c r="C431" s="15"/>
      <c r="D431" s="15"/>
      <c r="E431" s="15"/>
      <c r="F431" s="15"/>
      <c r="G431" s="15"/>
      <c r="H431" s="15"/>
      <c r="I431" s="15"/>
      <c r="J431" s="15"/>
      <c r="K431" s="15"/>
      <c r="L431" s="15"/>
      <c r="M431" s="15"/>
      <c r="N431" s="15"/>
      <c r="O431" s="15"/>
      <c r="P431" s="15"/>
      <c r="Q431" s="15"/>
    </row>
    <row r="432" spans="2:17" x14ac:dyDescent="0.25">
      <c r="B432" s="15"/>
      <c r="C432" s="15"/>
      <c r="D432" s="15"/>
      <c r="E432" s="15"/>
      <c r="F432" s="15"/>
      <c r="G432" s="15"/>
      <c r="H432" s="15"/>
      <c r="I432" s="15"/>
      <c r="J432" s="15"/>
      <c r="K432" s="15"/>
      <c r="L432" s="15"/>
      <c r="M432" s="15"/>
      <c r="N432" s="15"/>
      <c r="O432" s="15"/>
      <c r="P432" s="15"/>
      <c r="Q432" s="15"/>
    </row>
    <row r="433" spans="2:17" x14ac:dyDescent="0.25">
      <c r="B433" s="15"/>
      <c r="C433" s="15"/>
      <c r="D433" s="15"/>
      <c r="E433" s="15"/>
      <c r="F433" s="15"/>
      <c r="G433" s="15"/>
      <c r="H433" s="15"/>
      <c r="I433" s="15"/>
      <c r="J433" s="15"/>
      <c r="K433" s="15"/>
      <c r="L433" s="15"/>
      <c r="M433" s="15"/>
      <c r="N433" s="15"/>
      <c r="O433" s="15"/>
      <c r="P433" s="15"/>
      <c r="Q433" s="15"/>
    </row>
    <row r="434" spans="2:17" x14ac:dyDescent="0.25">
      <c r="B434" s="15"/>
      <c r="C434" s="15"/>
      <c r="D434" s="15"/>
      <c r="E434" s="15"/>
      <c r="F434" s="15"/>
      <c r="G434" s="15"/>
      <c r="H434" s="15"/>
      <c r="I434" s="15"/>
      <c r="J434" s="15"/>
      <c r="K434" s="15"/>
      <c r="L434" s="15"/>
      <c r="M434" s="15"/>
      <c r="N434" s="15"/>
      <c r="O434" s="15"/>
      <c r="P434" s="15"/>
      <c r="Q434" s="15"/>
    </row>
    <row r="435" spans="2:17" x14ac:dyDescent="0.25">
      <c r="B435" s="15"/>
      <c r="C435" s="15"/>
      <c r="D435" s="15"/>
      <c r="E435" s="15"/>
      <c r="F435" s="15"/>
      <c r="G435" s="15"/>
      <c r="H435" s="15"/>
      <c r="I435" s="15"/>
      <c r="J435" s="15"/>
      <c r="K435" s="15"/>
      <c r="L435" s="15"/>
      <c r="M435" s="15"/>
      <c r="N435" s="15"/>
      <c r="O435" s="15"/>
      <c r="P435" s="15"/>
      <c r="Q435" s="15"/>
    </row>
    <row r="436" spans="2:17" x14ac:dyDescent="0.25">
      <c r="B436" s="15"/>
      <c r="C436" s="15"/>
      <c r="D436" s="15"/>
      <c r="E436" s="15"/>
      <c r="F436" s="15"/>
      <c r="G436" s="15"/>
      <c r="H436" s="15"/>
      <c r="I436" s="15"/>
      <c r="J436" s="15"/>
      <c r="K436" s="15"/>
      <c r="L436" s="15"/>
      <c r="M436" s="15"/>
      <c r="N436" s="15"/>
      <c r="O436" s="15"/>
      <c r="P436" s="15"/>
      <c r="Q436" s="15"/>
    </row>
    <row r="437" spans="2:17" x14ac:dyDescent="0.25">
      <c r="B437" s="15"/>
      <c r="C437" s="15"/>
      <c r="D437" s="15"/>
      <c r="E437" s="15"/>
      <c r="F437" s="15"/>
      <c r="G437" s="15"/>
      <c r="H437" s="15"/>
      <c r="I437" s="15"/>
      <c r="J437" s="15"/>
      <c r="K437" s="15"/>
      <c r="L437" s="15"/>
      <c r="M437" s="15"/>
      <c r="N437" s="15"/>
      <c r="O437" s="15"/>
      <c r="P437" s="15"/>
      <c r="Q437" s="15"/>
    </row>
    <row r="438" spans="2:17" x14ac:dyDescent="0.25">
      <c r="B438" s="15"/>
      <c r="C438" s="15"/>
      <c r="D438" s="15"/>
      <c r="E438" s="15"/>
      <c r="F438" s="15"/>
      <c r="G438" s="15"/>
      <c r="H438" s="15"/>
      <c r="I438" s="15"/>
      <c r="J438" s="15"/>
      <c r="K438" s="15"/>
      <c r="L438" s="15"/>
      <c r="M438" s="15"/>
      <c r="N438" s="15"/>
      <c r="O438" s="15"/>
      <c r="P438" s="15"/>
      <c r="Q438" s="15"/>
    </row>
    <row r="439" spans="2:17" x14ac:dyDescent="0.25">
      <c r="B439" s="15"/>
      <c r="C439" s="15"/>
      <c r="D439" s="15"/>
      <c r="E439" s="15"/>
      <c r="F439" s="15"/>
      <c r="G439" s="15"/>
      <c r="H439" s="15"/>
      <c r="I439" s="15"/>
      <c r="J439" s="15"/>
      <c r="K439" s="15"/>
      <c r="L439" s="15"/>
      <c r="M439" s="15"/>
      <c r="N439" s="15"/>
      <c r="O439" s="15"/>
      <c r="P439" s="15"/>
      <c r="Q439" s="15"/>
    </row>
    <row r="440" spans="2:17" x14ac:dyDescent="0.25">
      <c r="B440" s="15"/>
      <c r="C440" s="15"/>
      <c r="D440" s="15"/>
      <c r="E440" s="15"/>
      <c r="F440" s="15"/>
      <c r="G440" s="15"/>
      <c r="H440" s="15"/>
      <c r="I440" s="15"/>
      <c r="J440" s="15"/>
      <c r="K440" s="15"/>
      <c r="L440" s="15"/>
      <c r="M440" s="15"/>
      <c r="N440" s="15"/>
      <c r="O440" s="15"/>
      <c r="P440" s="15"/>
      <c r="Q440" s="15"/>
    </row>
    <row r="441" spans="2:17" x14ac:dyDescent="0.25">
      <c r="B441" s="15"/>
      <c r="C441" s="15"/>
      <c r="D441" s="15"/>
      <c r="E441" s="15"/>
      <c r="F441" s="15"/>
      <c r="G441" s="15"/>
      <c r="H441" s="15"/>
      <c r="I441" s="15"/>
      <c r="J441" s="15"/>
      <c r="K441" s="15"/>
      <c r="L441" s="15"/>
      <c r="M441" s="15"/>
      <c r="N441" s="15"/>
      <c r="O441" s="15"/>
      <c r="P441" s="15"/>
      <c r="Q441" s="15"/>
    </row>
    <row r="442" spans="2:17" x14ac:dyDescent="0.25">
      <c r="B442" s="15"/>
      <c r="C442" s="15"/>
      <c r="D442" s="15"/>
      <c r="E442" s="15"/>
      <c r="F442" s="15"/>
      <c r="G442" s="15"/>
      <c r="H442" s="15"/>
      <c r="I442" s="15"/>
      <c r="J442" s="15"/>
      <c r="K442" s="15"/>
      <c r="L442" s="15"/>
      <c r="M442" s="15"/>
      <c r="N442" s="15"/>
      <c r="O442" s="15"/>
      <c r="P442" s="15"/>
      <c r="Q442" s="15"/>
    </row>
    <row r="443" spans="2:17" x14ac:dyDescent="0.25">
      <c r="B443" s="15"/>
      <c r="C443" s="15"/>
      <c r="D443" s="15"/>
      <c r="E443" s="15"/>
      <c r="F443" s="15"/>
      <c r="G443" s="15"/>
      <c r="H443" s="15"/>
      <c r="I443" s="15"/>
      <c r="J443" s="15"/>
      <c r="K443" s="15"/>
      <c r="L443" s="15"/>
      <c r="M443" s="15"/>
      <c r="N443" s="15"/>
      <c r="O443" s="15"/>
      <c r="P443" s="15"/>
      <c r="Q443" s="15"/>
    </row>
    <row r="444" spans="2:17" x14ac:dyDescent="0.25">
      <c r="B444" s="15"/>
      <c r="C444" s="15"/>
      <c r="D444" s="15"/>
      <c r="E444" s="15"/>
      <c r="F444" s="15"/>
      <c r="G444" s="15"/>
      <c r="H444" s="15"/>
      <c r="I444" s="15"/>
      <c r="J444" s="15"/>
      <c r="K444" s="15"/>
      <c r="L444" s="15"/>
      <c r="M444" s="15"/>
      <c r="N444" s="15"/>
      <c r="O444" s="15"/>
      <c r="P444" s="15"/>
      <c r="Q444" s="15"/>
    </row>
    <row r="445" spans="2:17" x14ac:dyDescent="0.25">
      <c r="B445" s="15"/>
      <c r="C445" s="15"/>
      <c r="D445" s="15"/>
      <c r="E445" s="15"/>
      <c r="F445" s="15"/>
      <c r="G445" s="15"/>
      <c r="H445" s="15"/>
      <c r="I445" s="15"/>
      <c r="J445" s="15"/>
      <c r="K445" s="15"/>
      <c r="L445" s="15"/>
      <c r="M445" s="15"/>
      <c r="N445" s="15"/>
      <c r="O445" s="15"/>
      <c r="P445" s="15"/>
      <c r="Q445" s="15"/>
    </row>
    <row r="446" spans="2:17" x14ac:dyDescent="0.25">
      <c r="B446" s="15"/>
      <c r="C446" s="15"/>
      <c r="D446" s="15"/>
      <c r="E446" s="15"/>
      <c r="F446" s="15"/>
      <c r="G446" s="15"/>
      <c r="H446" s="15"/>
      <c r="I446" s="15"/>
      <c r="J446" s="15"/>
      <c r="K446" s="15"/>
      <c r="L446" s="15"/>
      <c r="M446" s="15"/>
      <c r="N446" s="15"/>
      <c r="O446" s="15"/>
      <c r="P446" s="15"/>
      <c r="Q446" s="15"/>
    </row>
    <row r="447" spans="2:17" x14ac:dyDescent="0.25">
      <c r="B447" s="15"/>
      <c r="C447" s="15"/>
      <c r="D447" s="15"/>
      <c r="E447" s="15"/>
      <c r="F447" s="15"/>
      <c r="G447" s="15"/>
      <c r="H447" s="15"/>
      <c r="I447" s="15"/>
      <c r="J447" s="15"/>
      <c r="K447" s="15"/>
      <c r="L447" s="15"/>
      <c r="M447" s="15"/>
      <c r="N447" s="15"/>
      <c r="O447" s="15"/>
      <c r="P447" s="15"/>
      <c r="Q447" s="15"/>
    </row>
    <row r="448" spans="2:17" x14ac:dyDescent="0.25">
      <c r="B448" s="15"/>
      <c r="C448" s="15"/>
      <c r="D448" s="15"/>
      <c r="E448" s="15"/>
      <c r="F448" s="15"/>
      <c r="G448" s="15"/>
      <c r="H448" s="15"/>
      <c r="I448" s="15"/>
      <c r="J448" s="15"/>
      <c r="K448" s="15"/>
      <c r="L448" s="15"/>
      <c r="M448" s="15"/>
      <c r="N448" s="15"/>
      <c r="O448" s="15"/>
      <c r="P448" s="15"/>
      <c r="Q448" s="15"/>
    </row>
    <row r="449" spans="2:17" x14ac:dyDescent="0.25">
      <c r="B449" s="15"/>
      <c r="C449" s="15"/>
      <c r="D449" s="15"/>
      <c r="E449" s="15"/>
      <c r="F449" s="15"/>
      <c r="G449" s="15"/>
      <c r="H449" s="15"/>
      <c r="I449" s="15"/>
      <c r="J449" s="15"/>
      <c r="K449" s="15"/>
      <c r="L449" s="15"/>
      <c r="M449" s="15"/>
      <c r="N449" s="15"/>
      <c r="O449" s="15"/>
      <c r="P449" s="15"/>
      <c r="Q449" s="15"/>
    </row>
    <row r="450" spans="2:17" x14ac:dyDescent="0.25">
      <c r="B450" s="15"/>
      <c r="C450" s="15"/>
      <c r="D450" s="15"/>
      <c r="E450" s="15"/>
      <c r="F450" s="15"/>
      <c r="G450" s="15"/>
      <c r="H450" s="15"/>
      <c r="I450" s="15"/>
      <c r="J450" s="15"/>
      <c r="K450" s="15"/>
      <c r="L450" s="15"/>
      <c r="M450" s="15"/>
      <c r="N450" s="15"/>
      <c r="O450" s="15"/>
      <c r="P450" s="15"/>
      <c r="Q450" s="15"/>
    </row>
    <row r="451" spans="2:17" x14ac:dyDescent="0.25">
      <c r="B451" s="15"/>
      <c r="C451" s="15"/>
      <c r="D451" s="15"/>
      <c r="E451" s="15"/>
      <c r="F451" s="15"/>
      <c r="G451" s="15"/>
      <c r="H451" s="15"/>
      <c r="I451" s="15"/>
      <c r="J451" s="15"/>
      <c r="K451" s="15"/>
      <c r="L451" s="15"/>
      <c r="M451" s="15"/>
      <c r="N451" s="15"/>
      <c r="O451" s="15"/>
      <c r="P451" s="15"/>
      <c r="Q451" s="15"/>
    </row>
    <row r="452" spans="2:17" x14ac:dyDescent="0.25">
      <c r="B452" s="15"/>
      <c r="C452" s="15"/>
      <c r="D452" s="15"/>
      <c r="E452" s="15"/>
      <c r="F452" s="15"/>
      <c r="G452" s="15"/>
      <c r="H452" s="15"/>
      <c r="I452" s="15"/>
      <c r="J452" s="15"/>
      <c r="K452" s="15"/>
      <c r="L452" s="15"/>
      <c r="M452" s="15"/>
      <c r="N452" s="15"/>
      <c r="O452" s="15"/>
      <c r="P452" s="15"/>
      <c r="Q452" s="15"/>
    </row>
    <row r="453" spans="2:17" x14ac:dyDescent="0.25">
      <c r="B453" s="15"/>
      <c r="C453" s="15"/>
      <c r="D453" s="15"/>
      <c r="E453" s="15"/>
      <c r="F453" s="15"/>
      <c r="G453" s="15"/>
      <c r="H453" s="15"/>
      <c r="I453" s="15"/>
      <c r="J453" s="15"/>
      <c r="K453" s="15"/>
      <c r="L453" s="15"/>
      <c r="M453" s="15"/>
      <c r="N453" s="15"/>
      <c r="O453" s="15"/>
      <c r="P453" s="15"/>
      <c r="Q453" s="15"/>
    </row>
    <row r="454" spans="2:17" x14ac:dyDescent="0.25">
      <c r="B454" s="15"/>
      <c r="C454" s="15"/>
      <c r="D454" s="15"/>
      <c r="E454" s="15"/>
      <c r="F454" s="15"/>
      <c r="G454" s="15"/>
      <c r="H454" s="15"/>
      <c r="I454" s="15"/>
      <c r="J454" s="15"/>
      <c r="K454" s="15"/>
      <c r="L454" s="15"/>
      <c r="M454" s="15"/>
      <c r="N454" s="15"/>
      <c r="O454" s="15"/>
      <c r="P454" s="15"/>
      <c r="Q454" s="15"/>
    </row>
    <row r="455" spans="2:17" x14ac:dyDescent="0.25">
      <c r="B455" s="15"/>
      <c r="C455" s="15"/>
      <c r="D455" s="15"/>
      <c r="E455" s="15"/>
      <c r="F455" s="15"/>
      <c r="G455" s="15"/>
      <c r="H455" s="15"/>
      <c r="I455" s="15"/>
      <c r="J455" s="15"/>
      <c r="K455" s="15"/>
      <c r="L455" s="15"/>
      <c r="M455" s="15"/>
      <c r="N455" s="15"/>
      <c r="O455" s="15"/>
      <c r="P455" s="15"/>
      <c r="Q455" s="15"/>
    </row>
    <row r="456" spans="2:17" x14ac:dyDescent="0.25">
      <c r="B456" s="15"/>
      <c r="C456" s="15"/>
      <c r="D456" s="15"/>
      <c r="E456" s="15"/>
      <c r="F456" s="15"/>
      <c r="G456" s="15"/>
      <c r="H456" s="15"/>
      <c r="I456" s="15"/>
      <c r="J456" s="15"/>
      <c r="K456" s="15"/>
      <c r="L456" s="15"/>
      <c r="M456" s="15"/>
      <c r="N456" s="15"/>
      <c r="O456" s="15"/>
      <c r="P456" s="15"/>
      <c r="Q456" s="15"/>
    </row>
    <row r="457" spans="2:17" x14ac:dyDescent="0.25">
      <c r="B457" s="15"/>
      <c r="C457" s="15"/>
      <c r="D457" s="15"/>
      <c r="E457" s="15"/>
      <c r="F457" s="15"/>
      <c r="G457" s="15"/>
      <c r="H457" s="15"/>
      <c r="I457" s="15"/>
      <c r="J457" s="15"/>
      <c r="K457" s="15"/>
      <c r="L457" s="15"/>
      <c r="M457" s="15"/>
      <c r="N457" s="15"/>
      <c r="O457" s="15"/>
      <c r="P457" s="15"/>
      <c r="Q457" s="15"/>
    </row>
    <row r="458" spans="2:17" x14ac:dyDescent="0.25">
      <c r="B458" s="15"/>
      <c r="C458" s="15"/>
      <c r="D458" s="15"/>
      <c r="E458" s="15"/>
      <c r="F458" s="15"/>
      <c r="G458" s="15"/>
      <c r="H458" s="15"/>
      <c r="I458" s="15"/>
      <c r="J458" s="15"/>
      <c r="K458" s="15"/>
      <c r="L458" s="15"/>
      <c r="M458" s="15"/>
      <c r="N458" s="15"/>
      <c r="O458" s="15"/>
      <c r="P458" s="15"/>
      <c r="Q458" s="15"/>
    </row>
    <row r="459" spans="2:17" x14ac:dyDescent="0.25">
      <c r="B459" s="15"/>
      <c r="C459" s="15"/>
      <c r="D459" s="15"/>
      <c r="E459" s="15"/>
      <c r="F459" s="15"/>
      <c r="G459" s="15"/>
      <c r="H459" s="15"/>
      <c r="I459" s="15"/>
      <c r="J459" s="15"/>
      <c r="K459" s="15"/>
      <c r="L459" s="15"/>
      <c r="M459" s="15"/>
      <c r="N459" s="15"/>
      <c r="O459" s="15"/>
      <c r="P459" s="15"/>
      <c r="Q459" s="15"/>
    </row>
    <row r="460" spans="2:17" x14ac:dyDescent="0.25">
      <c r="B460" s="15"/>
      <c r="C460" s="15"/>
      <c r="D460" s="15"/>
      <c r="E460" s="15"/>
      <c r="F460" s="15"/>
      <c r="G460" s="15"/>
      <c r="H460" s="15"/>
      <c r="I460" s="15"/>
      <c r="J460" s="15"/>
      <c r="K460" s="15"/>
      <c r="L460" s="15"/>
      <c r="M460" s="15"/>
      <c r="N460" s="15"/>
      <c r="O460" s="15"/>
      <c r="P460" s="15"/>
      <c r="Q460" s="15"/>
    </row>
    <row r="461" spans="2:17" x14ac:dyDescent="0.25">
      <c r="B461" s="15"/>
      <c r="C461" s="15"/>
      <c r="D461" s="15"/>
      <c r="E461" s="15"/>
      <c r="F461" s="15"/>
      <c r="G461" s="15"/>
      <c r="H461" s="15"/>
      <c r="I461" s="15"/>
      <c r="J461" s="15"/>
      <c r="K461" s="15"/>
      <c r="L461" s="15"/>
      <c r="M461" s="15"/>
      <c r="N461" s="15"/>
      <c r="O461" s="15"/>
      <c r="P461" s="15"/>
      <c r="Q461" s="15"/>
    </row>
    <row r="462" spans="2:17" x14ac:dyDescent="0.25">
      <c r="B462" s="15"/>
      <c r="C462" s="15"/>
      <c r="D462" s="15"/>
      <c r="E462" s="15"/>
      <c r="F462" s="15"/>
      <c r="G462" s="15"/>
      <c r="H462" s="15"/>
      <c r="I462" s="15"/>
      <c r="J462" s="15"/>
      <c r="K462" s="15"/>
      <c r="L462" s="15"/>
      <c r="M462" s="15"/>
      <c r="N462" s="15"/>
      <c r="O462" s="15"/>
      <c r="P462" s="15"/>
      <c r="Q462" s="15"/>
    </row>
    <row r="463" spans="2:17" x14ac:dyDescent="0.25">
      <c r="B463" s="15"/>
      <c r="C463" s="15"/>
      <c r="D463" s="15"/>
      <c r="E463" s="15"/>
      <c r="F463" s="15"/>
      <c r="G463" s="15"/>
      <c r="H463" s="15"/>
      <c r="I463" s="15"/>
      <c r="J463" s="15"/>
      <c r="K463" s="15"/>
      <c r="L463" s="15"/>
      <c r="M463" s="15"/>
      <c r="N463" s="15"/>
      <c r="O463" s="15"/>
      <c r="P463" s="15"/>
      <c r="Q463" s="15"/>
    </row>
    <row r="464" spans="2:17" x14ac:dyDescent="0.25">
      <c r="B464" s="15"/>
      <c r="C464" s="15"/>
      <c r="D464" s="15"/>
      <c r="E464" s="15"/>
      <c r="F464" s="15"/>
      <c r="G464" s="15"/>
      <c r="H464" s="15"/>
      <c r="I464" s="15"/>
      <c r="J464" s="15"/>
      <c r="K464" s="15"/>
      <c r="L464" s="15"/>
      <c r="M464" s="15"/>
      <c r="N464" s="15"/>
      <c r="O464" s="15"/>
      <c r="P464" s="15"/>
      <c r="Q464" s="15"/>
    </row>
    <row r="465" spans="2:17" x14ac:dyDescent="0.25">
      <c r="B465" s="15"/>
      <c r="C465" s="15"/>
      <c r="D465" s="15"/>
      <c r="E465" s="15"/>
      <c r="F465" s="15"/>
      <c r="G465" s="15"/>
      <c r="H465" s="15"/>
      <c r="I465" s="15"/>
      <c r="J465" s="15"/>
      <c r="K465" s="15"/>
      <c r="L465" s="15"/>
      <c r="M465" s="15"/>
      <c r="N465" s="15"/>
      <c r="O465" s="15"/>
      <c r="P465" s="15"/>
      <c r="Q465" s="15"/>
    </row>
    <row r="466" spans="2:17" x14ac:dyDescent="0.25">
      <c r="B466" s="15"/>
      <c r="C466" s="15"/>
      <c r="D466" s="15"/>
      <c r="E466" s="15"/>
      <c r="F466" s="15"/>
      <c r="G466" s="15"/>
      <c r="H466" s="15"/>
      <c r="I466" s="15"/>
      <c r="J466" s="15"/>
      <c r="K466" s="15"/>
      <c r="L466" s="15"/>
      <c r="M466" s="15"/>
      <c r="N466" s="15"/>
      <c r="O466" s="15"/>
      <c r="P466" s="15"/>
      <c r="Q466" s="15"/>
    </row>
    <row r="467" spans="2:17" x14ac:dyDescent="0.25">
      <c r="B467" s="15"/>
      <c r="C467" s="15"/>
      <c r="D467" s="15"/>
      <c r="E467" s="15"/>
      <c r="F467" s="15"/>
      <c r="G467" s="15"/>
      <c r="H467" s="15"/>
      <c r="I467" s="15"/>
      <c r="J467" s="15"/>
      <c r="K467" s="15"/>
      <c r="L467" s="15"/>
      <c r="M467" s="15"/>
      <c r="N467" s="15"/>
      <c r="O467" s="15"/>
      <c r="P467" s="15"/>
      <c r="Q467" s="15"/>
    </row>
    <row r="468" spans="2:17" x14ac:dyDescent="0.25">
      <c r="B468" s="15"/>
      <c r="C468" s="15"/>
      <c r="D468" s="15"/>
      <c r="E468" s="15"/>
      <c r="F468" s="15"/>
      <c r="G468" s="15"/>
      <c r="H468" s="15"/>
      <c r="I468" s="15"/>
      <c r="J468" s="15"/>
      <c r="K468" s="15"/>
      <c r="L468" s="15"/>
      <c r="M468" s="15"/>
      <c r="N468" s="15"/>
      <c r="O468" s="15"/>
      <c r="P468" s="15"/>
      <c r="Q468" s="15"/>
    </row>
    <row r="469" spans="2:17" x14ac:dyDescent="0.25">
      <c r="B469" s="15"/>
      <c r="C469" s="15"/>
      <c r="D469" s="15"/>
      <c r="E469" s="15"/>
      <c r="F469" s="15"/>
      <c r="G469" s="15"/>
      <c r="H469" s="15"/>
      <c r="I469" s="15"/>
      <c r="J469" s="15"/>
      <c r="K469" s="15"/>
      <c r="L469" s="15"/>
      <c r="M469" s="15"/>
      <c r="N469" s="15"/>
      <c r="O469" s="15"/>
      <c r="P469" s="15"/>
      <c r="Q469" s="15"/>
    </row>
    <row r="470" spans="2:17" x14ac:dyDescent="0.25">
      <c r="B470" s="15"/>
      <c r="C470" s="15"/>
      <c r="D470" s="15"/>
      <c r="E470" s="15"/>
      <c r="F470" s="15"/>
      <c r="G470" s="15"/>
      <c r="H470" s="15"/>
      <c r="I470" s="15"/>
      <c r="J470" s="15"/>
      <c r="K470" s="15"/>
      <c r="L470" s="15"/>
      <c r="M470" s="15"/>
      <c r="N470" s="15"/>
      <c r="O470" s="15"/>
      <c r="P470" s="15"/>
      <c r="Q470" s="15"/>
    </row>
    <row r="471" spans="2:17" x14ac:dyDescent="0.25">
      <c r="B471" s="15"/>
      <c r="C471" s="15"/>
      <c r="D471" s="15"/>
      <c r="E471" s="15"/>
      <c r="F471" s="15"/>
      <c r="G471" s="15"/>
      <c r="H471" s="15"/>
      <c r="I471" s="15"/>
      <c r="J471" s="15"/>
      <c r="K471" s="15"/>
      <c r="L471" s="15"/>
      <c r="M471" s="15"/>
      <c r="N471" s="15"/>
      <c r="O471" s="15"/>
      <c r="P471" s="15"/>
      <c r="Q471" s="15"/>
    </row>
    <row r="472" spans="2:17" x14ac:dyDescent="0.25">
      <c r="B472" s="15"/>
      <c r="C472" s="15"/>
      <c r="D472" s="15"/>
      <c r="E472" s="15"/>
      <c r="F472" s="15"/>
      <c r="G472" s="15"/>
      <c r="H472" s="15"/>
      <c r="I472" s="15"/>
      <c r="J472" s="15"/>
      <c r="K472" s="15"/>
      <c r="L472" s="15"/>
      <c r="M472" s="15"/>
      <c r="N472" s="15"/>
      <c r="O472" s="15"/>
      <c r="P472" s="15"/>
      <c r="Q472" s="15"/>
    </row>
    <row r="473" spans="2:17" x14ac:dyDescent="0.25">
      <c r="B473" s="15"/>
      <c r="C473" s="15"/>
      <c r="D473" s="15"/>
      <c r="E473" s="15"/>
      <c r="F473" s="15"/>
      <c r="G473" s="15"/>
      <c r="H473" s="15"/>
      <c r="I473" s="15"/>
      <c r="J473" s="15"/>
      <c r="K473" s="15"/>
      <c r="L473" s="15"/>
      <c r="M473" s="15"/>
      <c r="N473" s="15"/>
      <c r="O473" s="15"/>
      <c r="P473" s="15"/>
      <c r="Q473" s="15"/>
    </row>
    <row r="474" spans="2:17" x14ac:dyDescent="0.25">
      <c r="B474" s="15"/>
      <c r="C474" s="15"/>
      <c r="D474" s="15"/>
      <c r="E474" s="15"/>
      <c r="F474" s="15"/>
      <c r="G474" s="15"/>
      <c r="H474" s="15"/>
      <c r="I474" s="15"/>
      <c r="J474" s="15"/>
      <c r="K474" s="15"/>
      <c r="L474" s="15"/>
      <c r="M474" s="15"/>
      <c r="N474" s="15"/>
      <c r="O474" s="15"/>
      <c r="P474" s="15"/>
      <c r="Q474" s="15"/>
    </row>
    <row r="475" spans="2:17" x14ac:dyDescent="0.25">
      <c r="B475" s="15"/>
      <c r="C475" s="15"/>
      <c r="D475" s="15"/>
      <c r="E475" s="15"/>
      <c r="F475" s="15"/>
      <c r="G475" s="15"/>
      <c r="H475" s="15"/>
      <c r="I475" s="15"/>
      <c r="J475" s="15"/>
      <c r="K475" s="15"/>
      <c r="L475" s="15"/>
      <c r="M475" s="15"/>
      <c r="N475" s="15"/>
      <c r="O475" s="15"/>
      <c r="P475" s="15"/>
      <c r="Q475" s="15"/>
    </row>
    <row r="476" spans="2:17" x14ac:dyDescent="0.25">
      <c r="B476" s="15"/>
      <c r="C476" s="15"/>
      <c r="D476" s="15"/>
      <c r="E476" s="15"/>
      <c r="F476" s="15"/>
      <c r="G476" s="15"/>
      <c r="H476" s="15"/>
      <c r="I476" s="15"/>
      <c r="J476" s="15"/>
      <c r="K476" s="15"/>
      <c r="L476" s="15"/>
      <c r="M476" s="15"/>
      <c r="N476" s="15"/>
      <c r="O476" s="15"/>
      <c r="P476" s="15"/>
      <c r="Q476" s="15"/>
    </row>
    <row r="477" spans="2:17" x14ac:dyDescent="0.25">
      <c r="B477" s="15"/>
      <c r="C477" s="15"/>
      <c r="D477" s="15"/>
      <c r="E477" s="15"/>
      <c r="F477" s="15"/>
      <c r="G477" s="15"/>
      <c r="H477" s="15"/>
      <c r="I477" s="15"/>
      <c r="J477" s="15"/>
      <c r="K477" s="15"/>
      <c r="L477" s="15"/>
      <c r="M477" s="15"/>
      <c r="N477" s="15"/>
      <c r="O477" s="15"/>
      <c r="P477" s="15"/>
      <c r="Q477" s="15"/>
    </row>
    <row r="478" spans="2:17" x14ac:dyDescent="0.25">
      <c r="B478" s="15"/>
      <c r="C478" s="15"/>
      <c r="D478" s="15"/>
      <c r="E478" s="15"/>
      <c r="F478" s="15"/>
      <c r="G478" s="15"/>
      <c r="H478" s="15"/>
      <c r="I478" s="15"/>
      <c r="J478" s="15"/>
      <c r="K478" s="15"/>
      <c r="L478" s="15"/>
      <c r="M478" s="15"/>
      <c r="N478" s="15"/>
      <c r="O478" s="15"/>
      <c r="P478" s="15"/>
      <c r="Q478" s="15"/>
    </row>
    <row r="479" spans="2:17" x14ac:dyDescent="0.25">
      <c r="B479" s="15"/>
      <c r="C479" s="15"/>
      <c r="D479" s="15"/>
      <c r="E479" s="15"/>
      <c r="F479" s="15"/>
      <c r="G479" s="15"/>
      <c r="H479" s="15"/>
      <c r="I479" s="15"/>
      <c r="J479" s="15"/>
      <c r="K479" s="15"/>
      <c r="L479" s="15"/>
      <c r="M479" s="15"/>
      <c r="N479" s="15"/>
      <c r="O479" s="15"/>
      <c r="P479" s="15"/>
      <c r="Q479" s="15"/>
    </row>
    <row r="480" spans="2:17" x14ac:dyDescent="0.25">
      <c r="B480" s="15"/>
      <c r="C480" s="15"/>
      <c r="D480" s="15"/>
      <c r="E480" s="15"/>
      <c r="F480" s="15"/>
      <c r="G480" s="15"/>
      <c r="H480" s="15"/>
      <c r="I480" s="15"/>
      <c r="J480" s="15"/>
      <c r="K480" s="15"/>
      <c r="L480" s="15"/>
      <c r="M480" s="15"/>
      <c r="N480" s="15"/>
      <c r="O480" s="15"/>
      <c r="P480" s="15"/>
      <c r="Q480" s="15"/>
    </row>
    <row r="481" spans="2:17" x14ac:dyDescent="0.25">
      <c r="B481" s="15"/>
      <c r="C481" s="15"/>
      <c r="D481" s="15"/>
      <c r="E481" s="15"/>
      <c r="F481" s="15"/>
      <c r="G481" s="15"/>
      <c r="H481" s="15"/>
      <c r="I481" s="15"/>
      <c r="J481" s="15"/>
      <c r="K481" s="15"/>
      <c r="L481" s="15"/>
      <c r="M481" s="15"/>
      <c r="N481" s="15"/>
      <c r="O481" s="15"/>
      <c r="P481" s="15"/>
      <c r="Q481" s="15"/>
    </row>
    <row r="482" spans="2:17" x14ac:dyDescent="0.25">
      <c r="B482" s="15"/>
      <c r="C482" s="15"/>
      <c r="D482" s="15"/>
      <c r="E482" s="15"/>
      <c r="F482" s="15"/>
      <c r="G482" s="15"/>
      <c r="H482" s="15"/>
      <c r="I482" s="15"/>
      <c r="J482" s="15"/>
      <c r="K482" s="15"/>
      <c r="L482" s="15"/>
      <c r="M482" s="15"/>
      <c r="N482" s="15"/>
      <c r="O482" s="15"/>
      <c r="P482" s="15"/>
      <c r="Q482" s="15"/>
    </row>
    <row r="483" spans="2:17" x14ac:dyDescent="0.25">
      <c r="B483" s="15"/>
      <c r="C483" s="15"/>
      <c r="D483" s="15"/>
      <c r="E483" s="15"/>
      <c r="F483" s="15"/>
      <c r="G483" s="15"/>
      <c r="H483" s="15"/>
      <c r="I483" s="15"/>
      <c r="J483" s="15"/>
      <c r="K483" s="15"/>
      <c r="L483" s="15"/>
      <c r="M483" s="15"/>
      <c r="N483" s="15"/>
      <c r="O483" s="15"/>
      <c r="P483" s="15"/>
      <c r="Q483" s="15"/>
    </row>
    <row r="484" spans="2:17" x14ac:dyDescent="0.25">
      <c r="B484" s="15"/>
      <c r="C484" s="15"/>
      <c r="D484" s="15"/>
      <c r="E484" s="15"/>
      <c r="F484" s="15"/>
      <c r="G484" s="15"/>
      <c r="H484" s="15"/>
      <c r="I484" s="15"/>
      <c r="J484" s="15"/>
      <c r="K484" s="15"/>
      <c r="L484" s="15"/>
      <c r="M484" s="15"/>
      <c r="N484" s="15"/>
      <c r="O484" s="15"/>
      <c r="P484" s="15"/>
      <c r="Q484" s="15"/>
    </row>
    <row r="485" spans="2:17" x14ac:dyDescent="0.25">
      <c r="B485" s="15"/>
      <c r="C485" s="15"/>
      <c r="D485" s="15"/>
      <c r="E485" s="15"/>
      <c r="F485" s="15"/>
      <c r="G485" s="15"/>
      <c r="H485" s="15"/>
      <c r="I485" s="15"/>
      <c r="J485" s="15"/>
      <c r="K485" s="15"/>
      <c r="L485" s="15"/>
      <c r="M485" s="15"/>
      <c r="N485" s="15"/>
      <c r="O485" s="15"/>
      <c r="P485" s="15"/>
      <c r="Q485" s="15"/>
    </row>
    <row r="486" spans="2:17" x14ac:dyDescent="0.25">
      <c r="B486" s="15"/>
      <c r="C486" s="15"/>
      <c r="D486" s="15"/>
      <c r="E486" s="15"/>
      <c r="F486" s="15"/>
      <c r="G486" s="15"/>
      <c r="H486" s="15"/>
      <c r="I486" s="15"/>
      <c r="J486" s="15"/>
      <c r="K486" s="15"/>
      <c r="L486" s="15"/>
      <c r="M486" s="15"/>
      <c r="N486" s="15"/>
      <c r="O486" s="15"/>
      <c r="P486" s="15"/>
      <c r="Q486" s="15"/>
    </row>
    <row r="487" spans="2:17" x14ac:dyDescent="0.25">
      <c r="B487" s="15"/>
      <c r="C487" s="15"/>
      <c r="D487" s="15"/>
      <c r="E487" s="15"/>
      <c r="F487" s="15"/>
      <c r="G487" s="15"/>
      <c r="H487" s="15"/>
      <c r="I487" s="15"/>
      <c r="J487" s="15"/>
      <c r="K487" s="15"/>
      <c r="L487" s="15"/>
      <c r="M487" s="15"/>
      <c r="N487" s="15"/>
      <c r="O487" s="15"/>
      <c r="P487" s="15"/>
      <c r="Q487" s="15"/>
    </row>
    <row r="488" spans="2:17" x14ac:dyDescent="0.25">
      <c r="B488" s="15"/>
      <c r="C488" s="15"/>
      <c r="D488" s="15"/>
      <c r="E488" s="15"/>
      <c r="F488" s="15"/>
      <c r="G488" s="15"/>
      <c r="H488" s="15"/>
      <c r="I488" s="15"/>
      <c r="J488" s="15"/>
      <c r="K488" s="15"/>
      <c r="L488" s="15"/>
      <c r="M488" s="15"/>
      <c r="N488" s="15"/>
      <c r="O488" s="15"/>
      <c r="P488" s="15"/>
      <c r="Q488" s="15"/>
    </row>
    <row r="489" spans="2:17" x14ac:dyDescent="0.25">
      <c r="B489" s="15"/>
      <c r="C489" s="15"/>
      <c r="D489" s="15"/>
      <c r="E489" s="15"/>
      <c r="F489" s="15"/>
      <c r="G489" s="15"/>
      <c r="H489" s="15"/>
      <c r="I489" s="15"/>
      <c r="J489" s="15"/>
      <c r="K489" s="15"/>
      <c r="L489" s="15"/>
      <c r="M489" s="15"/>
      <c r="N489" s="15"/>
      <c r="O489" s="15"/>
      <c r="P489" s="15"/>
      <c r="Q489" s="15"/>
    </row>
    <row r="490" spans="2:17" x14ac:dyDescent="0.25">
      <c r="B490" s="15"/>
      <c r="C490" s="15"/>
      <c r="D490" s="15"/>
      <c r="E490" s="15"/>
      <c r="F490" s="15"/>
      <c r="G490" s="15"/>
      <c r="H490" s="15"/>
      <c r="I490" s="15"/>
      <c r="J490" s="15"/>
      <c r="K490" s="15"/>
      <c r="L490" s="15"/>
      <c r="M490" s="15"/>
      <c r="N490" s="15"/>
      <c r="O490" s="15"/>
      <c r="P490" s="15"/>
      <c r="Q490" s="15"/>
    </row>
    <row r="491" spans="2:17" x14ac:dyDescent="0.25">
      <c r="B491" s="15"/>
      <c r="C491" s="15"/>
      <c r="D491" s="15"/>
      <c r="E491" s="15"/>
      <c r="F491" s="15"/>
      <c r="G491" s="15"/>
      <c r="H491" s="15"/>
      <c r="I491" s="15"/>
      <c r="J491" s="15"/>
      <c r="K491" s="15"/>
      <c r="L491" s="15"/>
      <c r="M491" s="15"/>
      <c r="N491" s="15"/>
      <c r="O491" s="15"/>
      <c r="P491" s="15"/>
      <c r="Q491" s="15"/>
    </row>
    <row r="492" spans="2:17" x14ac:dyDescent="0.25">
      <c r="B492" s="15"/>
      <c r="C492" s="15"/>
      <c r="D492" s="15"/>
      <c r="E492" s="15"/>
      <c r="F492" s="15"/>
      <c r="G492" s="15"/>
      <c r="H492" s="15"/>
      <c r="I492" s="15"/>
      <c r="J492" s="15"/>
      <c r="K492" s="15"/>
      <c r="L492" s="15"/>
      <c r="M492" s="15"/>
      <c r="N492" s="15"/>
      <c r="O492" s="15"/>
      <c r="P492" s="15"/>
      <c r="Q492" s="15"/>
    </row>
    <row r="493" spans="2:17" x14ac:dyDescent="0.25">
      <c r="B493" s="15"/>
      <c r="C493" s="15"/>
      <c r="D493" s="15"/>
      <c r="E493" s="15"/>
      <c r="F493" s="15"/>
      <c r="G493" s="15"/>
      <c r="H493" s="15"/>
      <c r="I493" s="15"/>
      <c r="J493" s="15"/>
      <c r="K493" s="15"/>
      <c r="L493" s="15"/>
      <c r="M493" s="15"/>
      <c r="N493" s="15"/>
      <c r="O493" s="15"/>
      <c r="P493" s="15"/>
      <c r="Q493" s="15"/>
    </row>
    <row r="494" spans="2:17" x14ac:dyDescent="0.25">
      <c r="B494" s="15"/>
      <c r="C494" s="15"/>
      <c r="D494" s="15"/>
      <c r="E494" s="15"/>
      <c r="F494" s="15"/>
      <c r="G494" s="15"/>
      <c r="H494" s="15"/>
      <c r="I494" s="15"/>
      <c r="J494" s="15"/>
      <c r="K494" s="15"/>
      <c r="L494" s="15"/>
      <c r="M494" s="15"/>
      <c r="N494" s="15"/>
      <c r="O494" s="15"/>
      <c r="P494" s="15"/>
      <c r="Q494" s="15"/>
    </row>
    <row r="495" spans="2:17" x14ac:dyDescent="0.25">
      <c r="B495" s="15"/>
      <c r="C495" s="15"/>
      <c r="D495" s="15"/>
      <c r="E495" s="15"/>
      <c r="F495" s="15"/>
      <c r="G495" s="15"/>
      <c r="H495" s="15"/>
      <c r="I495" s="15"/>
      <c r="J495" s="15"/>
      <c r="K495" s="15"/>
      <c r="L495" s="15"/>
      <c r="M495" s="15"/>
      <c r="N495" s="15"/>
      <c r="O495" s="15"/>
      <c r="P495" s="15"/>
      <c r="Q495" s="15"/>
    </row>
    <row r="496" spans="2:17" x14ac:dyDescent="0.25">
      <c r="B496" s="15"/>
      <c r="C496" s="15"/>
      <c r="D496" s="15"/>
      <c r="E496" s="15"/>
      <c r="F496" s="15"/>
      <c r="G496" s="15"/>
      <c r="H496" s="15"/>
      <c r="I496" s="15"/>
      <c r="J496" s="15"/>
      <c r="K496" s="15"/>
      <c r="L496" s="15"/>
      <c r="M496" s="15"/>
      <c r="N496" s="15"/>
      <c r="O496" s="15"/>
      <c r="P496" s="15"/>
      <c r="Q496" s="15"/>
    </row>
    <row r="497" spans="2:17" x14ac:dyDescent="0.25">
      <c r="B497" s="15"/>
      <c r="C497" s="15"/>
      <c r="D497" s="15"/>
      <c r="E497" s="15"/>
      <c r="F497" s="15"/>
      <c r="G497" s="15"/>
      <c r="H497" s="15"/>
      <c r="I497" s="15"/>
      <c r="J497" s="15"/>
      <c r="K497" s="15"/>
      <c r="L497" s="15"/>
      <c r="M497" s="15"/>
      <c r="N497" s="15"/>
      <c r="O497" s="15"/>
      <c r="P497" s="15"/>
      <c r="Q497" s="15"/>
    </row>
    <row r="498" spans="2:17" x14ac:dyDescent="0.25">
      <c r="B498" s="15"/>
      <c r="C498" s="15"/>
      <c r="D498" s="15"/>
      <c r="E498" s="15"/>
      <c r="F498" s="15"/>
      <c r="G498" s="15"/>
      <c r="H498" s="15"/>
      <c r="I498" s="15"/>
      <c r="J498" s="15"/>
      <c r="K498" s="15"/>
      <c r="L498" s="15"/>
      <c r="M498" s="15"/>
      <c r="N498" s="15"/>
      <c r="O498" s="15"/>
      <c r="P498" s="15"/>
      <c r="Q498" s="15"/>
    </row>
    <row r="499" spans="2:17" x14ac:dyDescent="0.25">
      <c r="B499" s="15"/>
      <c r="C499" s="15"/>
      <c r="D499" s="15"/>
      <c r="E499" s="15"/>
      <c r="F499" s="15"/>
      <c r="G499" s="15"/>
      <c r="H499" s="15"/>
      <c r="I499" s="15"/>
      <c r="J499" s="15"/>
      <c r="K499" s="15"/>
      <c r="L499" s="15"/>
      <c r="M499" s="15"/>
      <c r="N499" s="15"/>
      <c r="O499" s="15"/>
      <c r="P499" s="15"/>
      <c r="Q499" s="15"/>
    </row>
    <row r="500" spans="2:17" x14ac:dyDescent="0.25">
      <c r="B500" s="15"/>
      <c r="C500" s="15"/>
      <c r="D500" s="15"/>
      <c r="E500" s="15"/>
      <c r="F500" s="15"/>
      <c r="G500" s="15"/>
      <c r="H500" s="15"/>
      <c r="I500" s="15"/>
      <c r="J500" s="15"/>
      <c r="K500" s="15"/>
      <c r="L500" s="15"/>
      <c r="M500" s="15"/>
      <c r="N500" s="15"/>
      <c r="O500" s="15"/>
      <c r="P500" s="15"/>
      <c r="Q500" s="15"/>
    </row>
    <row r="501" spans="2:17" x14ac:dyDescent="0.25">
      <c r="B501" s="15"/>
      <c r="C501" s="15"/>
      <c r="D501" s="15"/>
      <c r="E501" s="15"/>
      <c r="F501" s="15"/>
      <c r="G501" s="15"/>
      <c r="H501" s="15"/>
      <c r="I501" s="15"/>
      <c r="J501" s="15"/>
      <c r="K501" s="15"/>
      <c r="L501" s="15"/>
      <c r="M501" s="15"/>
      <c r="N501" s="15"/>
      <c r="O501" s="15"/>
      <c r="P501" s="15"/>
      <c r="Q501" s="15"/>
    </row>
    <row r="502" spans="2:17" x14ac:dyDescent="0.25">
      <c r="B502" s="15"/>
      <c r="C502" s="15"/>
      <c r="D502" s="15"/>
      <c r="E502" s="15"/>
      <c r="F502" s="15"/>
      <c r="G502" s="15"/>
      <c r="H502" s="15"/>
      <c r="I502" s="15"/>
      <c r="J502" s="15"/>
      <c r="K502" s="15"/>
      <c r="L502" s="15"/>
      <c r="M502" s="15"/>
      <c r="N502" s="15"/>
      <c r="O502" s="15"/>
      <c r="P502" s="15"/>
      <c r="Q502" s="15"/>
    </row>
    <row r="503" spans="2:17" x14ac:dyDescent="0.25">
      <c r="B503" s="15"/>
      <c r="C503" s="15"/>
      <c r="D503" s="15"/>
      <c r="E503" s="15"/>
      <c r="F503" s="15"/>
      <c r="G503" s="15"/>
      <c r="H503" s="15"/>
      <c r="I503" s="15"/>
      <c r="J503" s="15"/>
      <c r="K503" s="15"/>
      <c r="L503" s="15"/>
      <c r="M503" s="15"/>
      <c r="N503" s="15"/>
      <c r="O503" s="15"/>
      <c r="P503" s="15"/>
      <c r="Q503" s="15"/>
    </row>
    <row r="504" spans="2:17" x14ac:dyDescent="0.25">
      <c r="B504" s="15"/>
      <c r="C504" s="15"/>
      <c r="D504" s="15"/>
      <c r="E504" s="15"/>
      <c r="F504" s="15"/>
      <c r="G504" s="15"/>
      <c r="H504" s="15"/>
      <c r="I504" s="15"/>
      <c r="J504" s="15"/>
      <c r="K504" s="15"/>
      <c r="L504" s="15"/>
      <c r="M504" s="15"/>
      <c r="N504" s="15"/>
      <c r="O504" s="15"/>
      <c r="P504" s="15"/>
      <c r="Q504" s="15"/>
    </row>
    <row r="505" spans="2:17" x14ac:dyDescent="0.25">
      <c r="B505" s="15"/>
      <c r="C505" s="15"/>
      <c r="D505" s="15"/>
      <c r="E505" s="15"/>
      <c r="F505" s="15"/>
      <c r="G505" s="15"/>
      <c r="H505" s="15"/>
      <c r="I505" s="15"/>
      <c r="J505" s="15"/>
      <c r="K505" s="15"/>
      <c r="L505" s="15"/>
      <c r="M505" s="15"/>
      <c r="N505" s="15"/>
      <c r="O505" s="15"/>
      <c r="P505" s="15"/>
      <c r="Q505" s="15"/>
    </row>
    <row r="506" spans="2:17" x14ac:dyDescent="0.25">
      <c r="B506" s="15"/>
      <c r="C506" s="15"/>
      <c r="D506" s="15"/>
      <c r="E506" s="15"/>
      <c r="F506" s="15"/>
      <c r="G506" s="15"/>
      <c r="H506" s="15"/>
      <c r="I506" s="15"/>
      <c r="J506" s="15"/>
      <c r="K506" s="15"/>
      <c r="L506" s="15"/>
      <c r="M506" s="15"/>
      <c r="N506" s="15"/>
      <c r="O506" s="15"/>
      <c r="P506" s="15"/>
      <c r="Q506" s="15"/>
    </row>
    <row r="507" spans="2:17" x14ac:dyDescent="0.25">
      <c r="B507" s="15"/>
      <c r="C507" s="15"/>
      <c r="D507" s="15"/>
      <c r="E507" s="15"/>
      <c r="F507" s="15"/>
      <c r="G507" s="15"/>
      <c r="H507" s="15"/>
      <c r="I507" s="15"/>
      <c r="J507" s="15"/>
      <c r="K507" s="15"/>
      <c r="L507" s="15"/>
      <c r="M507" s="15"/>
      <c r="N507" s="15"/>
      <c r="O507" s="15"/>
      <c r="P507" s="15"/>
      <c r="Q507" s="15"/>
    </row>
    <row r="508" spans="2:17" x14ac:dyDescent="0.25">
      <c r="B508" s="15"/>
      <c r="C508" s="15"/>
      <c r="D508" s="15"/>
      <c r="E508" s="15"/>
      <c r="F508" s="15"/>
      <c r="G508" s="15"/>
      <c r="H508" s="15"/>
      <c r="I508" s="15"/>
      <c r="J508" s="15"/>
      <c r="K508" s="15"/>
      <c r="L508" s="15"/>
      <c r="M508" s="15"/>
      <c r="N508" s="15"/>
      <c r="O508" s="15"/>
      <c r="P508" s="15"/>
      <c r="Q508" s="15"/>
    </row>
    <row r="509" spans="2:17" x14ac:dyDescent="0.25">
      <c r="B509" s="15"/>
      <c r="C509" s="15"/>
      <c r="D509" s="15"/>
      <c r="E509" s="15"/>
      <c r="F509" s="15"/>
      <c r="G509" s="15"/>
      <c r="H509" s="15"/>
      <c r="I509" s="15"/>
      <c r="J509" s="15"/>
      <c r="K509" s="15"/>
      <c r="L509" s="15"/>
      <c r="M509" s="15"/>
      <c r="N509" s="15"/>
      <c r="O509" s="15"/>
      <c r="P509" s="15"/>
      <c r="Q509" s="15"/>
    </row>
    <row r="510" spans="2:17" x14ac:dyDescent="0.25">
      <c r="B510" s="15"/>
      <c r="C510" s="15"/>
      <c r="D510" s="15"/>
      <c r="E510" s="15"/>
      <c r="F510" s="15"/>
      <c r="G510" s="15"/>
      <c r="H510" s="15"/>
      <c r="I510" s="15"/>
      <c r="J510" s="15"/>
      <c r="K510" s="15"/>
      <c r="L510" s="15"/>
      <c r="M510" s="15"/>
      <c r="N510" s="15"/>
      <c r="O510" s="15"/>
      <c r="P510" s="15"/>
      <c r="Q510" s="15"/>
    </row>
    <row r="511" spans="2:17" x14ac:dyDescent="0.25">
      <c r="B511" s="15"/>
      <c r="C511" s="15"/>
      <c r="D511" s="15"/>
      <c r="E511" s="15"/>
      <c r="F511" s="15"/>
      <c r="G511" s="15"/>
      <c r="H511" s="15"/>
      <c r="I511" s="15"/>
      <c r="J511" s="15"/>
      <c r="K511" s="15"/>
      <c r="L511" s="15"/>
      <c r="M511" s="15"/>
      <c r="N511" s="15"/>
      <c r="O511" s="15"/>
      <c r="P511" s="15"/>
      <c r="Q511" s="15"/>
    </row>
    <row r="512" spans="2:17" x14ac:dyDescent="0.25">
      <c r="B512" s="15"/>
      <c r="C512" s="15"/>
      <c r="D512" s="15"/>
      <c r="E512" s="15"/>
      <c r="F512" s="15"/>
      <c r="G512" s="15"/>
      <c r="H512" s="15"/>
      <c r="I512" s="15"/>
      <c r="J512" s="15"/>
      <c r="K512" s="15"/>
      <c r="L512" s="15"/>
      <c r="M512" s="15"/>
      <c r="N512" s="15"/>
      <c r="O512" s="15"/>
      <c r="P512" s="15"/>
      <c r="Q512" s="15"/>
    </row>
    <row r="513" spans="2:17" x14ac:dyDescent="0.25">
      <c r="B513" s="15"/>
      <c r="C513" s="15"/>
      <c r="D513" s="15"/>
      <c r="E513" s="15"/>
      <c r="F513" s="15"/>
      <c r="G513" s="15"/>
      <c r="H513" s="15"/>
      <c r="I513" s="15"/>
      <c r="J513" s="15"/>
      <c r="K513" s="15"/>
      <c r="L513" s="15"/>
      <c r="M513" s="15"/>
      <c r="N513" s="15"/>
      <c r="O513" s="15"/>
      <c r="P513" s="15"/>
      <c r="Q513" s="15"/>
    </row>
    <row r="514" spans="2:17" x14ac:dyDescent="0.25">
      <c r="B514" s="15"/>
      <c r="C514" s="15"/>
      <c r="D514" s="15"/>
      <c r="E514" s="15"/>
      <c r="F514" s="15"/>
      <c r="G514" s="15"/>
      <c r="H514" s="15"/>
      <c r="I514" s="15"/>
      <c r="J514" s="15"/>
      <c r="K514" s="15"/>
      <c r="L514" s="15"/>
      <c r="M514" s="15"/>
      <c r="N514" s="15"/>
      <c r="O514" s="15"/>
      <c r="P514" s="15"/>
      <c r="Q514" s="15"/>
    </row>
    <row r="515" spans="2:17" x14ac:dyDescent="0.25">
      <c r="B515" s="15"/>
      <c r="C515" s="15"/>
      <c r="D515" s="15"/>
      <c r="E515" s="15"/>
      <c r="F515" s="15"/>
      <c r="G515" s="15"/>
      <c r="H515" s="15"/>
      <c r="I515" s="15"/>
      <c r="J515" s="15"/>
      <c r="K515" s="15"/>
      <c r="L515" s="15"/>
      <c r="M515" s="15"/>
      <c r="N515" s="15"/>
      <c r="O515" s="15"/>
      <c r="P515" s="15"/>
      <c r="Q515" s="15"/>
    </row>
    <row r="516" spans="2:17" x14ac:dyDescent="0.25">
      <c r="B516" s="15"/>
      <c r="C516" s="15"/>
      <c r="D516" s="15"/>
      <c r="E516" s="15"/>
      <c r="F516" s="15"/>
      <c r="G516" s="15"/>
      <c r="H516" s="15"/>
      <c r="I516" s="15"/>
      <c r="J516" s="15"/>
      <c r="K516" s="15"/>
      <c r="L516" s="15"/>
      <c r="M516" s="15"/>
      <c r="N516" s="15"/>
      <c r="O516" s="15"/>
      <c r="P516" s="15"/>
      <c r="Q516" s="15"/>
    </row>
    <row r="517" spans="2:17" x14ac:dyDescent="0.25">
      <c r="B517" s="15"/>
      <c r="C517" s="15"/>
      <c r="D517" s="15"/>
      <c r="E517" s="15"/>
      <c r="F517" s="15"/>
      <c r="G517" s="15"/>
      <c r="H517" s="15"/>
      <c r="I517" s="15"/>
      <c r="J517" s="15"/>
      <c r="K517" s="15"/>
      <c r="L517" s="15"/>
      <c r="M517" s="15"/>
      <c r="N517" s="15"/>
      <c r="O517" s="15"/>
      <c r="P517" s="15"/>
      <c r="Q517" s="15"/>
    </row>
    <row r="518" spans="2:17" x14ac:dyDescent="0.25">
      <c r="B518" s="15"/>
      <c r="C518" s="15"/>
      <c r="D518" s="15"/>
      <c r="E518" s="15"/>
      <c r="F518" s="15"/>
      <c r="G518" s="15"/>
      <c r="H518" s="15"/>
      <c r="I518" s="15"/>
      <c r="J518" s="15"/>
      <c r="K518" s="15"/>
      <c r="L518" s="15"/>
      <c r="M518" s="15"/>
      <c r="N518" s="15"/>
      <c r="O518" s="15"/>
      <c r="P518" s="15"/>
      <c r="Q518" s="15"/>
    </row>
    <row r="519" spans="2:17" x14ac:dyDescent="0.25">
      <c r="B519" s="15"/>
      <c r="C519" s="15"/>
      <c r="D519" s="15"/>
      <c r="E519" s="15"/>
      <c r="F519" s="15"/>
      <c r="G519" s="15"/>
      <c r="H519" s="15"/>
      <c r="I519" s="15"/>
      <c r="J519" s="15"/>
      <c r="K519" s="15"/>
      <c r="L519" s="15"/>
      <c r="M519" s="15"/>
      <c r="N519" s="15"/>
      <c r="O519" s="15"/>
      <c r="P519" s="15"/>
      <c r="Q519" s="15"/>
    </row>
    <row r="520" spans="2:17" x14ac:dyDescent="0.25">
      <c r="B520" s="15"/>
      <c r="C520" s="15"/>
      <c r="D520" s="15"/>
      <c r="E520" s="15"/>
      <c r="F520" s="15"/>
      <c r="G520" s="15"/>
      <c r="H520" s="15"/>
      <c r="I520" s="15"/>
      <c r="J520" s="15"/>
      <c r="K520" s="15"/>
      <c r="L520" s="15"/>
      <c r="M520" s="15"/>
      <c r="N520" s="15"/>
      <c r="O520" s="15"/>
      <c r="P520" s="15"/>
      <c r="Q520" s="15"/>
    </row>
    <row r="521" spans="2:17" x14ac:dyDescent="0.25">
      <c r="B521" s="15"/>
      <c r="C521" s="15"/>
      <c r="D521" s="15"/>
      <c r="E521" s="15"/>
      <c r="F521" s="15"/>
      <c r="G521" s="15"/>
      <c r="H521" s="15"/>
      <c r="I521" s="15"/>
      <c r="J521" s="15"/>
      <c r="K521" s="15"/>
      <c r="L521" s="15"/>
      <c r="M521" s="15"/>
      <c r="N521" s="15"/>
      <c r="O521" s="15"/>
      <c r="P521" s="15"/>
      <c r="Q521" s="15"/>
    </row>
    <row r="522" spans="2:17" x14ac:dyDescent="0.25">
      <c r="B522" s="15"/>
      <c r="C522" s="15"/>
      <c r="D522" s="15"/>
      <c r="E522" s="15"/>
      <c r="F522" s="15"/>
      <c r="G522" s="15"/>
      <c r="H522" s="15"/>
      <c r="I522" s="15"/>
      <c r="J522" s="15"/>
      <c r="K522" s="15"/>
      <c r="L522" s="15"/>
      <c r="M522" s="15"/>
      <c r="N522" s="15"/>
      <c r="O522" s="15"/>
      <c r="P522" s="15"/>
      <c r="Q522" s="15"/>
    </row>
    <row r="523" spans="2:17" x14ac:dyDescent="0.25">
      <c r="B523" s="15"/>
      <c r="C523" s="15"/>
      <c r="D523" s="15"/>
      <c r="E523" s="15"/>
      <c r="F523" s="15"/>
      <c r="G523" s="15"/>
      <c r="H523" s="15"/>
      <c r="I523" s="15"/>
      <c r="J523" s="15"/>
      <c r="K523" s="15"/>
      <c r="L523" s="15"/>
      <c r="M523" s="15"/>
      <c r="N523" s="15"/>
      <c r="O523" s="15"/>
      <c r="P523" s="15"/>
      <c r="Q523" s="15"/>
    </row>
    <row r="524" spans="2:17" x14ac:dyDescent="0.25">
      <c r="B524" s="15"/>
      <c r="C524" s="15"/>
      <c r="D524" s="15"/>
      <c r="E524" s="15"/>
      <c r="F524" s="15"/>
      <c r="G524" s="15"/>
      <c r="H524" s="15"/>
      <c r="I524" s="15"/>
      <c r="J524" s="15"/>
      <c r="K524" s="15"/>
      <c r="L524" s="15"/>
      <c r="M524" s="15"/>
      <c r="N524" s="15"/>
      <c r="O524" s="15"/>
      <c r="P524" s="15"/>
      <c r="Q524" s="15"/>
    </row>
    <row r="525" spans="2:17" x14ac:dyDescent="0.25">
      <c r="B525" s="15"/>
      <c r="C525" s="15"/>
      <c r="D525" s="15"/>
      <c r="E525" s="15"/>
      <c r="F525" s="15"/>
      <c r="G525" s="15"/>
      <c r="H525" s="15"/>
      <c r="I525" s="15"/>
      <c r="J525" s="15"/>
      <c r="K525" s="15"/>
      <c r="L525" s="15"/>
      <c r="M525" s="15"/>
      <c r="N525" s="15"/>
      <c r="O525" s="15"/>
      <c r="P525" s="15"/>
      <c r="Q525" s="15"/>
    </row>
    <row r="526" spans="2:17" x14ac:dyDescent="0.25">
      <c r="B526" s="15"/>
      <c r="C526" s="15"/>
      <c r="D526" s="15"/>
      <c r="E526" s="15"/>
      <c r="F526" s="15"/>
      <c r="G526" s="15"/>
      <c r="H526" s="15"/>
      <c r="I526" s="15"/>
      <c r="J526" s="15"/>
      <c r="K526" s="15"/>
      <c r="L526" s="15"/>
      <c r="M526" s="15"/>
      <c r="N526" s="15"/>
      <c r="O526" s="15"/>
      <c r="P526" s="15"/>
      <c r="Q526" s="15"/>
    </row>
    <row r="527" spans="2:17" x14ac:dyDescent="0.25">
      <c r="B527" s="15"/>
      <c r="C527" s="15"/>
      <c r="D527" s="15"/>
      <c r="E527" s="15"/>
      <c r="F527" s="15"/>
      <c r="G527" s="15"/>
      <c r="H527" s="15"/>
      <c r="I527" s="15"/>
      <c r="J527" s="15"/>
      <c r="K527" s="15"/>
      <c r="L527" s="15"/>
      <c r="M527" s="15"/>
      <c r="N527" s="15"/>
      <c r="O527" s="15"/>
      <c r="P527" s="15"/>
      <c r="Q527" s="15"/>
    </row>
    <row r="528" spans="2:17" x14ac:dyDescent="0.25">
      <c r="B528" s="15"/>
      <c r="C528" s="15"/>
      <c r="D528" s="15"/>
      <c r="E528" s="15"/>
      <c r="F528" s="15"/>
      <c r="G528" s="15"/>
      <c r="H528" s="15"/>
      <c r="I528" s="15"/>
      <c r="J528" s="15"/>
      <c r="K528" s="15"/>
      <c r="L528" s="15"/>
      <c r="M528" s="15"/>
      <c r="N528" s="15"/>
      <c r="O528" s="15"/>
      <c r="P528" s="15"/>
      <c r="Q528" s="15"/>
    </row>
    <row r="529" spans="2:17" x14ac:dyDescent="0.25">
      <c r="B529" s="15"/>
      <c r="C529" s="15"/>
      <c r="D529" s="15"/>
      <c r="E529" s="15"/>
      <c r="F529" s="15"/>
      <c r="G529" s="15"/>
      <c r="H529" s="15"/>
      <c r="I529" s="15"/>
      <c r="J529" s="15"/>
      <c r="K529" s="15"/>
      <c r="L529" s="15"/>
      <c r="M529" s="15"/>
      <c r="N529" s="15"/>
      <c r="O529" s="15"/>
      <c r="P529" s="15"/>
      <c r="Q529" s="15"/>
    </row>
    <row r="530" spans="2:17" x14ac:dyDescent="0.25">
      <c r="B530" s="15"/>
      <c r="C530" s="15"/>
      <c r="D530" s="15"/>
      <c r="E530" s="15"/>
      <c r="F530" s="15"/>
      <c r="G530" s="15"/>
      <c r="H530" s="15"/>
      <c r="I530" s="15"/>
      <c r="J530" s="15"/>
      <c r="K530" s="15"/>
      <c r="L530" s="15"/>
      <c r="M530" s="15"/>
      <c r="N530" s="15"/>
      <c r="O530" s="15"/>
      <c r="P530" s="15"/>
      <c r="Q530" s="15"/>
    </row>
    <row r="531" spans="2:17" x14ac:dyDescent="0.25">
      <c r="B531" s="15"/>
      <c r="C531" s="15"/>
      <c r="D531" s="15"/>
      <c r="E531" s="15"/>
      <c r="F531" s="15"/>
      <c r="G531" s="15"/>
      <c r="H531" s="15"/>
      <c r="I531" s="15"/>
      <c r="J531" s="15"/>
      <c r="K531" s="15"/>
      <c r="L531" s="15"/>
      <c r="M531" s="15"/>
      <c r="N531" s="15"/>
      <c r="O531" s="15"/>
      <c r="P531" s="15"/>
      <c r="Q531" s="15"/>
    </row>
  </sheetData>
  <mergeCells count="2">
    <mergeCell ref="S22:T22"/>
    <mergeCell ref="U22:V22"/>
  </mergeCells>
  <phoneticPr fontId="2" type="noConversion"/>
  <pageMargins left="0.75" right="0.75" top="1" bottom="1" header="0.5" footer="0.5"/>
  <pageSetup orientation="portrait" r:id="rId1"/>
  <headerFooter alignWithMargins="0"/>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R78"/>
  <sheetViews>
    <sheetView workbookViewId="0">
      <selection activeCell="B47" sqref="B47"/>
    </sheetView>
  </sheetViews>
  <sheetFormatPr defaultColWidth="8.88671875" defaultRowHeight="13.2" x14ac:dyDescent="0.25"/>
  <cols>
    <col min="1" max="1" width="42.6640625" customWidth="1"/>
    <col min="3" max="3" width="12.44140625" bestFit="1" customWidth="1"/>
    <col min="4" max="4" width="44.88671875" customWidth="1"/>
    <col min="5" max="5" width="2.33203125" customWidth="1"/>
    <col min="6" max="6" width="25.6640625" customWidth="1"/>
    <col min="7" max="7" width="11.44140625" customWidth="1"/>
    <col min="8" max="8" width="9.88671875" customWidth="1"/>
    <col min="9" max="9" width="3.109375" customWidth="1"/>
    <col min="10" max="10" width="42.6640625" customWidth="1"/>
    <col min="11" max="11" width="12" bestFit="1" customWidth="1"/>
    <col min="12" max="12" width="12.44140625" bestFit="1" customWidth="1"/>
    <col min="13" max="13" width="43.109375" bestFit="1" customWidth="1"/>
    <col min="14" max="14" width="2.33203125" customWidth="1"/>
    <col min="15" max="15" width="25.6640625" customWidth="1"/>
    <col min="16" max="16" width="11.44140625" customWidth="1"/>
    <col min="17" max="17" width="9.88671875" customWidth="1"/>
    <col min="18" max="18" width="13" customWidth="1"/>
  </cols>
  <sheetData>
    <row r="1" spans="1:17" x14ac:dyDescent="0.25">
      <c r="A1" s="13" t="s">
        <v>818</v>
      </c>
      <c r="J1" s="1"/>
    </row>
    <row r="2" spans="1:17" x14ac:dyDescent="0.25">
      <c r="A2" s="13"/>
      <c r="J2" s="1"/>
    </row>
    <row r="3" spans="1:17" x14ac:dyDescent="0.25">
      <c r="A3" s="13" t="s">
        <v>847</v>
      </c>
      <c r="D3" s="1"/>
      <c r="J3" s="1"/>
    </row>
    <row r="4" spans="1:17" x14ac:dyDescent="0.25">
      <c r="A4" s="13" t="s">
        <v>925</v>
      </c>
      <c r="B4" s="29">
        <f>G62</f>
        <v>17.76274573818074</v>
      </c>
      <c r="C4" t="s">
        <v>87</v>
      </c>
      <c r="J4" s="1"/>
    </row>
    <row r="5" spans="1:17" x14ac:dyDescent="0.25">
      <c r="A5" s="13" t="s">
        <v>926</v>
      </c>
      <c r="B5" s="51">
        <f>G63</f>
        <v>2.7255495066833934E-3</v>
      </c>
      <c r="C5" t="str">
        <f>IF(G55="**WARNING:  Loop did not converge.** Unable to solve off-design condition. Try changing convergence criteria.", G55, " ")</f>
        <v xml:space="preserve"> </v>
      </c>
      <c r="J5" s="1"/>
    </row>
    <row r="6" spans="1:17" x14ac:dyDescent="0.25">
      <c r="A6" s="13" t="s">
        <v>927</v>
      </c>
      <c r="B6" s="51">
        <f>G64</f>
        <v>0.39493212351842372</v>
      </c>
      <c r="C6" s="1" t="s">
        <v>10</v>
      </c>
      <c r="J6" s="1"/>
    </row>
    <row r="7" spans="1:17" x14ac:dyDescent="0.25">
      <c r="A7" s="13" t="s">
        <v>928</v>
      </c>
      <c r="B7" s="29">
        <f>G65</f>
        <v>23.239313636653684</v>
      </c>
      <c r="C7" t="s">
        <v>87</v>
      </c>
      <c r="J7" s="1"/>
    </row>
    <row r="8" spans="1:17" x14ac:dyDescent="0.25">
      <c r="A8" s="13"/>
      <c r="B8" s="51"/>
      <c r="J8" s="1"/>
    </row>
    <row r="9" spans="1:17" x14ac:dyDescent="0.25">
      <c r="A9" s="1" t="s">
        <v>879</v>
      </c>
      <c r="B9" s="51"/>
      <c r="J9" s="1"/>
    </row>
    <row r="10" spans="1:17" x14ac:dyDescent="0.25">
      <c r="A10" s="1" t="s">
        <v>836</v>
      </c>
      <c r="B10" s="51"/>
      <c r="F10" s="1"/>
      <c r="J10" s="1"/>
    </row>
    <row r="11" spans="1:17" x14ac:dyDescent="0.25">
      <c r="A11" s="13"/>
      <c r="J11" s="1"/>
    </row>
    <row r="12" spans="1:17" x14ac:dyDescent="0.25">
      <c r="A12" s="57"/>
      <c r="B12" s="54"/>
      <c r="C12" s="54"/>
      <c r="D12" s="54"/>
      <c r="E12" s="54"/>
      <c r="F12" s="54"/>
      <c r="G12" s="54"/>
      <c r="H12" s="54"/>
      <c r="I12" s="54"/>
      <c r="J12" s="58"/>
      <c r="K12" s="54"/>
      <c r="L12" s="54"/>
      <c r="M12" s="54"/>
      <c r="N12" s="54"/>
      <c r="O12" s="54"/>
      <c r="P12" s="54"/>
      <c r="Q12" s="54"/>
    </row>
    <row r="13" spans="1:17" x14ac:dyDescent="0.25">
      <c r="A13" s="99" t="s">
        <v>834</v>
      </c>
      <c r="B13" s="99"/>
      <c r="C13" s="99"/>
      <c r="D13" s="99"/>
      <c r="E13" s="99"/>
      <c r="F13" s="99"/>
      <c r="G13" s="99"/>
      <c r="H13" s="99"/>
      <c r="I13" s="54"/>
      <c r="J13" s="99" t="s">
        <v>837</v>
      </c>
      <c r="K13" s="99"/>
      <c r="L13" s="99"/>
      <c r="M13" s="99"/>
      <c r="N13" s="99"/>
      <c r="O13" s="99"/>
      <c r="P13" s="99"/>
      <c r="Q13" s="99"/>
    </row>
    <row r="14" spans="1:17" x14ac:dyDescent="0.25">
      <c r="I14" s="54"/>
    </row>
    <row r="15" spans="1:17" x14ac:dyDescent="0.25">
      <c r="A15" s="99" t="s">
        <v>114</v>
      </c>
      <c r="B15" s="99"/>
      <c r="C15" s="99"/>
      <c r="D15" s="59" t="s">
        <v>840</v>
      </c>
      <c r="F15" s="99" t="s">
        <v>830</v>
      </c>
      <c r="G15" s="99"/>
      <c r="H15" s="99"/>
      <c r="I15" s="54"/>
      <c r="J15" s="99" t="s">
        <v>114</v>
      </c>
      <c r="K15" s="99"/>
      <c r="L15" s="99"/>
      <c r="M15" s="59" t="s">
        <v>840</v>
      </c>
      <c r="O15" s="99" t="s">
        <v>830</v>
      </c>
      <c r="P15" s="99"/>
      <c r="Q15" s="99"/>
    </row>
    <row r="16" spans="1:17" x14ac:dyDescent="0.25">
      <c r="A16" s="60" t="s">
        <v>61</v>
      </c>
      <c r="B16">
        <f>CD0!B2</f>
        <v>8000</v>
      </c>
      <c r="C16" t="str">
        <f>CD0!C2</f>
        <v>ft</v>
      </c>
      <c r="D16" s="1" t="s">
        <v>841</v>
      </c>
      <c r="E16" s="1" t="s">
        <v>74</v>
      </c>
      <c r="I16" s="54"/>
      <c r="J16" t="str">
        <f>A16</f>
        <v>Altitude</v>
      </c>
      <c r="K16" s="8">
        <v>0</v>
      </c>
      <c r="L16" t="str">
        <f>C16</f>
        <v>ft</v>
      </c>
      <c r="N16" s="1" t="s">
        <v>74</v>
      </c>
    </row>
    <row r="17" spans="1:17" x14ac:dyDescent="0.25">
      <c r="A17" t="str">
        <f>CD0!A3</f>
        <v>Velocity</v>
      </c>
      <c r="B17" s="29">
        <f>CD0!B4</f>
        <v>219.4153</v>
      </c>
      <c r="C17" t="str">
        <f>CD0!C4</f>
        <v>ft / sec</v>
      </c>
      <c r="D17" s="1" t="s">
        <v>841</v>
      </c>
      <c r="E17" s="1" t="s">
        <v>74</v>
      </c>
      <c r="F17" s="13" t="s">
        <v>807</v>
      </c>
      <c r="I17" s="54"/>
      <c r="J17" s="1" t="s">
        <v>7</v>
      </c>
      <c r="K17" s="42">
        <v>101</v>
      </c>
      <c r="L17" s="1" t="s">
        <v>71</v>
      </c>
      <c r="M17" s="1" t="s">
        <v>877</v>
      </c>
      <c r="N17" s="1" t="s">
        <v>74</v>
      </c>
      <c r="O17" s="13" t="s">
        <v>807</v>
      </c>
    </row>
    <row r="18" spans="1:17" x14ac:dyDescent="0.25">
      <c r="A18" s="1" t="s">
        <v>755</v>
      </c>
      <c r="B18" s="48">
        <f>stdtemp(B16)</f>
        <v>490.17055971487304</v>
      </c>
      <c r="C18" s="1" t="s">
        <v>757</v>
      </c>
      <c r="D18" s="1" t="s">
        <v>842</v>
      </c>
      <c r="E18" s="1" t="s">
        <v>74</v>
      </c>
      <c r="F18" s="1" t="s">
        <v>808</v>
      </c>
      <c r="G18" s="48">
        <f>B21*(1 + ($B$27-1)/2*$B$19^2)^(B$27/($B$27-1))</f>
        <v>1617.5123918791239</v>
      </c>
      <c r="H18" s="1" t="s">
        <v>758</v>
      </c>
      <c r="I18" s="54"/>
      <c r="K18" s="65">
        <f>K17*6076.11549/3600</f>
        <v>170.46879569166666</v>
      </c>
      <c r="L18" t="str">
        <f>C17</f>
        <v>ft / sec</v>
      </c>
      <c r="N18" s="1" t="s">
        <v>74</v>
      </c>
      <c r="O18" s="1" t="s">
        <v>808</v>
      </c>
      <c r="P18" s="48">
        <f>K23*(1 + (K29-1)/2*K21^2)^(K29/(K29-1))</f>
        <v>2148.4085199485139</v>
      </c>
      <c r="Q18" s="1" t="s">
        <v>758</v>
      </c>
    </row>
    <row r="19" spans="1:17" x14ac:dyDescent="0.25">
      <c r="A19" t="str">
        <f>CD0!A5</f>
        <v>Mach</v>
      </c>
      <c r="B19">
        <f>Vinf/stdsound(B16)</f>
        <v>0.20216592434281558</v>
      </c>
      <c r="D19" s="1" t="s">
        <v>917</v>
      </c>
      <c r="E19" s="1" t="s">
        <v>74</v>
      </c>
      <c r="F19" s="1" t="s">
        <v>809</v>
      </c>
      <c r="G19" s="48">
        <f>B18+Vinf^2/(2*B29*B26)</f>
        <v>494.17663049515687</v>
      </c>
      <c r="H19" s="1" t="s">
        <v>757</v>
      </c>
      <c r="I19" s="54"/>
      <c r="J19" s="1" t="s">
        <v>839</v>
      </c>
      <c r="K19" s="8">
        <v>41</v>
      </c>
      <c r="L19" s="1" t="s">
        <v>769</v>
      </c>
      <c r="M19" s="1" t="s">
        <v>845</v>
      </c>
      <c r="N19" s="1" t="s">
        <v>74</v>
      </c>
      <c r="O19" s="1" t="s">
        <v>809</v>
      </c>
      <c r="P19" s="48">
        <f>K20+K18^2/(2*K31*K28)</f>
        <v>562.10810184434899</v>
      </c>
      <c r="Q19" s="1" t="s">
        <v>757</v>
      </c>
    </row>
    <row r="20" spans="1:17" x14ac:dyDescent="0.25">
      <c r="A20" t="str">
        <f>CD0!A6</f>
        <v>Density</v>
      </c>
      <c r="B20">
        <f>stddens(B16)</f>
        <v>1.868460058481886E-3</v>
      </c>
      <c r="C20" t="str">
        <f>CD0!C6</f>
        <v>slugs / ft^3</v>
      </c>
      <c r="D20" s="1" t="s">
        <v>843</v>
      </c>
      <c r="E20" s="1" t="s">
        <v>74</v>
      </c>
      <c r="I20" s="54"/>
      <c r="J20" s="1" t="s">
        <v>755</v>
      </c>
      <c r="K20" s="7">
        <f>stdtemp(K16)+K19</f>
        <v>559.69000000000005</v>
      </c>
      <c r="L20" s="1" t="s">
        <v>757</v>
      </c>
      <c r="N20" s="1" t="s">
        <v>74</v>
      </c>
    </row>
    <row r="21" spans="1:17" x14ac:dyDescent="0.25">
      <c r="A21" s="1" t="s">
        <v>756</v>
      </c>
      <c r="B21" s="48">
        <f>stdpres(B16)</f>
        <v>1572.0743094631921</v>
      </c>
      <c r="C21" s="1" t="s">
        <v>758</v>
      </c>
      <c r="D21" s="1" t="s">
        <v>844</v>
      </c>
      <c r="E21" s="1" t="s">
        <v>74</v>
      </c>
      <c r="F21" s="13" t="s">
        <v>792</v>
      </c>
      <c r="I21" s="54"/>
      <c r="J21" s="1" t="s">
        <v>8</v>
      </c>
      <c r="K21" s="7">
        <f>K18/SQRT(K29*K30*K20)</f>
        <v>0.14701053555294505</v>
      </c>
      <c r="N21" s="1" t="s">
        <v>74</v>
      </c>
      <c r="O21" s="13" t="s">
        <v>792</v>
      </c>
    </row>
    <row r="22" spans="1:17" x14ac:dyDescent="0.25">
      <c r="A22" s="1" t="s">
        <v>759</v>
      </c>
      <c r="B22" s="29">
        <f>0.5*B20*B17^2</f>
        <v>44.976705313139973</v>
      </c>
      <c r="C22" s="1" t="s">
        <v>758</v>
      </c>
      <c r="E22" s="1" t="s">
        <v>74</v>
      </c>
      <c r="F22" s="1" t="s">
        <v>803</v>
      </c>
      <c r="G22" s="48">
        <f>G18*B60</f>
        <v>1617.5123918791239</v>
      </c>
      <c r="H22" s="1" t="s">
        <v>758</v>
      </c>
      <c r="I22" s="54"/>
      <c r="J22" s="1" t="s">
        <v>3</v>
      </c>
      <c r="K22" s="7">
        <f>pinf2/(K20*K30)</f>
        <v>2.2034133863896768E-3</v>
      </c>
      <c r="L22" t="str">
        <f>C20</f>
        <v>slugs / ft^3</v>
      </c>
      <c r="M22" s="1" t="s">
        <v>881</v>
      </c>
      <c r="N22" s="1" t="s">
        <v>74</v>
      </c>
      <c r="O22" s="1" t="s">
        <v>803</v>
      </c>
      <c r="P22" s="48">
        <f>P18*K60</f>
        <v>2148.4085199485139</v>
      </c>
      <c r="Q22" s="1" t="s">
        <v>758</v>
      </c>
    </row>
    <row r="23" spans="1:17" x14ac:dyDescent="0.25">
      <c r="E23" s="1" t="s">
        <v>74</v>
      </c>
      <c r="F23" s="1" t="s">
        <v>804</v>
      </c>
      <c r="G23" s="48">
        <f>G19</f>
        <v>494.17663049515687</v>
      </c>
      <c r="H23" s="1" t="s">
        <v>757</v>
      </c>
      <c r="I23" s="54"/>
      <c r="J23" s="1" t="s">
        <v>756</v>
      </c>
      <c r="K23" s="7">
        <f>stdpres(K16)</f>
        <v>2116.2199999999998</v>
      </c>
      <c r="L23" s="1" t="s">
        <v>758</v>
      </c>
      <c r="M23" s="1" t="s">
        <v>880</v>
      </c>
      <c r="N23" s="1" t="s">
        <v>74</v>
      </c>
      <c r="O23" s="1" t="s">
        <v>804</v>
      </c>
      <c r="P23" s="48">
        <f>P19</f>
        <v>562.10810184434899</v>
      </c>
      <c r="Q23" s="1" t="s">
        <v>757</v>
      </c>
    </row>
    <row r="24" spans="1:17" x14ac:dyDescent="0.25">
      <c r="A24" s="99" t="s">
        <v>760</v>
      </c>
      <c r="B24" s="99"/>
      <c r="C24" s="99"/>
      <c r="D24" s="1"/>
      <c r="E24" s="1" t="s">
        <v>74</v>
      </c>
      <c r="F24" s="1" t="s">
        <v>910</v>
      </c>
      <c r="G24">
        <f>Vinf</f>
        <v>219.4153</v>
      </c>
      <c r="H24" s="1" t="s">
        <v>820</v>
      </c>
      <c r="I24" s="54"/>
      <c r="J24" s="1" t="s">
        <v>759</v>
      </c>
      <c r="K24" s="29">
        <f>0.5*K22*K18^2</f>
        <v>32.015167174175367</v>
      </c>
      <c r="L24" s="1" t="s">
        <v>758</v>
      </c>
      <c r="N24" s="1" t="s">
        <v>74</v>
      </c>
      <c r="O24" s="1" t="s">
        <v>910</v>
      </c>
      <c r="P24">
        <f>Vinf2</f>
        <v>170.46879569166666</v>
      </c>
      <c r="Q24" s="1" t="s">
        <v>820</v>
      </c>
    </row>
    <row r="25" spans="1:17" x14ac:dyDescent="0.25">
      <c r="A25" s="1" t="s">
        <v>781</v>
      </c>
      <c r="B25" s="8">
        <v>0.24</v>
      </c>
      <c r="C25" s="1" t="s">
        <v>784</v>
      </c>
      <c r="D25" s="1" t="s">
        <v>786</v>
      </c>
      <c r="E25" s="1" t="s">
        <v>74</v>
      </c>
      <c r="I25" s="54"/>
      <c r="N25" s="1" t="s">
        <v>74</v>
      </c>
    </row>
    <row r="26" spans="1:17" x14ac:dyDescent="0.25">
      <c r="A26" s="1"/>
      <c r="B26">
        <f>B25*778.16</f>
        <v>186.75839999999999</v>
      </c>
      <c r="C26" s="1" t="s">
        <v>785</v>
      </c>
      <c r="E26" s="1" t="s">
        <v>74</v>
      </c>
      <c r="F26" s="13" t="s">
        <v>793</v>
      </c>
      <c r="I26" s="54"/>
      <c r="J26" s="99" t="s">
        <v>760</v>
      </c>
      <c r="K26" s="99"/>
      <c r="L26" s="99"/>
      <c r="M26" s="1"/>
      <c r="N26" s="1" t="s">
        <v>74</v>
      </c>
      <c r="O26" s="13" t="s">
        <v>793</v>
      </c>
    </row>
    <row r="27" spans="1:17" x14ac:dyDescent="0.25">
      <c r="A27" s="1" t="s">
        <v>782</v>
      </c>
      <c r="B27" s="8">
        <v>1.4</v>
      </c>
      <c r="E27" s="1" t="s">
        <v>74</v>
      </c>
      <c r="F27" s="1" t="s">
        <v>802</v>
      </c>
      <c r="G27" s="48">
        <f>G22*B61</f>
        <v>1617.5123918791239</v>
      </c>
      <c r="H27" s="1" t="s">
        <v>758</v>
      </c>
      <c r="I27" s="54"/>
      <c r="J27" s="1" t="s">
        <v>781</v>
      </c>
      <c r="K27" s="7">
        <f>B25</f>
        <v>0.24</v>
      </c>
      <c r="L27" s="7" t="str">
        <f>C25</f>
        <v>Btu / (lbm °R)</v>
      </c>
      <c r="M27" s="1"/>
      <c r="N27" s="1" t="s">
        <v>74</v>
      </c>
      <c r="O27" s="1" t="s">
        <v>802</v>
      </c>
      <c r="P27" s="48">
        <f>P22*K61</f>
        <v>2148.4085199485139</v>
      </c>
      <c r="Q27" s="1" t="s">
        <v>758</v>
      </c>
    </row>
    <row r="28" spans="1:17" x14ac:dyDescent="0.25">
      <c r="A28" s="1" t="s">
        <v>832</v>
      </c>
      <c r="B28" s="8">
        <v>1716</v>
      </c>
      <c r="C28" s="1" t="s">
        <v>833</v>
      </c>
      <c r="E28" s="1" t="s">
        <v>74</v>
      </c>
      <c r="F28" s="1" t="s">
        <v>801</v>
      </c>
      <c r="G28" s="48">
        <f>G23</f>
        <v>494.17663049515687</v>
      </c>
      <c r="H28" s="1" t="s">
        <v>757</v>
      </c>
      <c r="I28" s="54"/>
      <c r="J28" s="1"/>
      <c r="K28" s="7">
        <f>B26</f>
        <v>186.75839999999999</v>
      </c>
      <c r="L28" s="7" t="str">
        <f>C26</f>
        <v>ft lb / (lbm °R)</v>
      </c>
      <c r="M28" s="1"/>
      <c r="N28" s="1" t="s">
        <v>74</v>
      </c>
      <c r="O28" s="1" t="s">
        <v>801</v>
      </c>
      <c r="P28" s="48">
        <f>P23</f>
        <v>562.10810184434899</v>
      </c>
      <c r="Q28" s="1" t="s">
        <v>757</v>
      </c>
    </row>
    <row r="29" spans="1:17" x14ac:dyDescent="0.25">
      <c r="A29" s="1" t="s">
        <v>790</v>
      </c>
      <c r="B29" s="8">
        <v>32.173999999999999</v>
      </c>
      <c r="C29" s="1" t="s">
        <v>791</v>
      </c>
      <c r="E29" s="1" t="s">
        <v>74</v>
      </c>
      <c r="F29" s="1" t="s">
        <v>909</v>
      </c>
      <c r="G29">
        <f>G24*B71</f>
        <v>87.766120000000001</v>
      </c>
      <c r="H29" s="1" t="s">
        <v>820</v>
      </c>
      <c r="I29" s="54"/>
      <c r="J29" s="1" t="s">
        <v>782</v>
      </c>
      <c r="K29" s="7">
        <f>B27</f>
        <v>1.4</v>
      </c>
      <c r="L29" s="7"/>
      <c r="M29" s="1"/>
      <c r="N29" s="1" t="s">
        <v>74</v>
      </c>
      <c r="O29" s="1" t="s">
        <v>909</v>
      </c>
      <c r="P29">
        <f>P24*K69</f>
        <v>68.187518276666665</v>
      </c>
      <c r="Q29" s="1" t="s">
        <v>820</v>
      </c>
    </row>
    <row r="30" spans="1:17" x14ac:dyDescent="0.25">
      <c r="E30" s="1" t="s">
        <v>74</v>
      </c>
      <c r="F30" s="1" t="s">
        <v>912</v>
      </c>
      <c r="G30">
        <f>G28-G29^2/(2*B26*B29)</f>
        <v>493.53565917031148</v>
      </c>
      <c r="H30" s="1" t="s">
        <v>757</v>
      </c>
      <c r="I30" s="54"/>
      <c r="J30" t="str">
        <f>A28</f>
        <v xml:space="preserve">R </v>
      </c>
      <c r="K30">
        <f>B28</f>
        <v>1716</v>
      </c>
      <c r="L30" s="7" t="str">
        <f>C28</f>
        <v>ft lb / (slug °R)</v>
      </c>
      <c r="M30" s="1"/>
      <c r="N30" s="1" t="s">
        <v>74</v>
      </c>
      <c r="O30" s="1" t="s">
        <v>912</v>
      </c>
      <c r="P30">
        <f>P28-P29^2/(2*K28*K31)</f>
        <v>561.72120554925323</v>
      </c>
      <c r="Q30" s="1" t="s">
        <v>757</v>
      </c>
    </row>
    <row r="31" spans="1:17" x14ac:dyDescent="0.25">
      <c r="A31" s="99" t="s">
        <v>771</v>
      </c>
      <c r="B31" s="99"/>
      <c r="C31" s="99"/>
      <c r="E31" s="1" t="s">
        <v>74</v>
      </c>
      <c r="F31" s="1" t="s">
        <v>911</v>
      </c>
      <c r="G31">
        <f>G27/(G28/G30)^(B27/(B27-1))</f>
        <v>1610.1813142676613</v>
      </c>
      <c r="H31" s="1" t="s">
        <v>758</v>
      </c>
      <c r="I31" s="54"/>
      <c r="J31" s="1" t="s">
        <v>790</v>
      </c>
      <c r="K31" s="7">
        <f>B29</f>
        <v>32.173999999999999</v>
      </c>
      <c r="L31" s="7" t="str">
        <f>C29</f>
        <v>ft / sec^2</v>
      </c>
      <c r="M31" s="1"/>
      <c r="N31" s="1" t="s">
        <v>74</v>
      </c>
      <c r="O31" s="1" t="s">
        <v>911</v>
      </c>
      <c r="P31">
        <f>P27/(P28/P30)^(K29/(K29-1))</f>
        <v>2143.2373840568748</v>
      </c>
      <c r="Q31" s="1" t="s">
        <v>758</v>
      </c>
    </row>
    <row r="32" spans="1:17" x14ac:dyDescent="0.25">
      <c r="A32" s="1" t="s">
        <v>779</v>
      </c>
      <c r="B32" s="8">
        <v>310</v>
      </c>
      <c r="C32" s="1" t="s">
        <v>780</v>
      </c>
      <c r="D32" s="1" t="s">
        <v>788</v>
      </c>
      <c r="E32" s="1" t="s">
        <v>74</v>
      </c>
      <c r="F32" s="1" t="s">
        <v>913</v>
      </c>
      <c r="G32">
        <f>stdpresinv(G31,0.0001,B42)</f>
        <v>7371.7749719989051</v>
      </c>
      <c r="H32" s="1" t="s">
        <v>62</v>
      </c>
      <c r="I32" s="54"/>
      <c r="M32" s="1"/>
      <c r="N32" s="1" t="s">
        <v>74</v>
      </c>
      <c r="O32" s="1" t="s">
        <v>913</v>
      </c>
      <c r="P32">
        <f>stdpresinv(P31,0.0001,B42)</f>
        <v>-351.46869700273601</v>
      </c>
      <c r="Q32" s="1" t="s">
        <v>62</v>
      </c>
    </row>
    <row r="33" spans="1:18" x14ac:dyDescent="0.25">
      <c r="A33" s="1" t="s">
        <v>772</v>
      </c>
      <c r="B33" s="8">
        <v>550</v>
      </c>
      <c r="C33" s="1" t="s">
        <v>776</v>
      </c>
      <c r="D33" s="1" t="s">
        <v>787</v>
      </c>
      <c r="E33" s="1" t="s">
        <v>74</v>
      </c>
      <c r="F33" s="1" t="s">
        <v>914</v>
      </c>
      <c r="G33">
        <f>G31/(B28*G30)</f>
        <v>1.9012488394476363E-3</v>
      </c>
      <c r="H33" s="1" t="s">
        <v>777</v>
      </c>
      <c r="I33" s="54"/>
      <c r="J33" s="99" t="s">
        <v>771</v>
      </c>
      <c r="K33" s="99"/>
      <c r="L33" s="99"/>
      <c r="M33" s="1"/>
      <c r="N33" s="1" t="s">
        <v>74</v>
      </c>
      <c r="O33" s="1" t="s">
        <v>914</v>
      </c>
      <c r="P33">
        <f>P31/(K30*P30)</f>
        <v>2.2234746030474809E-3</v>
      </c>
      <c r="Q33" s="1" t="s">
        <v>777</v>
      </c>
    </row>
    <row r="34" spans="1:18" x14ac:dyDescent="0.25">
      <c r="B34">
        <f>B33/(12^3)</f>
        <v>0.31828703703703703</v>
      </c>
      <c r="C34" s="1" t="s">
        <v>775</v>
      </c>
      <c r="E34" s="1" t="s">
        <v>74</v>
      </c>
      <c r="I34" s="54"/>
      <c r="J34" s="1" t="s">
        <v>779</v>
      </c>
      <c r="K34" s="7">
        <f t="shared" ref="K34:L41" si="0">B32</f>
        <v>310</v>
      </c>
      <c r="L34" s="7" t="str">
        <f t="shared" si="0"/>
        <v>hp</v>
      </c>
      <c r="M34" s="1"/>
      <c r="N34" s="1" t="s">
        <v>74</v>
      </c>
    </row>
    <row r="35" spans="1:18" x14ac:dyDescent="0.25">
      <c r="A35" s="1" t="s">
        <v>915</v>
      </c>
      <c r="B35" s="8">
        <v>0</v>
      </c>
      <c r="C35" s="1" t="s">
        <v>62</v>
      </c>
      <c r="E35" s="1" t="s">
        <v>74</v>
      </c>
      <c r="F35" s="13" t="s">
        <v>795</v>
      </c>
      <c r="I35" s="54"/>
      <c r="J35" s="1" t="s">
        <v>772</v>
      </c>
      <c r="K35" s="7">
        <f t="shared" si="0"/>
        <v>550</v>
      </c>
      <c r="L35" s="7" t="str">
        <f t="shared" si="0"/>
        <v>in^3</v>
      </c>
      <c r="M35" s="1"/>
      <c r="N35" s="1" t="s">
        <v>74</v>
      </c>
      <c r="O35" s="13" t="s">
        <v>795</v>
      </c>
    </row>
    <row r="36" spans="1:18" x14ac:dyDescent="0.25">
      <c r="A36" s="1" t="s">
        <v>773</v>
      </c>
      <c r="B36" s="8">
        <f>44*429.9</f>
        <v>18915.599999999999</v>
      </c>
      <c r="C36" s="1" t="s">
        <v>849</v>
      </c>
      <c r="D36" s="1" t="s">
        <v>872</v>
      </c>
      <c r="E36" s="1" t="s">
        <v>74</v>
      </c>
      <c r="F36" s="1" t="s">
        <v>799</v>
      </c>
      <c r="G36" s="48">
        <f>G27*B62</f>
        <v>1585.1621440415415</v>
      </c>
      <c r="H36" s="1" t="s">
        <v>758</v>
      </c>
      <c r="I36" s="54"/>
      <c r="K36" s="7">
        <f t="shared" si="0"/>
        <v>0.31828703703703703</v>
      </c>
      <c r="L36" s="7" t="str">
        <f t="shared" si="0"/>
        <v>ft^3</v>
      </c>
      <c r="M36" s="1"/>
      <c r="N36" s="1" t="s">
        <v>74</v>
      </c>
      <c r="O36" s="1" t="s">
        <v>799</v>
      </c>
      <c r="P36" s="48">
        <f>P27*K62</f>
        <v>2116.182392149286</v>
      </c>
      <c r="Q36" s="1" t="s">
        <v>758</v>
      </c>
    </row>
    <row r="37" spans="1:18" x14ac:dyDescent="0.25">
      <c r="B37">
        <f>B36*778.16</f>
        <v>14719363.295999998</v>
      </c>
      <c r="C37" s="1" t="s">
        <v>850</v>
      </c>
      <c r="E37" s="1" t="s">
        <v>74</v>
      </c>
      <c r="F37" s="1" t="s">
        <v>800</v>
      </c>
      <c r="G37" s="48">
        <f>B54</f>
        <v>879.67000000000007</v>
      </c>
      <c r="H37" s="1" t="s">
        <v>757</v>
      </c>
      <c r="I37" s="54"/>
      <c r="J37" t="str">
        <f>A35</f>
        <v>Turbocharger Critical Altitude (if no turbocharger put 0)</v>
      </c>
      <c r="K37">
        <f t="shared" si="0"/>
        <v>0</v>
      </c>
      <c r="L37" t="str">
        <f t="shared" si="0"/>
        <v>ft</v>
      </c>
      <c r="N37" s="1" t="s">
        <v>74</v>
      </c>
      <c r="O37" s="1" t="s">
        <v>800</v>
      </c>
      <c r="P37" s="48">
        <f>K54</f>
        <v>909.67000000000007</v>
      </c>
      <c r="Q37" s="1" t="s">
        <v>757</v>
      </c>
    </row>
    <row r="38" spans="1:18" x14ac:dyDescent="0.25">
      <c r="A38" s="1" t="s">
        <v>774</v>
      </c>
      <c r="B38" s="8">
        <v>6</v>
      </c>
      <c r="C38" s="1" t="s">
        <v>778</v>
      </c>
      <c r="D38" t="s">
        <v>873</v>
      </c>
      <c r="E38" s="1" t="s">
        <v>74</v>
      </c>
      <c r="I38" s="54"/>
      <c r="J38" s="1" t="s">
        <v>773</v>
      </c>
      <c r="K38" s="7">
        <f t="shared" si="0"/>
        <v>18915.599999999999</v>
      </c>
      <c r="L38" s="7" t="str">
        <f t="shared" si="0"/>
        <v>Btu / lbm</v>
      </c>
      <c r="M38" s="1"/>
      <c r="N38" s="1" t="s">
        <v>74</v>
      </c>
    </row>
    <row r="39" spans="1:18" x14ac:dyDescent="0.25">
      <c r="A39" s="1" t="s">
        <v>828</v>
      </c>
      <c r="B39" s="8">
        <v>8</v>
      </c>
      <c r="C39" s="1" t="s">
        <v>100</v>
      </c>
      <c r="D39" s="1" t="s">
        <v>831</v>
      </c>
      <c r="E39" s="1" t="s">
        <v>74</v>
      </c>
      <c r="F39" s="1" t="s">
        <v>811</v>
      </c>
      <c r="I39" s="54"/>
      <c r="K39" s="7">
        <f t="shared" si="0"/>
        <v>14719363.295999998</v>
      </c>
      <c r="L39" s="7" t="str">
        <f t="shared" si="0"/>
        <v>ft lb / lbm</v>
      </c>
      <c r="M39" s="1"/>
      <c r="N39" s="1" t="s">
        <v>74</v>
      </c>
      <c r="O39" s="1" t="s">
        <v>811</v>
      </c>
    </row>
    <row r="40" spans="1:18" x14ac:dyDescent="0.25">
      <c r="A40" s="1" t="s">
        <v>835</v>
      </c>
      <c r="B40" s="8">
        <v>0</v>
      </c>
      <c r="E40" s="1" t="s">
        <v>74</v>
      </c>
      <c r="F40" s="1" t="s">
        <v>814</v>
      </c>
      <c r="G40" s="52">
        <f>B50*B37</f>
        <v>436674.44444799994</v>
      </c>
      <c r="H40" s="1" t="s">
        <v>770</v>
      </c>
      <c r="I40" s="54"/>
      <c r="J40" s="1" t="s">
        <v>774</v>
      </c>
      <c r="K40" s="7">
        <f t="shared" si="0"/>
        <v>6</v>
      </c>
      <c r="L40" s="7" t="str">
        <f t="shared" si="0"/>
        <v>lb / gal</v>
      </c>
      <c r="M40" s="1"/>
      <c r="N40" s="1" t="s">
        <v>74</v>
      </c>
      <c r="O40" s="1" t="s">
        <v>814</v>
      </c>
      <c r="P40" s="52">
        <f>K50*K39</f>
        <v>630829.85554285697</v>
      </c>
      <c r="Q40" s="1" t="s">
        <v>813</v>
      </c>
    </row>
    <row r="41" spans="1:18" x14ac:dyDescent="0.25">
      <c r="A41" s="1" t="s">
        <v>854</v>
      </c>
      <c r="B41" s="8">
        <v>1E-4</v>
      </c>
      <c r="C41" s="1" t="s">
        <v>851</v>
      </c>
      <c r="E41" s="1" t="s">
        <v>74</v>
      </c>
      <c r="F41" s="1" t="s">
        <v>815</v>
      </c>
      <c r="G41">
        <f>B48</f>
        <v>127875</v>
      </c>
      <c r="H41" s="1" t="s">
        <v>770</v>
      </c>
      <c r="I41" s="54"/>
      <c r="J41" s="1" t="s">
        <v>828</v>
      </c>
      <c r="K41" s="7">
        <f t="shared" si="0"/>
        <v>8</v>
      </c>
      <c r="L41" s="7" t="str">
        <f t="shared" si="0"/>
        <v>°</v>
      </c>
      <c r="M41" s="1"/>
      <c r="N41" s="1" t="s">
        <v>74</v>
      </c>
      <c r="O41" s="1" t="s">
        <v>815</v>
      </c>
      <c r="P41">
        <f>K48</f>
        <v>170500</v>
      </c>
      <c r="Q41" s="1" t="s">
        <v>770</v>
      </c>
    </row>
    <row r="42" spans="1:18" x14ac:dyDescent="0.25">
      <c r="A42" s="1" t="s">
        <v>878</v>
      </c>
      <c r="B42" s="8">
        <v>500</v>
      </c>
      <c r="E42" s="1" t="s">
        <v>74</v>
      </c>
      <c r="F42" s="1" t="s">
        <v>816</v>
      </c>
      <c r="G42" s="52">
        <f>G43*B26*(B52-B18)</f>
        <v>122332.28241053337</v>
      </c>
      <c r="H42" s="1" t="s">
        <v>770</v>
      </c>
      <c r="I42" s="54"/>
      <c r="J42" s="1" t="s">
        <v>835</v>
      </c>
      <c r="K42">
        <f>B40</f>
        <v>0</v>
      </c>
      <c r="M42" s="1"/>
      <c r="N42" s="1" t="s">
        <v>74</v>
      </c>
      <c r="O42" s="1" t="s">
        <v>816</v>
      </c>
      <c r="P42" s="52">
        <f>P43*K28*(K52-K20)</f>
        <v>154228.17634339424</v>
      </c>
      <c r="Q42" s="1" t="s">
        <v>770</v>
      </c>
    </row>
    <row r="43" spans="1:18" x14ac:dyDescent="0.25">
      <c r="E43" s="1" t="s">
        <v>74</v>
      </c>
      <c r="F43" s="1" t="s">
        <v>817</v>
      </c>
      <c r="G43" s="22">
        <f>B34*(IF(B16-B35&lt;0, stddens(0), stddens(B16-B35))*B29)*B46/2+B50</f>
        <v>0.44423863092150156</v>
      </c>
      <c r="H43" s="1" t="s">
        <v>848</v>
      </c>
      <c r="I43" s="54"/>
      <c r="N43" s="1" t="s">
        <v>74</v>
      </c>
      <c r="O43" s="1" t="s">
        <v>817</v>
      </c>
      <c r="P43" s="22">
        <f>K36*(IF(stddensinv(K22,0.00000000001,100)-K37&lt;0, stddens(0), stddens(stddensinv(K22,0.00000000001,100)-K37))*K31)*K46/2+K50</f>
        <v>0.5505517029720306</v>
      </c>
      <c r="Q43" s="1" t="s">
        <v>764</v>
      </c>
      <c r="R43" s="1"/>
    </row>
    <row r="44" spans="1:18" x14ac:dyDescent="0.25">
      <c r="A44" s="99" t="s">
        <v>761</v>
      </c>
      <c r="B44" s="99"/>
      <c r="C44" s="99"/>
      <c r="E44" s="1" t="s">
        <v>74</v>
      </c>
      <c r="F44" s="1" t="s">
        <v>812</v>
      </c>
      <c r="G44" s="52">
        <f>G40-G41-G42</f>
        <v>186467.16203746657</v>
      </c>
      <c r="H44" s="1" t="s">
        <v>770</v>
      </c>
      <c r="I44" s="54"/>
      <c r="J44" s="99" t="s">
        <v>761</v>
      </c>
      <c r="K44" s="99"/>
      <c r="L44" s="99"/>
      <c r="N44" s="1" t="s">
        <v>74</v>
      </c>
      <c r="O44" s="1" t="s">
        <v>812</v>
      </c>
      <c r="P44" s="52">
        <f>P40-P41-P42</f>
        <v>306101.67919946276</v>
      </c>
      <c r="Q44" s="1" t="s">
        <v>770</v>
      </c>
      <c r="R44" s="1"/>
    </row>
    <row r="45" spans="1:18" x14ac:dyDescent="0.25">
      <c r="A45" s="1" t="s">
        <v>765</v>
      </c>
      <c r="B45" s="8">
        <v>2600</v>
      </c>
      <c r="C45" s="1" t="s">
        <v>766</v>
      </c>
      <c r="D45" s="1" t="s">
        <v>874</v>
      </c>
      <c r="E45" s="1" t="s">
        <v>74</v>
      </c>
      <c r="I45" s="54"/>
      <c r="J45" s="1" t="s">
        <v>765</v>
      </c>
      <c r="K45" s="8">
        <v>2700</v>
      </c>
      <c r="L45" s="1" t="str">
        <f t="shared" ref="L45:L54" si="1">C45</f>
        <v>RPM</v>
      </c>
      <c r="M45" s="1" t="s">
        <v>846</v>
      </c>
      <c r="N45" s="1" t="s">
        <v>74</v>
      </c>
    </row>
    <row r="46" spans="1:18" x14ac:dyDescent="0.25">
      <c r="A46" s="1"/>
      <c r="B46">
        <f>B45/60</f>
        <v>43.333333333333336</v>
      </c>
      <c r="C46" s="1" t="s">
        <v>767</v>
      </c>
      <c r="E46" s="1" t="s">
        <v>74</v>
      </c>
      <c r="F46" s="1" t="s">
        <v>824</v>
      </c>
      <c r="G46" s="22">
        <f>G44/(B26*(G37-G19))</f>
        <v>2.5900330380874363</v>
      </c>
      <c r="H46" s="1" t="s">
        <v>848</v>
      </c>
      <c r="I46" s="54"/>
      <c r="J46" s="1"/>
      <c r="K46">
        <f>K45/60</f>
        <v>45</v>
      </c>
      <c r="L46" s="1" t="str">
        <f t="shared" si="1"/>
        <v>rev / sec</v>
      </c>
      <c r="N46" s="1" t="s">
        <v>74</v>
      </c>
      <c r="O46" s="1" t="s">
        <v>824</v>
      </c>
      <c r="P46" s="22">
        <f>P44/(K28*(P37-P19))</f>
        <v>4.7157785973821067</v>
      </c>
      <c r="Q46" s="1" t="s">
        <v>848</v>
      </c>
    </row>
    <row r="47" spans="1:18" x14ac:dyDescent="0.25">
      <c r="A47" s="1" t="s">
        <v>762</v>
      </c>
      <c r="B47" s="8">
        <f>0.75*B32</f>
        <v>232.5</v>
      </c>
      <c r="C47" s="1" t="s">
        <v>780</v>
      </c>
      <c r="D47" s="1" t="s">
        <v>874</v>
      </c>
      <c r="E47" s="1" t="s">
        <v>74</v>
      </c>
      <c r="G47" s="22">
        <f>G46/B29</f>
        <v>8.0500809289719533E-2</v>
      </c>
      <c r="H47" s="1" t="s">
        <v>821</v>
      </c>
      <c r="I47" s="54"/>
      <c r="J47" s="1" t="s">
        <v>762</v>
      </c>
      <c r="K47" s="8">
        <v>310</v>
      </c>
      <c r="L47" s="1" t="str">
        <f t="shared" si="1"/>
        <v>hp</v>
      </c>
      <c r="M47" s="1" t="s">
        <v>846</v>
      </c>
      <c r="N47" s="1" t="s">
        <v>74</v>
      </c>
      <c r="P47" s="22">
        <f>P46/K31</f>
        <v>0.14657110080754979</v>
      </c>
      <c r="Q47" s="1" t="s">
        <v>821</v>
      </c>
    </row>
    <row r="48" spans="1:18" x14ac:dyDescent="0.25">
      <c r="A48" s="1"/>
      <c r="B48" s="7">
        <f>B47*550</f>
        <v>127875</v>
      </c>
      <c r="C48" s="1" t="s">
        <v>770</v>
      </c>
      <c r="E48" s="1" t="s">
        <v>74</v>
      </c>
      <c r="I48" s="54"/>
      <c r="J48" s="1"/>
      <c r="K48" s="7">
        <f>K47*550</f>
        <v>170500</v>
      </c>
      <c r="L48" s="1" t="str">
        <f t="shared" si="1"/>
        <v>ft lb / sec</v>
      </c>
      <c r="N48" s="1" t="s">
        <v>74</v>
      </c>
    </row>
    <row r="49" spans="1:18" x14ac:dyDescent="0.25">
      <c r="A49" s="1" t="s">
        <v>754</v>
      </c>
      <c r="B49" s="8">
        <v>17.8</v>
      </c>
      <c r="C49" s="1" t="s">
        <v>763</v>
      </c>
      <c r="D49" s="1" t="s">
        <v>874</v>
      </c>
      <c r="E49" s="1" t="s">
        <v>74</v>
      </c>
      <c r="F49" s="1" t="s">
        <v>852</v>
      </c>
      <c r="G49" s="22">
        <f>IF(B40=1, G46*B57, rhoexit*Vexit*Aexit*B$29)</f>
        <v>7.6248712044198275</v>
      </c>
      <c r="H49" s="1" t="s">
        <v>848</v>
      </c>
      <c r="I49" s="54"/>
      <c r="J49" s="1" t="s">
        <v>754</v>
      </c>
      <c r="K49" s="8">
        <f>(0.3*1.2)/(0.7*1.2)*60</f>
        <v>25.714285714285712</v>
      </c>
      <c r="L49" s="1" t="str">
        <f t="shared" si="1"/>
        <v>GPH</v>
      </c>
      <c r="M49" s="1" t="s">
        <v>876</v>
      </c>
      <c r="N49" s="1" t="s">
        <v>74</v>
      </c>
      <c r="O49" s="1" t="s">
        <v>825</v>
      </c>
      <c r="P49" s="22">
        <f>P46*K57</f>
        <v>4.7157785973821067</v>
      </c>
      <c r="Q49" s="1" t="s">
        <v>848</v>
      </c>
    </row>
    <row r="50" spans="1:18" x14ac:dyDescent="0.25">
      <c r="B50">
        <f>B49/3600*B38</f>
        <v>2.9666666666666668E-2</v>
      </c>
      <c r="C50" s="1" t="s">
        <v>848</v>
      </c>
      <c r="E50" s="1" t="s">
        <v>74</v>
      </c>
      <c r="G50" s="22">
        <f>G49/B29</f>
        <v>0.23698859962764429</v>
      </c>
      <c r="H50" s="1" t="s">
        <v>821</v>
      </c>
      <c r="I50" s="54"/>
      <c r="K50">
        <f>K49/3600*K40</f>
        <v>4.2857142857142851E-2</v>
      </c>
      <c r="L50" s="1" t="str">
        <f t="shared" si="1"/>
        <v>lbm / sec</v>
      </c>
      <c r="N50" s="1" t="s">
        <v>74</v>
      </c>
      <c r="P50" s="22">
        <f>P49/K31</f>
        <v>0.14657110080754979</v>
      </c>
      <c r="Q50" s="1" t="s">
        <v>821</v>
      </c>
    </row>
    <row r="51" spans="1:18" x14ac:dyDescent="0.25">
      <c r="A51" s="1" t="s">
        <v>768</v>
      </c>
      <c r="B51" s="8">
        <v>1505</v>
      </c>
      <c r="C51" s="1" t="s">
        <v>769</v>
      </c>
      <c r="D51" s="1" t="s">
        <v>882</v>
      </c>
      <c r="E51" s="1" t="s">
        <v>74</v>
      </c>
      <c r="I51" s="54"/>
      <c r="J51" s="1" t="s">
        <v>768</v>
      </c>
      <c r="K51" s="8">
        <v>1600</v>
      </c>
      <c r="L51" s="1" t="str">
        <f t="shared" si="1"/>
        <v>°F</v>
      </c>
      <c r="M51" t="s">
        <v>882</v>
      </c>
      <c r="N51" s="1" t="s">
        <v>74</v>
      </c>
    </row>
    <row r="52" spans="1:18" x14ac:dyDescent="0.25">
      <c r="B52">
        <f>B51+459.67</f>
        <v>1964.67</v>
      </c>
      <c r="C52" s="1" t="s">
        <v>757</v>
      </c>
      <c r="E52" s="1" t="s">
        <v>74</v>
      </c>
      <c r="F52" s="13" t="s">
        <v>796</v>
      </c>
      <c r="I52" s="54"/>
      <c r="K52">
        <f>K51+459.67</f>
        <v>2059.67</v>
      </c>
      <c r="L52" s="1" t="str">
        <f t="shared" si="1"/>
        <v>°R</v>
      </c>
      <c r="N52" s="1" t="s">
        <v>74</v>
      </c>
      <c r="O52" s="13" t="s">
        <v>796</v>
      </c>
    </row>
    <row r="53" spans="1:18" x14ac:dyDescent="0.25">
      <c r="A53" s="1" t="s">
        <v>826</v>
      </c>
      <c r="B53" s="8">
        <v>420</v>
      </c>
      <c r="C53" s="1" t="s">
        <v>769</v>
      </c>
      <c r="D53" s="1" t="s">
        <v>982</v>
      </c>
      <c r="E53" s="1" t="s">
        <v>74</v>
      </c>
      <c r="F53" s="1" t="s">
        <v>798</v>
      </c>
      <c r="G53" s="48">
        <f>G36*B63</f>
        <v>1585.1621440415415</v>
      </c>
      <c r="H53" s="1" t="s">
        <v>758</v>
      </c>
      <c r="I53" s="54"/>
      <c r="J53" s="1" t="s">
        <v>826</v>
      </c>
      <c r="K53" s="8">
        <v>450</v>
      </c>
      <c r="L53" s="1" t="str">
        <f t="shared" si="1"/>
        <v>°F</v>
      </c>
      <c r="M53" t="s">
        <v>883</v>
      </c>
      <c r="N53" s="1" t="s">
        <v>74</v>
      </c>
      <c r="O53" s="1" t="s">
        <v>798</v>
      </c>
      <c r="P53" s="48">
        <f>P36*K63</f>
        <v>2116.182392149286</v>
      </c>
      <c r="Q53" s="1" t="s">
        <v>758</v>
      </c>
    </row>
    <row r="54" spans="1:18" x14ac:dyDescent="0.25">
      <c r="B54">
        <f>B53+459.67</f>
        <v>879.67000000000007</v>
      </c>
      <c r="C54" s="1" t="s">
        <v>757</v>
      </c>
      <c r="E54" s="1" t="s">
        <v>74</v>
      </c>
      <c r="F54" s="1" t="s">
        <v>805</v>
      </c>
      <c r="G54" s="48">
        <f>IF(B21+B58*B22&lt;=G53, B21+B58*B22, G53*(G56/G55)^(B27/(B27-1)))</f>
        <v>1554.0836273379362</v>
      </c>
      <c r="H54" s="60" t="s">
        <v>758</v>
      </c>
      <c r="I54" s="54"/>
      <c r="K54">
        <f>K53+459.67</f>
        <v>909.67000000000007</v>
      </c>
      <c r="L54" s="1" t="str">
        <f t="shared" si="1"/>
        <v>°R</v>
      </c>
      <c r="N54" s="1" t="s">
        <v>74</v>
      </c>
      <c r="O54" s="1" t="s">
        <v>805</v>
      </c>
      <c r="P54" s="48">
        <f xml:space="preserve"> K23+K58*K24</f>
        <v>2103.4139331303295</v>
      </c>
      <c r="Q54" s="1" t="s">
        <v>806</v>
      </c>
      <c r="R54" t="str">
        <f>IF(K23+K58*K24&lt;=P53," ","WARNING, Pressure loss to high (pi_2-3 too low) for given Cp OR Cp not low enough for given pressure loss")</f>
        <v xml:space="preserve"> </v>
      </c>
    </row>
    <row r="55" spans="1:18" ht="12.75" customHeight="1" x14ac:dyDescent="0.25">
      <c r="E55" s="1" t="s">
        <v>74</v>
      </c>
      <c r="F55" s="60" t="s">
        <v>838</v>
      </c>
      <c r="G55" s="48">
        <f>IF(B40=1, G37, Tt3iter(G37, G53, pexit, Aexit, G44, G19, B29, B28, B27, B26, B41, B42))</f>
        <v>625.12186996008268</v>
      </c>
      <c r="H55" s="1" t="s">
        <v>757</v>
      </c>
      <c r="I55" s="54"/>
      <c r="N55" s="1" t="s">
        <v>74</v>
      </c>
      <c r="O55" s="60" t="s">
        <v>838</v>
      </c>
      <c r="P55" s="48">
        <f>P37</f>
        <v>909.67000000000007</v>
      </c>
      <c r="Q55" s="1" t="s">
        <v>757</v>
      </c>
    </row>
    <row r="56" spans="1:18" ht="12.75" customHeight="1" x14ac:dyDescent="0.25">
      <c r="A56" s="99" t="s">
        <v>789</v>
      </c>
      <c r="B56" s="99"/>
      <c r="C56" s="99"/>
      <c r="E56" s="1" t="s">
        <v>74</v>
      </c>
      <c r="F56" s="1" t="s">
        <v>797</v>
      </c>
      <c r="G56" s="48">
        <f>IF(B21+B58*B22&lt;=G53, G55*(G54/G53)^(($B$27-1)/$B$27), G55-Vexit^2/(2*B26*B29))</f>
        <v>621.59533734325555</v>
      </c>
      <c r="H56" s="1" t="s">
        <v>757</v>
      </c>
      <c r="I56" s="54"/>
      <c r="J56" s="99" t="s">
        <v>789</v>
      </c>
      <c r="K56" s="99"/>
      <c r="L56" s="99"/>
      <c r="N56" s="1" t="s">
        <v>74</v>
      </c>
      <c r="O56" s="1" t="s">
        <v>797</v>
      </c>
      <c r="P56" s="48">
        <f>P55*(P54/P53)^((K29-1)/K29)</f>
        <v>908.09840982089509</v>
      </c>
      <c r="Q56" s="1" t="s">
        <v>757</v>
      </c>
    </row>
    <row r="57" spans="1:18" ht="12.75" customHeight="1" x14ac:dyDescent="0.25">
      <c r="A57" s="1" t="s">
        <v>829</v>
      </c>
      <c r="B57" s="8">
        <v>1</v>
      </c>
      <c r="D57" s="60" t="s">
        <v>906</v>
      </c>
      <c r="E57" s="1" t="s">
        <v>74</v>
      </c>
      <c r="F57" s="1" t="s">
        <v>823</v>
      </c>
      <c r="G57" s="50">
        <f>G54/B28/G56</f>
        <v>1.4569657863669112E-3</v>
      </c>
      <c r="H57" s="1" t="s">
        <v>777</v>
      </c>
      <c r="I57" s="54"/>
      <c r="J57" s="1" t="s">
        <v>829</v>
      </c>
      <c r="K57" s="8">
        <v>1</v>
      </c>
      <c r="M57" s="60" t="s">
        <v>906</v>
      </c>
      <c r="N57" s="1" t="s">
        <v>74</v>
      </c>
      <c r="O57" s="1" t="s">
        <v>823</v>
      </c>
      <c r="P57" s="50">
        <f>P54/K30/P56</f>
        <v>1.349815925279677E-3</v>
      </c>
      <c r="Q57" s="1" t="s">
        <v>777</v>
      </c>
    </row>
    <row r="58" spans="1:18" ht="12.75" customHeight="1" x14ac:dyDescent="0.25">
      <c r="A58" s="1" t="s">
        <v>783</v>
      </c>
      <c r="B58" s="8">
        <v>-0.4</v>
      </c>
      <c r="C58" t="str">
        <f>IF(B21+B58*B22&lt;=G53," ","*NOTE: Cp not being enforced!  Need lower value for input pressure loss. Enforcing minimum exit velocity instead")</f>
        <v xml:space="preserve"> </v>
      </c>
      <c r="D58" s="1" t="s">
        <v>875</v>
      </c>
      <c r="E58" s="1" t="s">
        <v>74</v>
      </c>
      <c r="I58" s="54"/>
      <c r="J58" s="1" t="s">
        <v>783</v>
      </c>
      <c r="K58" s="8">
        <v>-0.4</v>
      </c>
      <c r="L58" t="str">
        <f>IF(K23+K58*K24&lt;=P53," ","*NOTE: Need lower value for input pressure loss (increase pi_2-3) and/or a lower value for Cp")</f>
        <v xml:space="preserve"> </v>
      </c>
      <c r="M58" s="1" t="s">
        <v>875</v>
      </c>
      <c r="N58" s="1" t="s">
        <v>74</v>
      </c>
    </row>
    <row r="59" spans="1:18" x14ac:dyDescent="0.25">
      <c r="A59" s="60" t="s">
        <v>888</v>
      </c>
      <c r="E59" s="1" t="s">
        <v>74</v>
      </c>
      <c r="F59" s="1" t="s">
        <v>810</v>
      </c>
      <c r="G59" s="29">
        <f>SQRT( (G55-G56)*2*$B$29*$B$26)</f>
        <v>205.86454244781382</v>
      </c>
      <c r="H59" s="1" t="s">
        <v>820</v>
      </c>
      <c r="I59" s="54"/>
      <c r="J59" s="60" t="s">
        <v>888</v>
      </c>
      <c r="N59" s="1" t="s">
        <v>74</v>
      </c>
      <c r="O59" s="1" t="s">
        <v>810</v>
      </c>
      <c r="P59" s="29">
        <f>SQRT( (P55-P56)*2*K31*K28)</f>
        <v>137.42864103150174</v>
      </c>
      <c r="Q59" s="1" t="s">
        <v>820</v>
      </c>
    </row>
    <row r="60" spans="1:18" ht="13.8" x14ac:dyDescent="0.3">
      <c r="A60" s="60" t="s">
        <v>884</v>
      </c>
      <c r="B60" s="8">
        <v>1</v>
      </c>
      <c r="D60" t="s">
        <v>794</v>
      </c>
      <c r="E60" s="1" t="s">
        <v>74</v>
      </c>
      <c r="F60" s="1" t="s">
        <v>822</v>
      </c>
      <c r="G60" s="53">
        <f>IF(B40=1,mdot_cool/(rhoexit*Vexit),Aexit2)</f>
        <v>0.79012635828242361</v>
      </c>
      <c r="H60" s="1" t="s">
        <v>10</v>
      </c>
      <c r="I60" s="54"/>
      <c r="J60" s="60" t="s">
        <v>884</v>
      </c>
      <c r="K60" s="8">
        <v>1</v>
      </c>
      <c r="M60" t="s">
        <v>794</v>
      </c>
      <c r="N60" s="1" t="s">
        <v>74</v>
      </c>
      <c r="O60" s="1" t="s">
        <v>822</v>
      </c>
      <c r="P60" s="53">
        <f>mdot_cool2/(rhoexit2*Vexit2)</f>
        <v>0.79012635828242361</v>
      </c>
      <c r="Q60" s="1" t="s">
        <v>10</v>
      </c>
    </row>
    <row r="61" spans="1:18" ht="13.8" x14ac:dyDescent="0.3">
      <c r="A61" s="60" t="s">
        <v>885</v>
      </c>
      <c r="B61">
        <v>1</v>
      </c>
      <c r="I61" s="54"/>
      <c r="J61" s="60" t="s">
        <v>885</v>
      </c>
      <c r="K61">
        <v>1</v>
      </c>
      <c r="N61" s="1" t="s">
        <v>74</v>
      </c>
    </row>
    <row r="62" spans="1:18" ht="13.8" x14ac:dyDescent="0.3">
      <c r="A62" s="60" t="s">
        <v>886</v>
      </c>
      <c r="B62" s="8">
        <v>0.98</v>
      </c>
      <c r="D62" s="1" t="s">
        <v>794</v>
      </c>
      <c r="F62" s="13" t="s">
        <v>819</v>
      </c>
      <c r="G62" s="55">
        <f>mdot_cool*(Vinf-Vexit*COS(B39*PI()/180)) + (pinf-pexit)*(Aexit*COS(B39*PI()/180))</f>
        <v>17.76274573818074</v>
      </c>
      <c r="H62" s="13" t="s">
        <v>87</v>
      </c>
      <c r="I62" s="54"/>
      <c r="J62" s="60" t="s">
        <v>886</v>
      </c>
      <c r="K62" s="8">
        <v>0.98499999999999999</v>
      </c>
      <c r="M62" s="1" t="s">
        <v>794</v>
      </c>
      <c r="O62" s="13" t="s">
        <v>819</v>
      </c>
      <c r="P62" s="55">
        <f>mdot_cool2*(Vinf2-Vexit2*COS(K41*PI()/180)) + (pinf2-pexit2)*(Aexit2*COS(K41*PI()/180))</f>
        <v>15.058702084256797</v>
      </c>
      <c r="Q62" s="13" t="s">
        <v>87</v>
      </c>
    </row>
    <row r="63" spans="1:18" ht="13.8" x14ac:dyDescent="0.3">
      <c r="A63" s="60" t="s">
        <v>887</v>
      </c>
      <c r="B63">
        <v>1</v>
      </c>
      <c r="C63" s="1"/>
      <c r="D63" s="49"/>
      <c r="F63" s="13" t="s">
        <v>827</v>
      </c>
      <c r="G63" s="56">
        <f>G62/(qinf*CD0!Ref_Area)</f>
        <v>2.7255495066833934E-3</v>
      </c>
      <c r="I63" s="54"/>
      <c r="J63" s="60" t="s">
        <v>887</v>
      </c>
      <c r="K63">
        <v>1</v>
      </c>
      <c r="O63" s="13" t="s">
        <v>827</v>
      </c>
      <c r="P63" s="56">
        <f>P62/(qinf2*CD0!Ref_Area)</f>
        <v>3.2461111174618166E-3</v>
      </c>
    </row>
    <row r="64" spans="1:18" x14ac:dyDescent="0.25">
      <c r="F64" s="13" t="s">
        <v>853</v>
      </c>
      <c r="G64" s="13">
        <f>G62/qinf</f>
        <v>0.39493212351842372</v>
      </c>
      <c r="H64" s="13" t="s">
        <v>10</v>
      </c>
      <c r="I64" s="54"/>
      <c r="O64" s="13" t="s">
        <v>853</v>
      </c>
      <c r="P64" s="13">
        <f>P62/qinf2</f>
        <v>0.47036150092021728</v>
      </c>
      <c r="Q64" s="13" t="s">
        <v>10</v>
      </c>
    </row>
    <row r="65" spans="1:17" x14ac:dyDescent="0.25">
      <c r="A65" t="s">
        <v>919</v>
      </c>
      <c r="F65" s="13" t="s">
        <v>916</v>
      </c>
      <c r="G65" s="13">
        <f>G62/(G18/stdpres(0))</f>
        <v>23.239313636653684</v>
      </c>
      <c r="H65" s="13" t="s">
        <v>87</v>
      </c>
      <c r="I65" s="54"/>
      <c r="J65" t="s">
        <v>919</v>
      </c>
      <c r="O65" s="13" t="s">
        <v>916</v>
      </c>
      <c r="P65" s="13">
        <f>P62/(P18/stdpres(0))</f>
        <v>14.83308515528956</v>
      </c>
      <c r="Q65" s="13" t="s">
        <v>87</v>
      </c>
    </row>
    <row r="66" spans="1:17" x14ac:dyDescent="0.25">
      <c r="A66" s="60" t="s">
        <v>920</v>
      </c>
      <c r="B66">
        <f>pexit/G27</f>
        <v>0.96078622651694168</v>
      </c>
      <c r="I66" s="54"/>
      <c r="J66" s="60" t="s">
        <v>920</v>
      </c>
      <c r="K66">
        <f>pexit2/P27</f>
        <v>0.97905678254373019</v>
      </c>
      <c r="N66" t="s">
        <v>74</v>
      </c>
    </row>
    <row r="67" spans="1:17" x14ac:dyDescent="0.25">
      <c r="A67" s="1" t="s">
        <v>934</v>
      </c>
      <c r="B67">
        <f>PresRatioEst(B16,G49,G27)</f>
        <v>0.86136116640078852</v>
      </c>
      <c r="D67" s="49"/>
      <c r="E67" t="s">
        <v>74</v>
      </c>
      <c r="I67" s="54"/>
      <c r="J67" s="60" t="s">
        <v>921</v>
      </c>
      <c r="K67">
        <f>PresRatioEst(K16,P49,P27)</f>
        <v>0.97075653421500085</v>
      </c>
    </row>
    <row r="68" spans="1:17" x14ac:dyDescent="0.25">
      <c r="A68" s="1" t="s">
        <v>935</v>
      </c>
      <c r="B68" s="1">
        <f>PresRatioEst(B16,G46,G27)</f>
        <v>0.98245363526175755</v>
      </c>
      <c r="E68" t="s">
        <v>74</v>
      </c>
      <c r="I68" s="54"/>
      <c r="J68" s="60" t="s">
        <v>922</v>
      </c>
      <c r="K68">
        <f>piEst(P33/stddens(0),P49,P27,K70)</f>
        <v>0.97832216220401425</v>
      </c>
    </row>
    <row r="69" spans="1:17" x14ac:dyDescent="0.25">
      <c r="A69" s="1" t="s">
        <v>936</v>
      </c>
      <c r="B69">
        <f>piEst(G33/stddens(0),G49,G27,B72)</f>
        <v>0.92668153466872771</v>
      </c>
      <c r="E69" t="s">
        <v>74</v>
      </c>
      <c r="I69" s="54"/>
      <c r="J69" s="60" t="s">
        <v>923</v>
      </c>
      <c r="K69" s="7">
        <f>B71</f>
        <v>0.4</v>
      </c>
      <c r="M69" t="s">
        <v>918</v>
      </c>
    </row>
    <row r="70" spans="1:17" x14ac:dyDescent="0.25">
      <c r="A70" s="1" t="s">
        <v>937</v>
      </c>
      <c r="B70">
        <f>piEst(G33/stddens(0),G46,G27,B72)</f>
        <v>0.98724052971461951</v>
      </c>
      <c r="E70" s="1" t="s">
        <v>74</v>
      </c>
      <c r="I70" s="54"/>
      <c r="J70" s="60" t="s">
        <v>924</v>
      </c>
      <c r="K70">
        <f>B72</f>
        <v>6</v>
      </c>
      <c r="M70" t="s">
        <v>929</v>
      </c>
    </row>
    <row r="71" spans="1:17" x14ac:dyDescent="0.25">
      <c r="A71" s="60" t="s">
        <v>923</v>
      </c>
      <c r="B71" s="8">
        <v>0.4</v>
      </c>
      <c r="D71" t="s">
        <v>918</v>
      </c>
      <c r="E71" s="1" t="s">
        <v>74</v>
      </c>
      <c r="I71" s="54"/>
    </row>
    <row r="72" spans="1:17" x14ac:dyDescent="0.25">
      <c r="A72" s="60" t="s">
        <v>924</v>
      </c>
      <c r="B72" s="8">
        <v>6</v>
      </c>
      <c r="D72" t="s">
        <v>929</v>
      </c>
      <c r="E72" s="1" t="s">
        <v>74</v>
      </c>
      <c r="I72" s="54"/>
    </row>
    <row r="73" spans="1:17" x14ac:dyDescent="0.25">
      <c r="E73" s="1" t="s">
        <v>74</v>
      </c>
    </row>
    <row r="74" spans="1:17" x14ac:dyDescent="0.25">
      <c r="E74" s="1"/>
    </row>
    <row r="75" spans="1:17" x14ac:dyDescent="0.25">
      <c r="D75" s="68"/>
      <c r="J75" s="1"/>
    </row>
    <row r="76" spans="1:17" x14ac:dyDescent="0.25">
      <c r="J76" s="60"/>
    </row>
    <row r="77" spans="1:17" x14ac:dyDescent="0.25">
      <c r="J77" s="1"/>
      <c r="L77" s="1"/>
    </row>
    <row r="78" spans="1:17" x14ac:dyDescent="0.25">
      <c r="J78" s="1"/>
    </row>
  </sheetData>
  <mergeCells count="14">
    <mergeCell ref="J33:L33"/>
    <mergeCell ref="J26:L26"/>
    <mergeCell ref="A56:C56"/>
    <mergeCell ref="A13:H13"/>
    <mergeCell ref="J13:Q13"/>
    <mergeCell ref="J15:L15"/>
    <mergeCell ref="F15:H15"/>
    <mergeCell ref="O15:Q15"/>
    <mergeCell ref="A15:C15"/>
    <mergeCell ref="A31:C31"/>
    <mergeCell ref="A24:C24"/>
    <mergeCell ref="A44:C44"/>
    <mergeCell ref="J56:L56"/>
    <mergeCell ref="J44:L44"/>
  </mergeCells>
  <pageMargins left="0.7" right="0.7" top="0.75" bottom="0.75" header="0.3" footer="0.3"/>
  <pageSetup orientation="portrait" horizontalDpi="4294967292" verticalDpi="4294967292"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78"/>
  <sheetViews>
    <sheetView workbookViewId="0">
      <selection activeCell="P59" sqref="P59"/>
    </sheetView>
  </sheetViews>
  <sheetFormatPr defaultColWidth="8.88671875" defaultRowHeight="13.2" x14ac:dyDescent="0.25"/>
  <cols>
    <col min="1" max="1" width="44.109375" style="75" customWidth="1"/>
    <col min="2" max="2" width="8.88671875" style="75"/>
    <col min="3" max="3" width="12.44140625" style="75" bestFit="1" customWidth="1"/>
    <col min="4" max="4" width="44.88671875" style="75" customWidth="1"/>
    <col min="5" max="5" width="2.33203125" style="75" customWidth="1"/>
    <col min="6" max="6" width="25.6640625" style="75" customWidth="1"/>
    <col min="7" max="7" width="11.44140625" style="75" customWidth="1"/>
    <col min="8" max="8" width="9.88671875" style="75" customWidth="1"/>
    <col min="9" max="9" width="3.109375" style="75" customWidth="1"/>
    <col min="10" max="10" width="42.6640625" style="75" customWidth="1"/>
    <col min="11" max="11" width="12" style="75" bestFit="1" customWidth="1"/>
    <col min="12" max="12" width="12.44140625" style="75" bestFit="1" customWidth="1"/>
    <col min="13" max="13" width="43.109375" style="75" bestFit="1" customWidth="1"/>
    <col min="14" max="14" width="2.33203125" style="75" customWidth="1"/>
    <col min="15" max="15" width="25.6640625" style="75" customWidth="1"/>
    <col min="16" max="16" width="12.109375" style="75" customWidth="1"/>
    <col min="17" max="17" width="9.88671875" style="75" customWidth="1"/>
    <col min="18" max="18" width="13" style="75" customWidth="1"/>
    <col min="19" max="16384" width="8.88671875" style="75"/>
  </cols>
  <sheetData>
    <row r="1" spans="1:17" x14ac:dyDescent="0.25">
      <c r="A1" s="74" t="s">
        <v>940</v>
      </c>
      <c r="J1" s="76"/>
    </row>
    <row r="2" spans="1:17" x14ac:dyDescent="0.25">
      <c r="A2" s="74"/>
      <c r="J2" s="76"/>
    </row>
    <row r="3" spans="1:17" x14ac:dyDescent="0.25">
      <c r="A3" s="74" t="s">
        <v>847</v>
      </c>
      <c r="D3" s="76"/>
      <c r="J3" s="76"/>
    </row>
    <row r="4" spans="1:17" x14ac:dyDescent="0.25">
      <c r="A4" s="74" t="s">
        <v>925</v>
      </c>
      <c r="B4" s="77">
        <f>G57</f>
        <v>0.46387190175907628</v>
      </c>
      <c r="C4" s="75" t="s">
        <v>87</v>
      </c>
      <c r="J4" s="76"/>
    </row>
    <row r="5" spans="1:17" x14ac:dyDescent="0.25">
      <c r="A5" s="74" t="s">
        <v>926</v>
      </c>
      <c r="B5" s="78">
        <f>G58</f>
        <v>7.1177387304831625E-5</v>
      </c>
      <c r="C5" s="75" t="str">
        <f>IF(G50="**WARNING:  Loop did not converge.** Unable to solve off-design condition. Try changing convergence criteria.", G50, " ")</f>
        <v xml:space="preserve"> </v>
      </c>
      <c r="J5" s="76"/>
    </row>
    <row r="6" spans="1:17" x14ac:dyDescent="0.25">
      <c r="A6" s="74" t="s">
        <v>927</v>
      </c>
      <c r="B6" s="78">
        <f>G59</f>
        <v>1.0313603420470102E-2</v>
      </c>
      <c r="C6" s="76" t="s">
        <v>10</v>
      </c>
      <c r="J6" s="76"/>
    </row>
    <row r="7" spans="1:17" x14ac:dyDescent="0.25">
      <c r="A7" s="74" t="s">
        <v>928</v>
      </c>
      <c r="B7" s="77">
        <f>G60</f>
        <v>0.60689179314426611</v>
      </c>
      <c r="C7" s="75" t="s">
        <v>87</v>
      </c>
      <c r="J7" s="76"/>
    </row>
    <row r="8" spans="1:17" x14ac:dyDescent="0.25">
      <c r="A8" s="74"/>
      <c r="B8" s="78"/>
      <c r="J8" s="76"/>
    </row>
    <row r="9" spans="1:17" x14ac:dyDescent="0.25">
      <c r="A9" s="76" t="s">
        <v>879</v>
      </c>
      <c r="B9" s="78"/>
      <c r="J9" s="76"/>
    </row>
    <row r="10" spans="1:17" x14ac:dyDescent="0.25">
      <c r="A10" s="76" t="s">
        <v>836</v>
      </c>
      <c r="B10" s="78"/>
      <c r="F10" s="76"/>
      <c r="J10" s="76"/>
    </row>
    <row r="11" spans="1:17" x14ac:dyDescent="0.25">
      <c r="A11" s="74"/>
      <c r="J11" s="76"/>
    </row>
    <row r="12" spans="1:17" x14ac:dyDescent="0.25">
      <c r="A12" s="79"/>
      <c r="B12" s="80"/>
      <c r="C12" s="80"/>
      <c r="D12" s="80"/>
      <c r="E12" s="80"/>
      <c r="F12" s="80"/>
      <c r="G12" s="80"/>
      <c r="H12" s="80"/>
      <c r="I12" s="80"/>
      <c r="J12" s="81"/>
      <c r="K12" s="80"/>
      <c r="L12" s="80"/>
      <c r="M12" s="80"/>
      <c r="N12" s="80"/>
      <c r="O12" s="80"/>
      <c r="P12" s="80"/>
      <c r="Q12" s="80"/>
    </row>
    <row r="13" spans="1:17" x14ac:dyDescent="0.25">
      <c r="A13" s="100" t="s">
        <v>834</v>
      </c>
      <c r="B13" s="100"/>
      <c r="C13" s="100"/>
      <c r="D13" s="100"/>
      <c r="E13" s="100"/>
      <c r="F13" s="100"/>
      <c r="G13" s="100"/>
      <c r="H13" s="100"/>
      <c r="I13" s="80"/>
      <c r="J13" s="100" t="s">
        <v>837</v>
      </c>
      <c r="K13" s="100"/>
      <c r="L13" s="100"/>
      <c r="M13" s="100"/>
      <c r="N13" s="100"/>
      <c r="O13" s="100"/>
      <c r="P13" s="100"/>
      <c r="Q13" s="100"/>
    </row>
    <row r="14" spans="1:17" x14ac:dyDescent="0.25">
      <c r="I14" s="80"/>
    </row>
    <row r="15" spans="1:17" x14ac:dyDescent="0.25">
      <c r="A15" s="100" t="s">
        <v>114</v>
      </c>
      <c r="B15" s="100"/>
      <c r="C15" s="100"/>
      <c r="D15" s="82" t="s">
        <v>840</v>
      </c>
      <c r="F15" s="100" t="s">
        <v>830</v>
      </c>
      <c r="G15" s="100"/>
      <c r="H15" s="100"/>
      <c r="I15" s="80"/>
      <c r="J15" s="100" t="s">
        <v>114</v>
      </c>
      <c r="K15" s="100"/>
      <c r="L15" s="100"/>
      <c r="M15" s="82" t="s">
        <v>840</v>
      </c>
      <c r="O15" s="100" t="s">
        <v>830</v>
      </c>
      <c r="P15" s="100"/>
      <c r="Q15" s="100"/>
    </row>
    <row r="16" spans="1:17" x14ac:dyDescent="0.25">
      <c r="A16" s="76" t="s">
        <v>61</v>
      </c>
      <c r="B16" s="75">
        <f>CD0!B2</f>
        <v>8000</v>
      </c>
      <c r="C16" s="75" t="str">
        <f>CD0!C2</f>
        <v>ft</v>
      </c>
      <c r="D16" s="76" t="s">
        <v>841</v>
      </c>
      <c r="E16" s="76" t="s">
        <v>74</v>
      </c>
      <c r="I16" s="80"/>
      <c r="J16" s="75" t="str">
        <f>A16</f>
        <v>Altitude</v>
      </c>
      <c r="K16" s="83">
        <v>0</v>
      </c>
      <c r="L16" s="75" t="str">
        <f>C16</f>
        <v>ft</v>
      </c>
      <c r="N16" s="76" t="s">
        <v>74</v>
      </c>
    </row>
    <row r="17" spans="1:17" x14ac:dyDescent="0.25">
      <c r="A17" s="75" t="str">
        <f>CD0!A3</f>
        <v>Velocity</v>
      </c>
      <c r="B17" s="77">
        <f>CD0!B4</f>
        <v>219.4153</v>
      </c>
      <c r="C17" s="75" t="str">
        <f>CD0!C4</f>
        <v>ft / sec</v>
      </c>
      <c r="D17" s="76" t="s">
        <v>841</v>
      </c>
      <c r="E17" s="76" t="s">
        <v>74</v>
      </c>
      <c r="F17" s="74" t="s">
        <v>807</v>
      </c>
      <c r="I17" s="80"/>
      <c r="J17" s="76" t="s">
        <v>7</v>
      </c>
      <c r="K17" s="84">
        <f>101*6076.11549/3600</f>
        <v>170.46879569166666</v>
      </c>
      <c r="L17" s="75" t="str">
        <f>C17</f>
        <v>ft / sec</v>
      </c>
      <c r="M17" s="76" t="s">
        <v>877</v>
      </c>
      <c r="N17" s="76" t="s">
        <v>74</v>
      </c>
      <c r="O17" s="74" t="s">
        <v>807</v>
      </c>
    </row>
    <row r="18" spans="1:17" x14ac:dyDescent="0.25">
      <c r="A18" s="76" t="s">
        <v>755</v>
      </c>
      <c r="B18" s="85">
        <f>stdtemp(B16)</f>
        <v>490.17055971487304</v>
      </c>
      <c r="C18" s="76" t="s">
        <v>757</v>
      </c>
      <c r="D18" s="76" t="s">
        <v>842</v>
      </c>
      <c r="E18" s="76" t="s">
        <v>74</v>
      </c>
      <c r="F18" s="76" t="s">
        <v>808</v>
      </c>
      <c r="G18" s="85">
        <f>B21*(1 + ($B$27-1)/2*$B$19^2)^(B$27/($B$27-1))</f>
        <v>1617.5123918791239</v>
      </c>
      <c r="H18" s="76" t="s">
        <v>758</v>
      </c>
      <c r="I18" s="80"/>
      <c r="J18" s="76" t="s">
        <v>839</v>
      </c>
      <c r="K18" s="83">
        <v>41</v>
      </c>
      <c r="L18" s="76" t="s">
        <v>769</v>
      </c>
      <c r="M18" s="76" t="s">
        <v>845</v>
      </c>
      <c r="N18" s="76" t="s">
        <v>74</v>
      </c>
      <c r="O18" s="76" t="s">
        <v>808</v>
      </c>
      <c r="P18" s="85">
        <f>K22*(1 + (K28-1)/2*K20^2)^(K28/(K28-1))</f>
        <v>2148.4085199485139</v>
      </c>
      <c r="Q18" s="76" t="s">
        <v>758</v>
      </c>
    </row>
    <row r="19" spans="1:17" x14ac:dyDescent="0.25">
      <c r="A19" s="75" t="str">
        <f>CD0!A5</f>
        <v>Mach</v>
      </c>
      <c r="B19" s="75">
        <f>Vinf/stdsound(B16)</f>
        <v>0.20216592434281558</v>
      </c>
      <c r="D19" s="76" t="s">
        <v>917</v>
      </c>
      <c r="E19" s="76" t="s">
        <v>74</v>
      </c>
      <c r="F19" s="76" t="s">
        <v>809</v>
      </c>
      <c r="G19" s="85">
        <f>B18+Vinf^2/(2*B29*B26)</f>
        <v>494.17663049515687</v>
      </c>
      <c r="H19" s="76" t="s">
        <v>757</v>
      </c>
      <c r="I19" s="80"/>
      <c r="J19" s="76" t="s">
        <v>755</v>
      </c>
      <c r="K19" s="86">
        <f>stdtemp(K16)+K18</f>
        <v>559.69000000000005</v>
      </c>
      <c r="L19" s="76" t="s">
        <v>757</v>
      </c>
      <c r="N19" s="76" t="s">
        <v>74</v>
      </c>
      <c r="O19" s="76" t="s">
        <v>809</v>
      </c>
      <c r="P19" s="85">
        <f>K19+K17^2/(2*K30*K27)</f>
        <v>562.10810184434899</v>
      </c>
      <c r="Q19" s="76" t="s">
        <v>757</v>
      </c>
    </row>
    <row r="20" spans="1:17" x14ac:dyDescent="0.25">
      <c r="A20" s="75" t="str">
        <f>CD0!A6</f>
        <v>Density</v>
      </c>
      <c r="B20" s="75">
        <f>stddens(B16)</f>
        <v>1.868460058481886E-3</v>
      </c>
      <c r="C20" s="75" t="str">
        <f>CD0!C6</f>
        <v>slugs / ft^3</v>
      </c>
      <c r="D20" s="76" t="s">
        <v>843</v>
      </c>
      <c r="E20" s="76" t="s">
        <v>74</v>
      </c>
      <c r="I20" s="80"/>
      <c r="J20" s="76" t="s">
        <v>8</v>
      </c>
      <c r="K20" s="86">
        <f>K17/SQRT(K28*K29*K19)</f>
        <v>0.14701053555294505</v>
      </c>
      <c r="N20" s="76" t="s">
        <v>74</v>
      </c>
    </row>
    <row r="21" spans="1:17" x14ac:dyDescent="0.25">
      <c r="A21" s="76" t="s">
        <v>756</v>
      </c>
      <c r="B21" s="85">
        <f>stdpres(B16)</f>
        <v>1572.0743094631921</v>
      </c>
      <c r="C21" s="76" t="s">
        <v>758</v>
      </c>
      <c r="D21" s="76" t="s">
        <v>844</v>
      </c>
      <c r="E21" s="76" t="s">
        <v>74</v>
      </c>
      <c r="F21" s="74" t="s">
        <v>792</v>
      </c>
      <c r="I21" s="80"/>
      <c r="J21" s="76" t="s">
        <v>3</v>
      </c>
      <c r="K21" s="86">
        <f>pinf2/(K19*K29)</f>
        <v>2.2034133863896768E-3</v>
      </c>
      <c r="L21" s="75" t="str">
        <f>C20</f>
        <v>slugs / ft^3</v>
      </c>
      <c r="M21" s="76" t="s">
        <v>881</v>
      </c>
      <c r="N21" s="76" t="s">
        <v>74</v>
      </c>
      <c r="O21" s="74" t="s">
        <v>792</v>
      </c>
    </row>
    <row r="22" spans="1:17" x14ac:dyDescent="0.25">
      <c r="A22" s="76" t="s">
        <v>759</v>
      </c>
      <c r="B22" s="77">
        <f>0.5*B20*B17^2</f>
        <v>44.976705313139973</v>
      </c>
      <c r="C22" s="76" t="s">
        <v>758</v>
      </c>
      <c r="E22" s="76" t="s">
        <v>74</v>
      </c>
      <c r="F22" s="76" t="s">
        <v>803</v>
      </c>
      <c r="G22" s="85">
        <f>G18*B53</f>
        <v>1617.5123918791239</v>
      </c>
      <c r="H22" s="76" t="s">
        <v>758</v>
      </c>
      <c r="I22" s="80"/>
      <c r="J22" s="76" t="s">
        <v>756</v>
      </c>
      <c r="K22" s="86">
        <f>stdpres(K16)</f>
        <v>2116.2199999999998</v>
      </c>
      <c r="L22" s="76" t="s">
        <v>758</v>
      </c>
      <c r="M22" s="76" t="s">
        <v>880</v>
      </c>
      <c r="N22" s="76" t="s">
        <v>74</v>
      </c>
      <c r="O22" s="76" t="s">
        <v>803</v>
      </c>
      <c r="P22" s="85">
        <f>P18*K52</f>
        <v>2148.4085199485139</v>
      </c>
      <c r="Q22" s="76" t="s">
        <v>758</v>
      </c>
    </row>
    <row r="23" spans="1:17" x14ac:dyDescent="0.25">
      <c r="E23" s="76" t="s">
        <v>74</v>
      </c>
      <c r="F23" s="76" t="s">
        <v>804</v>
      </c>
      <c r="G23" s="85">
        <f>G19</f>
        <v>494.17663049515687</v>
      </c>
      <c r="H23" s="76" t="s">
        <v>757</v>
      </c>
      <c r="I23" s="80"/>
      <c r="J23" s="76" t="s">
        <v>759</v>
      </c>
      <c r="K23" s="77">
        <f>0.5*K21*K17^2</f>
        <v>32.015167174175367</v>
      </c>
      <c r="L23" s="76" t="s">
        <v>758</v>
      </c>
      <c r="N23" s="76" t="s">
        <v>74</v>
      </c>
      <c r="O23" s="76" t="s">
        <v>804</v>
      </c>
      <c r="P23" s="85">
        <f>P19</f>
        <v>562.10810184434899</v>
      </c>
      <c r="Q23" s="76" t="s">
        <v>757</v>
      </c>
    </row>
    <row r="24" spans="1:17" x14ac:dyDescent="0.25">
      <c r="A24" s="100" t="s">
        <v>760</v>
      </c>
      <c r="B24" s="100"/>
      <c r="C24" s="100"/>
      <c r="D24" s="76"/>
      <c r="E24" s="76" t="s">
        <v>74</v>
      </c>
      <c r="F24" s="76" t="s">
        <v>910</v>
      </c>
      <c r="G24" s="75">
        <f>Vinf</f>
        <v>219.4153</v>
      </c>
      <c r="H24" s="76" t="s">
        <v>820</v>
      </c>
      <c r="I24" s="80"/>
      <c r="N24" s="76" t="s">
        <v>74</v>
      </c>
      <c r="O24" s="76" t="s">
        <v>910</v>
      </c>
      <c r="P24" s="75">
        <f>Vinf2</f>
        <v>170.46879569166666</v>
      </c>
      <c r="Q24" s="76" t="s">
        <v>820</v>
      </c>
    </row>
    <row r="25" spans="1:17" x14ac:dyDescent="0.25">
      <c r="A25" s="76" t="s">
        <v>781</v>
      </c>
      <c r="B25" s="83">
        <v>0.24</v>
      </c>
      <c r="C25" s="76" t="s">
        <v>784</v>
      </c>
      <c r="D25" s="76" t="s">
        <v>786</v>
      </c>
      <c r="E25" s="76" t="s">
        <v>74</v>
      </c>
      <c r="I25" s="80"/>
      <c r="J25" s="100" t="s">
        <v>760</v>
      </c>
      <c r="K25" s="100"/>
      <c r="L25" s="100"/>
      <c r="M25" s="76"/>
      <c r="N25" s="76" t="s">
        <v>74</v>
      </c>
    </row>
    <row r="26" spans="1:17" x14ac:dyDescent="0.25">
      <c r="A26" s="76"/>
      <c r="B26" s="75">
        <f>B25*778.16</f>
        <v>186.75839999999999</v>
      </c>
      <c r="C26" s="76" t="s">
        <v>785</v>
      </c>
      <c r="E26" s="76" t="s">
        <v>74</v>
      </c>
      <c r="F26" s="74" t="s">
        <v>793</v>
      </c>
      <c r="I26" s="80"/>
      <c r="J26" s="76" t="s">
        <v>781</v>
      </c>
      <c r="K26" s="86">
        <f>B25</f>
        <v>0.24</v>
      </c>
      <c r="L26" s="86" t="str">
        <f>C25</f>
        <v>Btu / (lbm °R)</v>
      </c>
      <c r="M26" s="76"/>
      <c r="N26" s="76" t="s">
        <v>74</v>
      </c>
      <c r="O26" s="74" t="s">
        <v>793</v>
      </c>
    </row>
    <row r="27" spans="1:17" x14ac:dyDescent="0.25">
      <c r="A27" s="76" t="s">
        <v>782</v>
      </c>
      <c r="B27" s="83">
        <v>1.4</v>
      </c>
      <c r="E27" s="76" t="s">
        <v>74</v>
      </c>
      <c r="F27" s="76" t="s">
        <v>802</v>
      </c>
      <c r="G27" s="85">
        <f>G22*B54</f>
        <v>1617.5123918791239</v>
      </c>
      <c r="H27" s="76" t="s">
        <v>758</v>
      </c>
      <c r="I27" s="80"/>
      <c r="J27" s="76"/>
      <c r="K27" s="86">
        <f>B26</f>
        <v>186.75839999999999</v>
      </c>
      <c r="L27" s="86" t="str">
        <f t="shared" ref="L27:L30" si="0">C26</f>
        <v>ft lb / (lbm °R)</v>
      </c>
      <c r="M27" s="76"/>
      <c r="N27" s="76" t="s">
        <v>74</v>
      </c>
      <c r="O27" s="76" t="s">
        <v>802</v>
      </c>
      <c r="P27" s="85">
        <f>P22*K53</f>
        <v>2148.4085199485139</v>
      </c>
      <c r="Q27" s="76" t="s">
        <v>758</v>
      </c>
    </row>
    <row r="28" spans="1:17" x14ac:dyDescent="0.25">
      <c r="A28" s="76" t="s">
        <v>832</v>
      </c>
      <c r="B28" s="83">
        <v>1716</v>
      </c>
      <c r="C28" s="76" t="s">
        <v>833</v>
      </c>
      <c r="E28" s="76" t="s">
        <v>74</v>
      </c>
      <c r="F28" s="76" t="s">
        <v>801</v>
      </c>
      <c r="G28" s="85">
        <f>G23</f>
        <v>494.17663049515687</v>
      </c>
      <c r="H28" s="76" t="s">
        <v>757</v>
      </c>
      <c r="I28" s="80"/>
      <c r="J28" s="76" t="s">
        <v>782</v>
      </c>
      <c r="K28" s="86">
        <f>B27</f>
        <v>1.4</v>
      </c>
      <c r="L28" s="86"/>
      <c r="M28" s="76"/>
      <c r="N28" s="76" t="s">
        <v>74</v>
      </c>
      <c r="O28" s="76" t="s">
        <v>801</v>
      </c>
      <c r="P28" s="85">
        <f>P23</f>
        <v>562.10810184434899</v>
      </c>
      <c r="Q28" s="76" t="s">
        <v>757</v>
      </c>
    </row>
    <row r="29" spans="1:17" x14ac:dyDescent="0.25">
      <c r="A29" s="76" t="s">
        <v>790</v>
      </c>
      <c r="B29" s="83">
        <v>32.173999999999999</v>
      </c>
      <c r="C29" s="76" t="s">
        <v>791</v>
      </c>
      <c r="E29" s="76" t="s">
        <v>74</v>
      </c>
      <c r="F29" s="76" t="s">
        <v>909</v>
      </c>
      <c r="G29" s="75">
        <f>G24*B71</f>
        <v>0</v>
      </c>
      <c r="H29" s="76" t="s">
        <v>820</v>
      </c>
      <c r="I29" s="80"/>
      <c r="J29" s="75" t="str">
        <f>A28</f>
        <v xml:space="preserve">R </v>
      </c>
      <c r="K29" s="75">
        <f>B28</f>
        <v>1716</v>
      </c>
      <c r="L29" s="86" t="str">
        <f t="shared" si="0"/>
        <v>ft lb / (slug °R)</v>
      </c>
      <c r="M29" s="76"/>
      <c r="N29" s="76" t="s">
        <v>74</v>
      </c>
      <c r="O29" s="76" t="s">
        <v>909</v>
      </c>
      <c r="P29" s="75">
        <f>P24*K68</f>
        <v>0</v>
      </c>
      <c r="Q29" s="76" t="s">
        <v>820</v>
      </c>
    </row>
    <row r="30" spans="1:17" x14ac:dyDescent="0.25">
      <c r="E30" s="76" t="s">
        <v>74</v>
      </c>
      <c r="F30" s="76" t="s">
        <v>912</v>
      </c>
      <c r="G30" s="75">
        <f>G28-G29^2/(2*B26*B29)</f>
        <v>494.17663049515687</v>
      </c>
      <c r="H30" s="76" t="s">
        <v>757</v>
      </c>
      <c r="I30" s="80"/>
      <c r="J30" s="76" t="s">
        <v>790</v>
      </c>
      <c r="K30" s="86">
        <f>B29</f>
        <v>32.173999999999999</v>
      </c>
      <c r="L30" s="86" t="str">
        <f t="shared" si="0"/>
        <v>ft / sec^2</v>
      </c>
      <c r="M30" s="76"/>
      <c r="N30" s="76" t="s">
        <v>74</v>
      </c>
      <c r="O30" s="76" t="s">
        <v>912</v>
      </c>
      <c r="P30" s="75">
        <f>P28-P29^2/(2*K27*K30)</f>
        <v>562.10810184434899</v>
      </c>
      <c r="Q30" s="76" t="s">
        <v>757</v>
      </c>
    </row>
    <row r="31" spans="1:17" x14ac:dyDescent="0.25">
      <c r="A31" s="100" t="s">
        <v>1000</v>
      </c>
      <c r="B31" s="100"/>
      <c r="C31" s="100"/>
      <c r="E31" s="76" t="s">
        <v>74</v>
      </c>
      <c r="F31" s="76" t="s">
        <v>911</v>
      </c>
      <c r="G31" s="75">
        <f>G27/(G28/G30)^(B27/(B27-1))</f>
        <v>1617.5123918791239</v>
      </c>
      <c r="H31" s="76" t="s">
        <v>758</v>
      </c>
      <c r="I31" s="80"/>
      <c r="M31" s="76"/>
      <c r="N31" s="76" t="s">
        <v>74</v>
      </c>
      <c r="O31" s="76" t="s">
        <v>911</v>
      </c>
      <c r="P31" s="75">
        <f>P27/(P28/P30)^(K28/(K28-1))</f>
        <v>2148.4085199485139</v>
      </c>
      <c r="Q31" s="76" t="s">
        <v>758</v>
      </c>
    </row>
    <row r="32" spans="1:17" x14ac:dyDescent="0.25">
      <c r="A32" s="76" t="s">
        <v>1001</v>
      </c>
      <c r="B32" s="83"/>
      <c r="C32" s="76" t="s">
        <v>1002</v>
      </c>
      <c r="D32" s="76"/>
      <c r="E32" s="76" t="s">
        <v>74</v>
      </c>
      <c r="F32" s="76" t="s">
        <v>913</v>
      </c>
      <c r="G32" s="75">
        <f>stdpresinv(G31,0.0001,B39)</f>
        <v>7252.303995209706</v>
      </c>
      <c r="H32" s="76" t="s">
        <v>62</v>
      </c>
      <c r="I32" s="80"/>
      <c r="J32" s="100" t="s">
        <v>1000</v>
      </c>
      <c r="K32" s="100"/>
      <c r="L32" s="100"/>
      <c r="M32" s="76"/>
      <c r="N32" s="76" t="s">
        <v>74</v>
      </c>
      <c r="O32" s="76" t="s">
        <v>913</v>
      </c>
      <c r="P32" s="75">
        <f>stdpresinv(P31,0.0001,B39)</f>
        <v>-418.32912123735878</v>
      </c>
      <c r="Q32" s="76" t="s">
        <v>62</v>
      </c>
    </row>
    <row r="33" spans="1:18" x14ac:dyDescent="0.25">
      <c r="A33" s="76"/>
      <c r="B33" s="83">
        <v>310</v>
      </c>
      <c r="C33" s="76" t="s">
        <v>780</v>
      </c>
      <c r="D33" s="76"/>
      <c r="E33" s="76" t="s">
        <v>74</v>
      </c>
      <c r="F33" s="76" t="s">
        <v>914</v>
      </c>
      <c r="G33" s="75">
        <f>G31/(B28*G30)</f>
        <v>1.9074278927948744E-3</v>
      </c>
      <c r="H33" s="76" t="s">
        <v>777</v>
      </c>
      <c r="I33" s="80"/>
      <c r="J33" s="76" t="s">
        <v>1003</v>
      </c>
      <c r="K33" s="86">
        <f>B32</f>
        <v>0</v>
      </c>
      <c r="L33" s="86" t="str">
        <f>C33</f>
        <v>hp</v>
      </c>
      <c r="M33" s="76"/>
      <c r="N33" s="76" t="s">
        <v>74</v>
      </c>
      <c r="O33" s="76" t="s">
        <v>914</v>
      </c>
      <c r="P33" s="75">
        <f>P31/(K29*P30)</f>
        <v>2.2273052334210899E-3</v>
      </c>
      <c r="Q33" s="76" t="s">
        <v>777</v>
      </c>
    </row>
    <row r="34" spans="1:18" x14ac:dyDescent="0.25">
      <c r="B34" s="75">
        <f>IF(B32="",B33*550,B32*0.737562149)</f>
        <v>170500</v>
      </c>
      <c r="C34" s="76" t="s">
        <v>770</v>
      </c>
      <c r="E34" s="76" t="s">
        <v>74</v>
      </c>
      <c r="I34" s="80"/>
      <c r="J34" s="76"/>
      <c r="K34" s="86">
        <f>B33</f>
        <v>310</v>
      </c>
      <c r="L34" s="86"/>
      <c r="M34" s="76"/>
      <c r="N34" s="76" t="s">
        <v>74</v>
      </c>
    </row>
    <row r="35" spans="1:18" x14ac:dyDescent="0.25">
      <c r="A35" s="76" t="s">
        <v>1004</v>
      </c>
      <c r="B35" s="83">
        <v>0.9</v>
      </c>
      <c r="C35" s="76"/>
      <c r="E35" s="76" t="s">
        <v>74</v>
      </c>
      <c r="F35" s="74" t="s">
        <v>795</v>
      </c>
      <c r="I35" s="80"/>
      <c r="K35" s="86">
        <f t="shared" ref="K35:L36" si="1">B34</f>
        <v>170500</v>
      </c>
      <c r="L35" s="86" t="str">
        <f t="shared" si="1"/>
        <v>ft lb / sec</v>
      </c>
      <c r="M35" s="76"/>
      <c r="N35" s="76" t="s">
        <v>74</v>
      </c>
      <c r="O35" s="74" t="s">
        <v>795</v>
      </c>
    </row>
    <row r="36" spans="1:18" x14ac:dyDescent="0.25">
      <c r="A36" s="76" t="s">
        <v>828</v>
      </c>
      <c r="B36" s="83">
        <v>8</v>
      </c>
      <c r="C36" s="76" t="s">
        <v>100</v>
      </c>
      <c r="D36" s="76"/>
      <c r="E36" s="76" t="s">
        <v>74</v>
      </c>
      <c r="F36" s="76" t="s">
        <v>799</v>
      </c>
      <c r="G36" s="85">
        <f>G27*B55</f>
        <v>1585.1621440415415</v>
      </c>
      <c r="H36" s="76" t="s">
        <v>758</v>
      </c>
      <c r="I36" s="80"/>
      <c r="J36" s="75" t="str">
        <f>A35</f>
        <v>Motor + Controller Efficiency</v>
      </c>
      <c r="K36" s="75">
        <f t="shared" si="1"/>
        <v>0.9</v>
      </c>
      <c r="N36" s="76" t="s">
        <v>74</v>
      </c>
      <c r="O36" s="76" t="s">
        <v>799</v>
      </c>
      <c r="P36" s="85">
        <f>P27*K54</f>
        <v>2116.182392149286</v>
      </c>
      <c r="Q36" s="76" t="s">
        <v>758</v>
      </c>
    </row>
    <row r="37" spans="1:18" x14ac:dyDescent="0.25">
      <c r="A37" s="76" t="s">
        <v>835</v>
      </c>
      <c r="B37" s="83">
        <v>0</v>
      </c>
      <c r="E37" s="76" t="s">
        <v>74</v>
      </c>
      <c r="F37" s="76" t="s">
        <v>800</v>
      </c>
      <c r="G37" s="85">
        <f>B47+G28</f>
        <v>1093.8466304951569</v>
      </c>
      <c r="H37" s="76" t="s">
        <v>757</v>
      </c>
      <c r="I37" s="80"/>
      <c r="J37" s="76" t="s">
        <v>828</v>
      </c>
      <c r="K37" s="86">
        <f>B36</f>
        <v>8</v>
      </c>
      <c r="L37" s="86" t="str">
        <f>C36</f>
        <v>°</v>
      </c>
      <c r="M37" s="76"/>
      <c r="N37" s="76" t="s">
        <v>74</v>
      </c>
      <c r="O37" s="76" t="s">
        <v>800</v>
      </c>
      <c r="P37" s="85">
        <f>K46+P28</f>
        <v>1161.7781018443491</v>
      </c>
      <c r="Q37" s="76" t="s">
        <v>757</v>
      </c>
    </row>
    <row r="38" spans="1:18" x14ac:dyDescent="0.25">
      <c r="A38" s="76" t="s">
        <v>854</v>
      </c>
      <c r="B38" s="83">
        <v>1E-4</v>
      </c>
      <c r="C38" s="76" t="s">
        <v>851</v>
      </c>
      <c r="E38" s="76" t="s">
        <v>74</v>
      </c>
      <c r="I38" s="80"/>
      <c r="J38" s="76" t="s">
        <v>835</v>
      </c>
      <c r="K38" s="75">
        <f>B37</f>
        <v>0</v>
      </c>
      <c r="M38" s="76"/>
      <c r="N38" s="76" t="s">
        <v>74</v>
      </c>
    </row>
    <row r="39" spans="1:18" x14ac:dyDescent="0.25">
      <c r="A39" s="76" t="s">
        <v>878</v>
      </c>
      <c r="B39" s="83">
        <v>500</v>
      </c>
      <c r="D39" s="76"/>
      <c r="E39" s="76" t="s">
        <v>74</v>
      </c>
      <c r="F39" s="76" t="s">
        <v>812</v>
      </c>
      <c r="G39" s="87">
        <f>B44*(1-B35)</f>
        <v>12787.499999999996</v>
      </c>
      <c r="H39" s="76" t="s">
        <v>770</v>
      </c>
      <c r="I39" s="80"/>
      <c r="J39" s="76"/>
      <c r="K39" s="86"/>
      <c r="L39" s="86"/>
      <c r="M39" s="76"/>
      <c r="N39" s="76" t="s">
        <v>74</v>
      </c>
      <c r="O39" s="76" t="s">
        <v>812</v>
      </c>
      <c r="P39" s="87">
        <f>K43*(1-K36)</f>
        <v>17049.999999999996</v>
      </c>
      <c r="Q39" s="76" t="s">
        <v>770</v>
      </c>
    </row>
    <row r="40" spans="1:18" x14ac:dyDescent="0.25">
      <c r="E40" s="76" t="s">
        <v>74</v>
      </c>
      <c r="F40" s="76"/>
      <c r="G40" s="86"/>
      <c r="H40" s="76"/>
      <c r="I40" s="80"/>
      <c r="J40" s="100" t="s">
        <v>761</v>
      </c>
      <c r="K40" s="100"/>
      <c r="L40" s="100"/>
      <c r="N40" s="76" t="s">
        <v>74</v>
      </c>
    </row>
    <row r="41" spans="1:18" x14ac:dyDescent="0.25">
      <c r="A41" s="100" t="s">
        <v>1005</v>
      </c>
      <c r="B41" s="100"/>
      <c r="C41" s="100"/>
      <c r="E41" s="76" t="s">
        <v>74</v>
      </c>
      <c r="F41" s="76" t="s">
        <v>824</v>
      </c>
      <c r="G41" s="88">
        <f>G39/(B26*(G37-G19))</f>
        <v>0.11418082573838211</v>
      </c>
      <c r="H41" s="76" t="s">
        <v>848</v>
      </c>
      <c r="I41" s="80"/>
      <c r="J41" s="76" t="s">
        <v>1006</v>
      </c>
      <c r="K41" s="83"/>
      <c r="L41" s="76" t="str">
        <f t="shared" ref="L41:L46" si="2">C42</f>
        <v>W</v>
      </c>
      <c r="M41" s="76"/>
      <c r="N41" s="76" t="s">
        <v>74</v>
      </c>
      <c r="O41" s="76" t="s">
        <v>824</v>
      </c>
      <c r="P41" s="88">
        <f>P39/(K27*(P37-P19))</f>
        <v>0.15224110098450949</v>
      </c>
      <c r="Q41" s="76" t="s">
        <v>848</v>
      </c>
    </row>
    <row r="42" spans="1:18" x14ac:dyDescent="0.25">
      <c r="A42" s="76" t="s">
        <v>1006</v>
      </c>
      <c r="B42" s="83"/>
      <c r="C42" s="76" t="s">
        <v>1002</v>
      </c>
      <c r="E42" s="76" t="s">
        <v>74</v>
      </c>
      <c r="G42" s="88">
        <f>G41/B29</f>
        <v>3.5488539111823867E-3</v>
      </c>
      <c r="H42" s="76" t="s">
        <v>821</v>
      </c>
      <c r="I42" s="80"/>
      <c r="J42" s="76"/>
      <c r="K42" s="83">
        <v>310</v>
      </c>
      <c r="L42" s="76" t="str">
        <f t="shared" si="2"/>
        <v>hp</v>
      </c>
      <c r="N42" s="76" t="s">
        <v>74</v>
      </c>
      <c r="P42" s="88">
        <f>P41/K30</f>
        <v>4.731805214909849E-3</v>
      </c>
      <c r="Q42" s="76" t="s">
        <v>821</v>
      </c>
    </row>
    <row r="43" spans="1:18" x14ac:dyDescent="0.25">
      <c r="B43" s="83">
        <v>232.5</v>
      </c>
      <c r="C43" s="76" t="s">
        <v>780</v>
      </c>
      <c r="E43" s="76" t="s">
        <v>74</v>
      </c>
      <c r="I43" s="80"/>
      <c r="J43" s="76"/>
      <c r="K43" s="75">
        <f>IF(K41="",K42*550,K41*0.737562149)</f>
        <v>170500</v>
      </c>
      <c r="L43" s="76" t="str">
        <f t="shared" si="2"/>
        <v>ft lb / sec</v>
      </c>
      <c r="M43" s="76"/>
      <c r="N43" s="76" t="s">
        <v>74</v>
      </c>
      <c r="R43" s="76"/>
    </row>
    <row r="44" spans="1:18" x14ac:dyDescent="0.25">
      <c r="A44" s="76"/>
      <c r="B44" s="75">
        <f>IF(B42="",B43*550,B42*0.737562149)</f>
        <v>127875</v>
      </c>
      <c r="C44" s="76" t="s">
        <v>770</v>
      </c>
      <c r="E44" s="76" t="s">
        <v>74</v>
      </c>
      <c r="F44" s="76" t="s">
        <v>852</v>
      </c>
      <c r="G44" s="88">
        <f>IF(B37=1, G41*B50, rhoexit*Vexit*Aexit*B$29)</f>
        <v>0.25117612653872129</v>
      </c>
      <c r="H44" s="76" t="s">
        <v>848</v>
      </c>
      <c r="I44" s="80"/>
      <c r="J44" s="76" t="s">
        <v>1007</v>
      </c>
      <c r="K44" s="83">
        <v>60</v>
      </c>
      <c r="L44" s="76" t="str">
        <f t="shared" si="2"/>
        <v>°C</v>
      </c>
      <c r="M44" s="76" t="s">
        <v>1008</v>
      </c>
      <c r="N44" s="76" t="s">
        <v>74</v>
      </c>
      <c r="O44" s="76" t="s">
        <v>825</v>
      </c>
      <c r="P44" s="88">
        <f>P41*K49</f>
        <v>0.15224110098450949</v>
      </c>
      <c r="Q44" s="76" t="s">
        <v>848</v>
      </c>
      <c r="R44" s="76"/>
    </row>
    <row r="45" spans="1:18" x14ac:dyDescent="0.25">
      <c r="A45" s="76" t="s">
        <v>1007</v>
      </c>
      <c r="B45" s="83">
        <v>60</v>
      </c>
      <c r="C45" s="76" t="s">
        <v>1009</v>
      </c>
      <c r="D45" s="76" t="s">
        <v>1008</v>
      </c>
      <c r="E45" s="76" t="s">
        <v>74</v>
      </c>
      <c r="G45" s="88">
        <f>G44/B29</f>
        <v>7.8068044551103779E-3</v>
      </c>
      <c r="H45" s="76" t="s">
        <v>821</v>
      </c>
      <c r="I45" s="80"/>
      <c r="J45" s="76" t="s">
        <v>1010</v>
      </c>
      <c r="K45" s="83"/>
      <c r="L45" s="76" t="str">
        <f t="shared" si="2"/>
        <v>°F</v>
      </c>
      <c r="M45" s="76"/>
      <c r="N45" s="76" t="s">
        <v>74</v>
      </c>
      <c r="P45" s="88">
        <f>P44/K30</f>
        <v>4.731805214909849E-3</v>
      </c>
      <c r="Q45" s="76" t="s">
        <v>821</v>
      </c>
    </row>
    <row r="46" spans="1:18" x14ac:dyDescent="0.25">
      <c r="A46" s="76" t="s">
        <v>1010</v>
      </c>
      <c r="B46" s="83"/>
      <c r="C46" s="76" t="s">
        <v>769</v>
      </c>
      <c r="E46" s="76" t="s">
        <v>74</v>
      </c>
      <c r="I46" s="80"/>
      <c r="K46" s="75">
        <f>IF(K44="", K45+459.67, 9/5*K44+32+459.67)</f>
        <v>599.67000000000007</v>
      </c>
      <c r="L46" s="76" t="str">
        <f t="shared" si="2"/>
        <v>°R</v>
      </c>
      <c r="N46" s="76" t="s">
        <v>74</v>
      </c>
    </row>
    <row r="47" spans="1:18" x14ac:dyDescent="0.25">
      <c r="A47" s="76"/>
      <c r="B47" s="75">
        <f>IF(B45="", B46+459.67, 9/5*B45+32+459.67)</f>
        <v>599.67000000000007</v>
      </c>
      <c r="C47" s="76" t="s">
        <v>757</v>
      </c>
      <c r="D47" s="76"/>
      <c r="E47" s="76" t="s">
        <v>74</v>
      </c>
      <c r="F47" s="74" t="s">
        <v>796</v>
      </c>
      <c r="I47" s="80"/>
      <c r="J47" s="76"/>
      <c r="N47" s="76" t="s">
        <v>74</v>
      </c>
      <c r="O47" s="74" t="s">
        <v>796</v>
      </c>
    </row>
    <row r="48" spans="1:18" x14ac:dyDescent="0.25">
      <c r="E48" s="76" t="s">
        <v>74</v>
      </c>
      <c r="F48" s="76" t="s">
        <v>798</v>
      </c>
      <c r="G48" s="85">
        <f>G36*B56</f>
        <v>1585.1621440415415</v>
      </c>
      <c r="H48" s="76" t="s">
        <v>758</v>
      </c>
      <c r="I48" s="80"/>
      <c r="J48" s="100" t="s">
        <v>789</v>
      </c>
      <c r="K48" s="100"/>
      <c r="L48" s="100"/>
      <c r="N48" s="76" t="s">
        <v>74</v>
      </c>
      <c r="O48" s="76" t="s">
        <v>798</v>
      </c>
      <c r="P48" s="85">
        <f>P36*K55</f>
        <v>2116.182392149286</v>
      </c>
      <c r="Q48" s="76" t="s">
        <v>758</v>
      </c>
    </row>
    <row r="49" spans="1:18" x14ac:dyDescent="0.25">
      <c r="A49" s="100" t="s">
        <v>789</v>
      </c>
      <c r="B49" s="100"/>
      <c r="C49" s="100"/>
      <c r="E49" s="76" t="s">
        <v>74</v>
      </c>
      <c r="F49" s="76" t="s">
        <v>805</v>
      </c>
      <c r="G49" s="85">
        <f>IF(B21+B51*B22&lt;=G48, B21+B51*B22, G48*(G51/G50)^(B27/(B27-1)))</f>
        <v>1554.0836273379362</v>
      </c>
      <c r="H49" s="76" t="s">
        <v>758</v>
      </c>
      <c r="I49" s="80"/>
      <c r="J49" s="76" t="s">
        <v>829</v>
      </c>
      <c r="K49" s="83">
        <v>1</v>
      </c>
      <c r="M49" s="76" t="s">
        <v>906</v>
      </c>
      <c r="N49" s="76" t="s">
        <v>74</v>
      </c>
      <c r="O49" s="76" t="s">
        <v>805</v>
      </c>
      <c r="P49" s="85">
        <f xml:space="preserve"> K22+K50*K23</f>
        <v>2103.4139331303295</v>
      </c>
      <c r="Q49" s="76" t="s">
        <v>806</v>
      </c>
    </row>
    <row r="50" spans="1:18" x14ac:dyDescent="0.25">
      <c r="A50" s="76" t="s">
        <v>829</v>
      </c>
      <c r="B50" s="83">
        <v>1</v>
      </c>
      <c r="D50" s="76"/>
      <c r="E50" s="76" t="s">
        <v>74</v>
      </c>
      <c r="F50" s="76" t="s">
        <v>838</v>
      </c>
      <c r="G50" s="85">
        <f>IF(B37=1, G37, Tt3iter(G37, G48, pexit, Aexit, G39, G19, B29, B28, B27, B26, B38, B39))</f>
        <v>766.77744894829402</v>
      </c>
      <c r="H50" s="76" t="s">
        <v>757</v>
      </c>
      <c r="I50" s="80"/>
      <c r="J50" s="76" t="s">
        <v>783</v>
      </c>
      <c r="K50" s="83">
        <v>-0.4</v>
      </c>
      <c r="L50" s="75" t="str">
        <f>IF(K22+K50*K23&lt;=P48," ","*NOTE: Need lower value for input pressure loss (increase pi_2-3) and/or a lower value for Cp")</f>
        <v xml:space="preserve"> </v>
      </c>
      <c r="M50" s="76" t="s">
        <v>875</v>
      </c>
      <c r="N50" s="76" t="s">
        <v>74</v>
      </c>
      <c r="O50" s="76" t="s">
        <v>838</v>
      </c>
      <c r="P50" s="85">
        <f>P37</f>
        <v>1161.7781018443491</v>
      </c>
      <c r="Q50" s="76" t="s">
        <v>757</v>
      </c>
    </row>
    <row r="51" spans="1:18" x14ac:dyDescent="0.25">
      <c r="A51" s="76" t="s">
        <v>783</v>
      </c>
      <c r="B51" s="83">
        <v>-0.4</v>
      </c>
      <c r="C51" s="75" t="str">
        <f>IF(B21+B51*B22&lt;=G48," ","*NOTE: Cp not being enforced!  Need lower value for input pressure loss. Enforcing minimum exit velocity instead")</f>
        <v xml:space="preserve"> </v>
      </c>
      <c r="D51" s="76" t="s">
        <v>875</v>
      </c>
      <c r="E51" s="76" t="s">
        <v>74</v>
      </c>
      <c r="F51" s="76" t="s">
        <v>797</v>
      </c>
      <c r="G51" s="85">
        <f>IF(B21+B51*B22&lt;=G48, G50*(G49/G48)^(($B$27-1)/$B$27), G50-Vexit^2/(2*B26*B29))</f>
        <v>762.45178732372744</v>
      </c>
      <c r="H51" s="76" t="s">
        <v>757</v>
      </c>
      <c r="I51" s="80"/>
      <c r="J51" s="76" t="s">
        <v>888</v>
      </c>
      <c r="N51" s="76" t="s">
        <v>74</v>
      </c>
      <c r="O51" s="76" t="s">
        <v>797</v>
      </c>
      <c r="P51" s="85">
        <f>P50*(P49/P48)^((K28-1)/K28)</f>
        <v>1159.7709574346645</v>
      </c>
      <c r="Q51" s="76" t="s">
        <v>757</v>
      </c>
    </row>
    <row r="52" spans="1:18" ht="13.8" x14ac:dyDescent="0.3">
      <c r="A52" s="76" t="s">
        <v>888</v>
      </c>
      <c r="E52" s="76" t="s">
        <v>74</v>
      </c>
      <c r="F52" s="76" t="s">
        <v>823</v>
      </c>
      <c r="G52" s="89">
        <f>G49/B28/G51</f>
        <v>1.1878038120327692E-3</v>
      </c>
      <c r="H52" s="76" t="s">
        <v>777</v>
      </c>
      <c r="I52" s="80"/>
      <c r="J52" s="76" t="s">
        <v>884</v>
      </c>
      <c r="K52" s="83">
        <v>1</v>
      </c>
      <c r="M52" s="75" t="s">
        <v>794</v>
      </c>
      <c r="N52" s="76" t="s">
        <v>74</v>
      </c>
      <c r="O52" s="76" t="s">
        <v>823</v>
      </c>
      <c r="P52" s="89">
        <f>P49/K29/P51</f>
        <v>1.0569032509735424E-3</v>
      </c>
      <c r="Q52" s="76" t="s">
        <v>777</v>
      </c>
    </row>
    <row r="53" spans="1:18" ht="13.8" x14ac:dyDescent="0.3">
      <c r="A53" s="76" t="s">
        <v>884</v>
      </c>
      <c r="B53" s="83">
        <v>1</v>
      </c>
      <c r="D53" s="75" t="s">
        <v>794</v>
      </c>
      <c r="E53" s="76" t="s">
        <v>74</v>
      </c>
      <c r="I53" s="80"/>
      <c r="J53" s="76" t="s">
        <v>885</v>
      </c>
      <c r="K53" s="75">
        <v>1</v>
      </c>
      <c r="N53" s="76" t="s">
        <v>74</v>
      </c>
    </row>
    <row r="54" spans="1:18" ht="13.8" x14ac:dyDescent="0.3">
      <c r="A54" s="76" t="s">
        <v>885</v>
      </c>
      <c r="B54" s="75">
        <v>1</v>
      </c>
      <c r="E54" s="76" t="s">
        <v>74</v>
      </c>
      <c r="F54" s="76" t="s">
        <v>810</v>
      </c>
      <c r="G54" s="77">
        <f>SQRT( (G50-G51)*2*$B$29*$B$26)</f>
        <v>227.99948745688471</v>
      </c>
      <c r="H54" s="76" t="s">
        <v>820</v>
      </c>
      <c r="I54" s="80"/>
      <c r="J54" s="76" t="s">
        <v>886</v>
      </c>
      <c r="K54" s="83">
        <v>0.98499999999999999</v>
      </c>
      <c r="M54" s="76" t="s">
        <v>794</v>
      </c>
      <c r="N54" s="76" t="s">
        <v>74</v>
      </c>
      <c r="O54" s="76" t="s">
        <v>810</v>
      </c>
      <c r="P54" s="77">
        <f>SQRT( (P50-P51)*2*K30*K27)</f>
        <v>155.30910211803371</v>
      </c>
      <c r="Q54" s="76" t="s">
        <v>820</v>
      </c>
      <c r="R54" s="75" t="str">
        <f>IF(K22+K50*K23&lt;=P48," ","WARNING, Pressure loss to high (pi_2-3 too low) for given Cp OR Cp not low enough for given pressure loss")</f>
        <v xml:space="preserve"> </v>
      </c>
    </row>
    <row r="55" spans="1:18" ht="12.75" customHeight="1" x14ac:dyDescent="0.3">
      <c r="A55" s="76" t="s">
        <v>886</v>
      </c>
      <c r="B55" s="83">
        <v>0.98</v>
      </c>
      <c r="D55" s="76" t="s">
        <v>794</v>
      </c>
      <c r="E55" s="76" t="s">
        <v>74</v>
      </c>
      <c r="F55" s="76" t="s">
        <v>822</v>
      </c>
      <c r="G55" s="90">
        <f>IF(B37=1,mdot_cool/(rhoexit*Vexit),Aexit2)</f>
        <v>2.8826685890951678E-2</v>
      </c>
      <c r="H55" s="76" t="s">
        <v>10</v>
      </c>
      <c r="I55" s="80"/>
      <c r="J55" s="76" t="s">
        <v>887</v>
      </c>
      <c r="K55" s="75">
        <v>1</v>
      </c>
      <c r="N55" s="76" t="s">
        <v>74</v>
      </c>
      <c r="O55" s="76" t="s">
        <v>822</v>
      </c>
      <c r="P55" s="90">
        <f>mdot_cool2/(rhoexit2*Vexit2)</f>
        <v>2.8826685890951678E-2</v>
      </c>
      <c r="Q55" s="76" t="s">
        <v>10</v>
      </c>
    </row>
    <row r="56" spans="1:18" ht="12.75" customHeight="1" x14ac:dyDescent="0.3">
      <c r="A56" s="76" t="s">
        <v>887</v>
      </c>
      <c r="B56" s="75">
        <v>1</v>
      </c>
      <c r="C56" s="76"/>
      <c r="D56" s="49"/>
      <c r="E56" s="76" t="s">
        <v>74</v>
      </c>
      <c r="I56" s="80"/>
      <c r="N56" s="76" t="s">
        <v>74</v>
      </c>
    </row>
    <row r="57" spans="1:18" ht="12.75" customHeight="1" x14ac:dyDescent="0.25">
      <c r="E57" s="76" t="s">
        <v>74</v>
      </c>
      <c r="F57" s="74" t="s">
        <v>819</v>
      </c>
      <c r="G57" s="91">
        <f>mdot_cool*(Vinf-Vexit*COS(B36*PI()/180)) + (pinf-pexit)*(Aexit*COS(B36*PI()/180))</f>
        <v>0.46387190175907628</v>
      </c>
      <c r="H57" s="74" t="s">
        <v>87</v>
      </c>
      <c r="I57" s="80"/>
      <c r="N57" s="76" t="s">
        <v>74</v>
      </c>
      <c r="O57" s="74" t="s">
        <v>819</v>
      </c>
      <c r="P57" s="91">
        <f>mdot_cool2*(Vinf2-Vexit2*COS(K37*PI()/180)) + (pinf2-pexit2)*(Aexit2*COS(K37*PI()/180))</f>
        <v>0.44444850140395964</v>
      </c>
      <c r="Q57" s="74" t="s">
        <v>87</v>
      </c>
    </row>
    <row r="58" spans="1:18" ht="12.75" customHeight="1" x14ac:dyDescent="0.25">
      <c r="E58" s="76" t="s">
        <v>74</v>
      </c>
      <c r="F58" s="74" t="s">
        <v>827</v>
      </c>
      <c r="G58" s="92">
        <f>G57/(qinf*CD0!Ref_Area)</f>
        <v>7.1177387304831625E-5</v>
      </c>
      <c r="I58" s="80"/>
      <c r="N58" s="76" t="s">
        <v>74</v>
      </c>
      <c r="O58" s="74" t="s">
        <v>827</v>
      </c>
      <c r="P58" s="92">
        <f>P57/(qinf2*CD0!Ref_Area)</f>
        <v>9.5807010024784699E-5</v>
      </c>
    </row>
    <row r="59" spans="1:18" x14ac:dyDescent="0.25">
      <c r="A59" s="76"/>
      <c r="E59" s="76" t="s">
        <v>74</v>
      </c>
      <c r="F59" s="74" t="s">
        <v>853</v>
      </c>
      <c r="G59" s="74">
        <f>G57/qinf</f>
        <v>1.0313603420470102E-2</v>
      </c>
      <c r="H59" s="74" t="s">
        <v>10</v>
      </c>
      <c r="I59" s="80"/>
      <c r="N59" s="76" t="s">
        <v>74</v>
      </c>
      <c r="O59" s="74" t="s">
        <v>853</v>
      </c>
      <c r="P59" s="74">
        <f>P57/qinf2</f>
        <v>1.3882435752591304E-2</v>
      </c>
      <c r="Q59" s="74" t="s">
        <v>10</v>
      </c>
    </row>
    <row r="60" spans="1:18" x14ac:dyDescent="0.25">
      <c r="E60" s="76" t="s">
        <v>74</v>
      </c>
      <c r="F60" s="74" t="s">
        <v>916</v>
      </c>
      <c r="G60" s="74">
        <f>G57/(G18/stdpres(0))</f>
        <v>0.60689179314426611</v>
      </c>
      <c r="H60" s="74" t="s">
        <v>87</v>
      </c>
      <c r="I60" s="80"/>
      <c r="N60" s="76" t="s">
        <v>74</v>
      </c>
      <c r="O60" s="74" t="s">
        <v>916</v>
      </c>
      <c r="P60" s="74">
        <f>P57/(P18/stdpres(0))</f>
        <v>0.4377895539455538</v>
      </c>
      <c r="Q60" s="74" t="s">
        <v>87</v>
      </c>
    </row>
    <row r="61" spans="1:18" x14ac:dyDescent="0.25">
      <c r="I61" s="80"/>
      <c r="N61" s="76" t="s">
        <v>74</v>
      </c>
    </row>
    <row r="62" spans="1:18" x14ac:dyDescent="0.25">
      <c r="I62" s="80"/>
      <c r="J62" s="76"/>
    </row>
    <row r="63" spans="1:18" x14ac:dyDescent="0.25">
      <c r="I63" s="80"/>
    </row>
    <row r="64" spans="1:18" x14ac:dyDescent="0.25">
      <c r="I64" s="80"/>
    </row>
    <row r="65" spans="1:14" x14ac:dyDescent="0.25">
      <c r="I65" s="80"/>
    </row>
    <row r="66" spans="1:14" x14ac:dyDescent="0.25">
      <c r="I66" s="80"/>
      <c r="J66" s="76"/>
      <c r="N66" s="75" t="s">
        <v>74</v>
      </c>
    </row>
    <row r="67" spans="1:14" x14ac:dyDescent="0.25">
      <c r="A67" s="76"/>
      <c r="D67" s="49"/>
      <c r="E67" s="75" t="s">
        <v>74</v>
      </c>
      <c r="I67" s="80"/>
      <c r="J67" s="76"/>
    </row>
    <row r="68" spans="1:14" x14ac:dyDescent="0.25">
      <c r="A68" s="76"/>
      <c r="B68" s="76"/>
      <c r="E68" s="75" t="s">
        <v>74</v>
      </c>
      <c r="I68" s="80"/>
      <c r="J68" s="76"/>
      <c r="K68" s="86"/>
    </row>
    <row r="69" spans="1:14" x14ac:dyDescent="0.25">
      <c r="A69" s="76"/>
      <c r="E69" s="75" t="s">
        <v>74</v>
      </c>
      <c r="I69" s="80"/>
      <c r="J69" s="76"/>
    </row>
    <row r="70" spans="1:14" x14ac:dyDescent="0.25">
      <c r="A70" s="76"/>
      <c r="E70" s="76" t="s">
        <v>74</v>
      </c>
      <c r="I70" s="80"/>
    </row>
    <row r="71" spans="1:14" x14ac:dyDescent="0.25">
      <c r="A71" s="76"/>
      <c r="B71" s="86"/>
      <c r="E71" s="76" t="s">
        <v>74</v>
      </c>
      <c r="I71" s="80"/>
    </row>
    <row r="72" spans="1:14" x14ac:dyDescent="0.25">
      <c r="A72" s="76"/>
      <c r="B72" s="86"/>
      <c r="E72" s="76" t="s">
        <v>74</v>
      </c>
      <c r="I72" s="80"/>
    </row>
    <row r="73" spans="1:14" x14ac:dyDescent="0.25">
      <c r="E73" s="76" t="s">
        <v>74</v>
      </c>
    </row>
    <row r="74" spans="1:14" x14ac:dyDescent="0.25">
      <c r="E74" s="76"/>
    </row>
    <row r="75" spans="1:14" x14ac:dyDescent="0.25">
      <c r="D75" s="93"/>
      <c r="J75" s="76"/>
    </row>
    <row r="76" spans="1:14" x14ac:dyDescent="0.25">
      <c r="J76" s="76"/>
    </row>
    <row r="77" spans="1:14" x14ac:dyDescent="0.25">
      <c r="J77" s="76"/>
      <c r="L77" s="76"/>
    </row>
    <row r="78" spans="1:14" x14ac:dyDescent="0.25">
      <c r="J78" s="76"/>
    </row>
  </sheetData>
  <mergeCells count="14">
    <mergeCell ref="J48:L48"/>
    <mergeCell ref="A49:C49"/>
    <mergeCell ref="A24:C24"/>
    <mergeCell ref="J25:L25"/>
    <mergeCell ref="A31:C31"/>
    <mergeCell ref="J32:L32"/>
    <mergeCell ref="J40:L40"/>
    <mergeCell ref="A41:C41"/>
    <mergeCell ref="A13:H13"/>
    <mergeCell ref="J13:Q13"/>
    <mergeCell ref="A15:C15"/>
    <mergeCell ref="F15:H15"/>
    <mergeCell ref="J15:L15"/>
    <mergeCell ref="O15:Q15"/>
  </mergeCells>
  <pageMargins left="0.7" right="0.7" top="0.75" bottom="0.75" header="0.3" footer="0.3"/>
  <pageSetup orientation="portrait" horizontalDpi="4294967292" verticalDpi="4294967292"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Z108"/>
  <sheetViews>
    <sheetView topLeftCell="F1" workbookViewId="0">
      <selection activeCell="N8" sqref="N8:O9"/>
    </sheetView>
  </sheetViews>
  <sheetFormatPr defaultColWidth="8.88671875" defaultRowHeight="13.2" x14ac:dyDescent="0.25"/>
  <cols>
    <col min="1" max="1" width="20.44140625" bestFit="1" customWidth="1"/>
    <col min="2" max="2" width="11.33203125" bestFit="1" customWidth="1"/>
    <col min="3" max="4" width="9.44140625" bestFit="1" customWidth="1"/>
    <col min="5" max="5" width="18.6640625" bestFit="1" customWidth="1"/>
    <col min="6" max="6" width="9.44140625" bestFit="1" customWidth="1"/>
    <col min="7" max="7" width="11.44140625" bestFit="1" customWidth="1"/>
    <col min="8" max="8" width="9.44140625" bestFit="1" customWidth="1"/>
    <col min="9" max="9" width="19.44140625" customWidth="1"/>
    <col min="10" max="10" width="10.88671875" bestFit="1" customWidth="1"/>
    <col min="11" max="11" width="14.44140625" customWidth="1"/>
    <col min="12" max="12" width="13" customWidth="1"/>
    <col min="13" max="13" width="18.88671875" customWidth="1"/>
    <col min="14" max="16" width="9.44140625" bestFit="1" customWidth="1"/>
    <col min="17" max="17" width="15.33203125" bestFit="1" customWidth="1"/>
    <col min="18" max="18" width="15.33203125" customWidth="1"/>
    <col min="19" max="19" width="2.109375" customWidth="1"/>
    <col min="20" max="20" width="13.33203125" bestFit="1" customWidth="1"/>
    <col min="21" max="21" width="14.6640625" bestFit="1" customWidth="1"/>
    <col min="22" max="23" width="27.44140625" bestFit="1" customWidth="1"/>
    <col min="24" max="24" width="2.44140625" customWidth="1"/>
    <col min="25" max="25" width="22.6640625" bestFit="1" customWidth="1"/>
    <col min="26" max="26" width="27.88671875" bestFit="1" customWidth="1"/>
  </cols>
  <sheetData>
    <row r="1" spans="1:26" x14ac:dyDescent="0.25">
      <c r="A1" s="99" t="s">
        <v>115</v>
      </c>
      <c r="B1" s="99"/>
      <c r="C1" s="99"/>
      <c r="E1" s="99" t="s">
        <v>114</v>
      </c>
      <c r="F1" s="99"/>
      <c r="G1" s="99"/>
      <c r="I1" s="99" t="s">
        <v>857</v>
      </c>
      <c r="J1" s="99"/>
      <c r="K1" s="99"/>
      <c r="M1" s="99" t="s">
        <v>988</v>
      </c>
      <c r="N1" s="99"/>
      <c r="O1" s="99"/>
    </row>
    <row r="2" spans="1:26" x14ac:dyDescent="0.25">
      <c r="A2" s="1" t="s">
        <v>0</v>
      </c>
      <c r="B2" s="29">
        <f>CD0!Ref_Area</f>
        <v>144.9</v>
      </c>
      <c r="C2" t="str">
        <f>CD0!C12</f>
        <v>ft^2</v>
      </c>
      <c r="E2" s="1" t="s">
        <v>61</v>
      </c>
      <c r="F2">
        <f>CD0!B2</f>
        <v>8000</v>
      </c>
      <c r="G2" t="str">
        <f>CD0!C2</f>
        <v>ft</v>
      </c>
      <c r="J2" s="1" t="s">
        <v>95</v>
      </c>
      <c r="K2" s="1" t="s">
        <v>867</v>
      </c>
      <c r="L2" s="1"/>
      <c r="M2" s="1" t="s">
        <v>984</v>
      </c>
      <c r="N2">
        <f>Q50</f>
        <v>17.498375641614604</v>
      </c>
    </row>
    <row r="3" spans="1:26" x14ac:dyDescent="0.25">
      <c r="A3" s="1" t="s">
        <v>22</v>
      </c>
      <c r="B3" s="29">
        <f>CD0!B13</f>
        <v>3.8943059999999998</v>
      </c>
      <c r="C3" s="1" t="s">
        <v>62</v>
      </c>
      <c r="E3" t="s">
        <v>8</v>
      </c>
      <c r="F3">
        <f>CD0!Mach</f>
        <v>0.20216592434281558</v>
      </c>
      <c r="I3" s="1" t="s">
        <v>858</v>
      </c>
      <c r="J3" s="51">
        <f ca="1">INDIRECT(CONCATENATE("P",(MATCH($F$6,C12:C47,1)+ROW(C12)-1)+1)) - (INDIRECT(CONCATENATE("P",(MATCH($F$6,C12:C47,1)+ROW(C12)-1)+1))-INDIRECT(CONCATENATE("P",(MATCH($F$6,C12:C47,1)+ROW(C12)-1)))) / (INDIRECT(CONCATENATE("C",(MATCH($F$6,C12:C47,1)+ROW(C12)-1)+1))-INDIRECT(CONCATENATE("C",(MATCH($F$6,C12:C47,1)+ROW(C12)-1)))) * (INDIRECT(CONCATENATE("C",(MATCH($F$6,C12:C47,1)+ROW(C12)-1)+1)) - $F$6)</f>
        <v>3.1051813056744502E-2</v>
      </c>
      <c r="K3" s="3">
        <f ca="1">J3/$J$3</f>
        <v>1</v>
      </c>
      <c r="M3" s="1" t="s">
        <v>985</v>
      </c>
      <c r="N3">
        <f ca="1">INDIRECT(CONCATENATE("C",MATCH(N2,Q12:Q47,0)+ROW(Q11)))</f>
        <v>0.92276499999999995</v>
      </c>
    </row>
    <row r="4" spans="1:26" x14ac:dyDescent="0.25">
      <c r="A4" s="1" t="s">
        <v>938</v>
      </c>
      <c r="B4" s="9">
        <v>0</v>
      </c>
      <c r="C4" s="1" t="s">
        <v>941</v>
      </c>
      <c r="E4" s="1" t="s">
        <v>7</v>
      </c>
      <c r="F4" s="29">
        <f>CD0!B3</f>
        <v>130</v>
      </c>
      <c r="G4" t="str">
        <f>CD0!C3</f>
        <v>knots</v>
      </c>
      <c r="I4" s="1" t="s">
        <v>855</v>
      </c>
      <c r="J4" s="51">
        <f ca="1">INDIRECT(CONCATENATE("D",(MATCH($F$6,C12:C47,1)+ROW(C12)-1)+1)) - (INDIRECT(CONCATENATE("D",(MATCH($F$6,C12:C47,1)+ROW(C12)-1)+1))-INDIRECT(CONCATENATE("D",(MATCH($F$6,C12:C47,1)+ROW(C12)-1)))) / (INDIRECT(CONCATENATE("C",(MATCH($F$6,C12:C47,1)+ROW(C12)-1)+1))-INDIRECT(CONCATENATE("C",(MATCH($F$6,C12:C47,1)+ROW(C12)-1)))) * (INDIRECT(CONCATENATE("C",(MATCH($F$6,C12:C47,1)+ROW(C12)-1)+1)) - $F$6)</f>
        <v>8.4960091707219874E-3</v>
      </c>
      <c r="K4" s="61">
        <f ca="1">J4/$J$3</f>
        <v>0.27360750740049433</v>
      </c>
      <c r="M4" s="1" t="s">
        <v>986</v>
      </c>
      <c r="N4" t="e">
        <f ca="1">SQRT(2*Weight/(stddens(F2)*S*N3))</f>
        <v>#NAME?</v>
      </c>
      <c r="O4" s="1" t="s">
        <v>987</v>
      </c>
    </row>
    <row r="5" spans="1:26" x14ac:dyDescent="0.25">
      <c r="A5" s="1" t="s">
        <v>916</v>
      </c>
      <c r="B5" s="29">
        <f>IF(B4=1,CoolingDrag_Electric!B7,CoolingDrag_IC!B7)</f>
        <v>23.239313636653684</v>
      </c>
      <c r="C5" s="1" t="s">
        <v>87</v>
      </c>
      <c r="E5" s="1" t="s">
        <v>116</v>
      </c>
      <c r="F5" s="29">
        <f>0.5*CD0!Den*CD0!Vel^2</f>
        <v>44.976705313139973</v>
      </c>
      <c r="G5" s="1" t="s">
        <v>86</v>
      </c>
      <c r="I5" s="1" t="s">
        <v>856</v>
      </c>
      <c r="J5" s="51">
        <f ca="1">INDIRECT(CONCATENATE("E",(MATCH($F$6,C12:C47,1)+ROW(C12)-1)+1)) - (INDIRECT(CONCATENATE("E",(MATCH($F$6,C12:C47,1)+ROW(C12)-1)+1))-INDIRECT(CONCATENATE("E",(MATCH($F$6,C12:C47,1)+ROW(C12)-1)))) / (INDIRECT(CONCATENATE("C",(MATCH($F$6,C12:C47,1)+ROW(C12)-1)+1))-INDIRECT(CONCATENATE("C",(MATCH($F$6,C12:C47,1)+ROW(C12)-1)))) * (INDIRECT(CONCATENATE("C",(MATCH($F$6,C12:C47,1)+ROW(C12)-1)+1)) - $F$6)</f>
        <v>5.1500414532651365E-3</v>
      </c>
      <c r="K5" s="61">
        <f ca="1">J5/$J$3</f>
        <v>0.16585316431777691</v>
      </c>
      <c r="N5" t="e">
        <f ca="1">N4/1.68781</f>
        <v>#NAME?</v>
      </c>
      <c r="O5" s="1" t="s">
        <v>71</v>
      </c>
    </row>
    <row r="6" spans="1:26" x14ac:dyDescent="0.25">
      <c r="A6" s="7" t="s">
        <v>20</v>
      </c>
      <c r="B6" s="9">
        <v>3400</v>
      </c>
      <c r="C6" s="7" t="s">
        <v>87</v>
      </c>
      <c r="E6" s="1" t="s">
        <v>512</v>
      </c>
      <c r="F6">
        <f>B6/(F5*B2)</f>
        <v>0.52170246983857627</v>
      </c>
      <c r="I6" s="1" t="s">
        <v>19</v>
      </c>
      <c r="J6" s="51">
        <f ca="1">INDIRECT(CONCATENATE("N",(MATCH($F$6,C12:C47,1)+ROW(C12)-1)+1)) - (INDIRECT(CONCATENATE("N",(MATCH($F$6,C12:C47,1)+ROW(C12)-1)+1))-INDIRECT(CONCATENATE("N",(MATCH($F$6,C12:C47,1)+ROW(C12)-1)))) / (INDIRECT(CONCATENATE("C",(MATCH($F$6,C12:C47,1)+ROW(C12)-1)+1))-INDIRECT(CONCATENATE("C",(MATCH($F$6,C12:C47,1)+ROW(C12)-1)))) * (INDIRECT(CONCATENATE("C",(MATCH($F$6,C12:C47,1)+ROW(C12)-1)+1)) - $F$6)</f>
        <v>1.4679773889911315E-2</v>
      </c>
      <c r="K6" s="61">
        <f ca="1">J6/$J$3</f>
        <v>0.47275094253225403</v>
      </c>
      <c r="M6" s="1"/>
      <c r="O6" s="1"/>
    </row>
    <row r="7" spans="1:26" x14ac:dyDescent="0.25">
      <c r="A7" s="7" t="s">
        <v>945</v>
      </c>
      <c r="B7" s="9">
        <v>1.0329999999999999</v>
      </c>
      <c r="C7" s="7" t="s">
        <v>62</v>
      </c>
      <c r="E7" s="1" t="s">
        <v>989</v>
      </c>
      <c r="F7">
        <f ca="1">INDIRECT(CONCATENATE("Q",(MATCH($F$6,C12:C47,1)+ROW(C12)-1)+1)) - (INDIRECT(CONCATENATE("Q",(MATCH($F$6,C12:C47,1)+ROW(C12)-1)+1))-INDIRECT(CONCATENATE("Q",(MATCH($F$6,C12:C47,1)+ROW(C12)-1)))) / (INDIRECT(CONCATENATE("C",(MATCH($F$6,C12:C47,1)+ROW(C12)-1)+1))-INDIRECT(CONCATENATE("C",(MATCH($F$6,C12:C47,1)+ROW(C12)-1)))) * (INDIRECT(CONCATENATE("C",(MATCH($F$6,C12:C47,1)+ROW(C12)-1)+1)) - $F$6)</f>
        <v>16.796558561751773</v>
      </c>
      <c r="I7" s="1" t="s">
        <v>18</v>
      </c>
      <c r="J7" s="51">
        <f ca="1">INDIRECT(CONCATENATE("O",(MATCH($F$6,C12:C47,1)+ROW(C12)-1)+1)) - (INDIRECT(CONCATENATE("O",(MATCH($F$6,C12:C47,1)+ROW(C12)-1)+1))-INDIRECT(CONCATENATE("O",(MATCH($F$6,C12:C47,1)+ROW(C12)-1)))) / (INDIRECT(CONCATENATE("C",(MATCH($F$6,C12:C47,1)+ROW(C12)-1)+1))-INDIRECT(CONCATENATE("C",(MATCH($F$6,C12:C47,1)+ROW(C12)-1)))) * (INDIRECT(CONCATENATE("C",(MATCH($F$6,C12:C47,1)+ROW(C12)-1)+1)) - $F$6)</f>
        <v>2.725549506683393E-3</v>
      </c>
      <c r="K7" s="61">
        <f ca="1">J7/$J$3</f>
        <v>8.7774246924090624E-2</v>
      </c>
    </row>
    <row r="8" spans="1:26" x14ac:dyDescent="0.25">
      <c r="A8" s="7" t="s">
        <v>897</v>
      </c>
      <c r="B8" s="9">
        <v>1.5</v>
      </c>
      <c r="I8" s="1" t="s">
        <v>871</v>
      </c>
    </row>
    <row r="9" spans="1:26" x14ac:dyDescent="0.25">
      <c r="I9" s="1"/>
    </row>
    <row r="10" spans="1:26" x14ac:dyDescent="0.25">
      <c r="B10" s="99" t="s">
        <v>161</v>
      </c>
      <c r="C10" s="99"/>
      <c r="D10" s="99"/>
      <c r="E10" s="99"/>
      <c r="F10" s="99"/>
      <c r="G10" s="99"/>
      <c r="H10" s="99"/>
      <c r="I10" s="99"/>
      <c r="J10" s="99"/>
      <c r="K10" s="99"/>
      <c r="L10" s="99"/>
      <c r="M10" s="99"/>
      <c r="V10" s="13" t="s">
        <v>94</v>
      </c>
      <c r="W10" s="13" t="s">
        <v>103</v>
      </c>
    </row>
    <row r="11" spans="1:26" x14ac:dyDescent="0.25">
      <c r="B11" s="38" t="s">
        <v>128</v>
      </c>
      <c r="C11" s="32" t="s">
        <v>118</v>
      </c>
      <c r="D11" s="32" t="s">
        <v>149</v>
      </c>
      <c r="E11" s="32" t="s">
        <v>150</v>
      </c>
      <c r="F11" s="32" t="s">
        <v>151</v>
      </c>
      <c r="G11" s="32" t="s">
        <v>152</v>
      </c>
      <c r="H11" s="32" t="s">
        <v>153</v>
      </c>
      <c r="I11" s="32" t="s">
        <v>154</v>
      </c>
      <c r="J11" s="32" t="s">
        <v>155</v>
      </c>
      <c r="K11" s="32" t="s">
        <v>156</v>
      </c>
      <c r="L11" s="32" t="s">
        <v>157</v>
      </c>
      <c r="M11" s="32" t="s">
        <v>158</v>
      </c>
      <c r="N11" s="13" t="s">
        <v>19</v>
      </c>
      <c r="O11" s="13" t="s">
        <v>18</v>
      </c>
      <c r="P11" s="13" t="s">
        <v>93</v>
      </c>
      <c r="Q11" s="13" t="s">
        <v>91</v>
      </c>
      <c r="R11" s="13" t="s">
        <v>983</v>
      </c>
      <c r="S11" s="13"/>
      <c r="T11" s="13" t="s">
        <v>862</v>
      </c>
      <c r="U11" s="13" t="s">
        <v>863</v>
      </c>
      <c r="V11" s="13" t="s">
        <v>864</v>
      </c>
      <c r="W11" s="13" t="s">
        <v>864</v>
      </c>
      <c r="Y11" s="13" t="s">
        <v>865</v>
      </c>
      <c r="Z11" s="13" t="s">
        <v>866</v>
      </c>
    </row>
    <row r="12" spans="1:26" x14ac:dyDescent="0.25">
      <c r="B12" s="9">
        <v>-2.5</v>
      </c>
      <c r="C12" s="9">
        <v>-9.9982000000000001E-2</v>
      </c>
      <c r="D12" s="9">
        <v>1.0189999999999999E-3</v>
      </c>
      <c r="E12" s="9">
        <v>7.5950000000000002E-3</v>
      </c>
      <c r="F12" s="9">
        <v>8.6140000000000001E-3</v>
      </c>
      <c r="G12" s="9">
        <v>0</v>
      </c>
      <c r="H12" s="9">
        <v>0.131526</v>
      </c>
      <c r="I12" s="9">
        <v>0</v>
      </c>
      <c r="J12" s="9">
        <v>0</v>
      </c>
      <c r="K12" s="9">
        <v>0</v>
      </c>
      <c r="L12" s="9">
        <v>92.601299999999995</v>
      </c>
      <c r="M12" s="9">
        <v>1.9132</v>
      </c>
      <c r="N12">
        <f>CD0!$B$64-$E$49</f>
        <v>1.4679773889911315E-2</v>
      </c>
      <c r="O12" s="69">
        <f>$B$5/($F$5*S) * (stdpres($F$2)*(1+(CoolingDrag_IC!$B$27-1)/2*$F$3^2)^(CoolingDrag_IC!$B$27/(CoolingDrag_IC!$B$27-1))/stdpres(0))</f>
        <v>2.725549506683393E-3</v>
      </c>
      <c r="P12">
        <f t="shared" ref="P12:P23" si="0">F12+N12+O12</f>
        <v>2.6019323396594709E-2</v>
      </c>
      <c r="Q12">
        <f t="shared" ref="Q12:Q23" si="1">C12/P12</f>
        <v>-3.8426056848613208</v>
      </c>
      <c r="R12">
        <f>IF(C12&lt;0,0,C12^(3/2)/P12)</f>
        <v>0</v>
      </c>
      <c r="T12">
        <f t="shared" ref="T12:T23" si="2">$K$57+C12^2/(PI()*$M$57*$L$57)-$N$57*C12</f>
        <v>2.2811160289377325E-2</v>
      </c>
      <c r="U12">
        <f t="shared" ref="U12:U23" si="3">C12/T12</f>
        <v>-4.3830300051225146</v>
      </c>
      <c r="V12">
        <f t="shared" ref="V12:V23" si="4">(T12-P12)/P12*100</f>
        <v>-12.329925180288331</v>
      </c>
      <c r="W12">
        <f t="shared" ref="W12:W23" si="5">(P12-T12)^2</f>
        <v>1.0292310522510702E-5</v>
      </c>
      <c r="Y12">
        <f>$K$80*B12+$L$80</f>
        <v>-0.1003</v>
      </c>
      <c r="Z12">
        <f>$K$103*B12+$L$103</f>
        <v>0.123552</v>
      </c>
    </row>
    <row r="13" spans="1:26" x14ac:dyDescent="0.25">
      <c r="B13" s="9">
        <v>-2</v>
      </c>
      <c r="C13" s="9">
        <v>-5.1019000000000002E-2</v>
      </c>
      <c r="D13" s="9">
        <v>6.8099999999999996E-4</v>
      </c>
      <c r="E13" s="9">
        <v>7.3790000000000001E-3</v>
      </c>
      <c r="F13" s="9">
        <v>8.0599999999999995E-3</v>
      </c>
      <c r="G13" s="9">
        <v>0</v>
      </c>
      <c r="H13" s="9">
        <v>0.11279599999999999</v>
      </c>
      <c r="I13" s="9">
        <v>0</v>
      </c>
      <c r="J13" s="9">
        <v>0</v>
      </c>
      <c r="K13" s="9">
        <v>0</v>
      </c>
      <c r="L13" s="9">
        <v>92.601299999999995</v>
      </c>
      <c r="M13" s="9">
        <v>3.0076000000000001</v>
      </c>
      <c r="N13">
        <f>CD0!$B$64-$E$49</f>
        <v>1.4679773889911315E-2</v>
      </c>
      <c r="O13" s="69">
        <f>$B$5/($F$5*S) * (stdpres($F$2)*(1+(CoolingDrag_IC!$B$27-1)/2*$F$3^2)^(CoolingDrag_IC!$B$27/(CoolingDrag_IC!$B$27-1))/stdpres(0))</f>
        <v>2.725549506683393E-3</v>
      </c>
      <c r="P13">
        <f t="shared" si="0"/>
        <v>2.546532339659471E-2</v>
      </c>
      <c r="Q13">
        <f t="shared" si="1"/>
        <v>-2.003469549765168</v>
      </c>
      <c r="R13">
        <f t="shared" ref="R13:R47" si="6">IF(C13&lt;0,0,C13^(3/2)/P13)</f>
        <v>0</v>
      </c>
      <c r="T13">
        <f t="shared" si="2"/>
        <v>2.2093206945901538E-2</v>
      </c>
      <c r="U13">
        <f t="shared" si="3"/>
        <v>-2.3092618525199855</v>
      </c>
      <c r="V13">
        <f t="shared" si="4"/>
        <v>-13.241993428381516</v>
      </c>
      <c r="W13">
        <f t="shared" si="5"/>
        <v>1.1371169357035513E-5</v>
      </c>
      <c r="Y13">
        <f t="shared" ref="Y13:Y47" si="7">$K$80*B13+$L$80</f>
        <v>-5.1300000000000012E-2</v>
      </c>
      <c r="Z13">
        <f t="shared" ref="Z13:Z47" si="8">$K$103*B13+$L$103</f>
        <v>0.10705200000000001</v>
      </c>
    </row>
    <row r="14" spans="1:26" x14ac:dyDescent="0.25">
      <c r="B14" s="9">
        <v>-1.5</v>
      </c>
      <c r="C14" s="9">
        <v>-2.0639999999999999E-3</v>
      </c>
      <c r="D14" s="9">
        <v>5.0000000000000001E-4</v>
      </c>
      <c r="E14" s="9">
        <v>7.1640000000000002E-3</v>
      </c>
      <c r="F14" s="9">
        <v>7.6639999999999998E-3</v>
      </c>
      <c r="G14" s="9">
        <v>0</v>
      </c>
      <c r="H14" s="9">
        <v>9.4353999999999993E-2</v>
      </c>
      <c r="I14" s="9">
        <v>0</v>
      </c>
      <c r="J14" s="9">
        <v>0</v>
      </c>
      <c r="K14" s="9">
        <v>0</v>
      </c>
      <c r="L14" s="9">
        <v>92.601299999999995</v>
      </c>
      <c r="M14" s="9">
        <v>56.1477</v>
      </c>
      <c r="N14">
        <f>CD0!$B$64-$E$49</f>
        <v>1.4679773889911315E-2</v>
      </c>
      <c r="O14" s="69">
        <f>$B$5/($F$5*S) * (stdpres($F$2)*(1+(CoolingDrag_IC!$B$27-1)/2*$F$3^2)^(CoolingDrag_IC!$B$27/(CoolingDrag_IC!$B$27-1))/stdpres(0))</f>
        <v>2.725549506683393E-3</v>
      </c>
      <c r="P14">
        <f t="shared" si="0"/>
        <v>2.5069323396594709E-2</v>
      </c>
      <c r="Q14">
        <f t="shared" si="1"/>
        <v>-8.2331699477791384E-2</v>
      </c>
      <c r="R14">
        <f t="shared" si="6"/>
        <v>0</v>
      </c>
      <c r="T14">
        <f t="shared" si="2"/>
        <v>2.1584832310327116E-2</v>
      </c>
      <c r="U14">
        <f t="shared" si="3"/>
        <v>-9.5622702568437051E-2</v>
      </c>
      <c r="V14">
        <f t="shared" si="4"/>
        <v>-13.899422138935384</v>
      </c>
      <c r="W14">
        <f t="shared" si="5"/>
        <v>1.214167813027831E-5</v>
      </c>
      <c r="Y14">
        <f t="shared" si="7"/>
        <v>-2.3000000000000242E-3</v>
      </c>
      <c r="Z14">
        <f t="shared" si="8"/>
        <v>9.0551999999999994E-2</v>
      </c>
    </row>
    <row r="15" spans="1:26" x14ac:dyDescent="0.25">
      <c r="B15" s="9">
        <v>-1</v>
      </c>
      <c r="C15" s="9">
        <v>4.6882E-2</v>
      </c>
      <c r="D15" s="9">
        <v>4.7600000000000002E-4</v>
      </c>
      <c r="E15" s="9">
        <v>6.9470000000000001E-3</v>
      </c>
      <c r="F15" s="9">
        <v>7.4229999999999999E-3</v>
      </c>
      <c r="G15" s="9">
        <v>0</v>
      </c>
      <c r="H15" s="9">
        <v>7.6228000000000004E-2</v>
      </c>
      <c r="I15" s="9">
        <v>0</v>
      </c>
      <c r="J15" s="9">
        <v>0</v>
      </c>
      <c r="K15" s="9">
        <v>0</v>
      </c>
      <c r="L15" s="9">
        <v>92.601299999999995</v>
      </c>
      <c r="M15" s="9">
        <v>-1.6759999999999999</v>
      </c>
      <c r="N15">
        <f>CD0!$B$64-$E$49</f>
        <v>1.4679773889911315E-2</v>
      </c>
      <c r="O15" s="69">
        <f>$B$5/($F$5*S) * (stdpres($F$2)*(1+(CoolingDrag_IC!$B$27-1)/2*$F$3^2)^(CoolingDrag_IC!$B$27/(CoolingDrag_IC!$B$27-1))/stdpres(0))</f>
        <v>2.725549506683393E-3</v>
      </c>
      <c r="P15">
        <f t="shared" si="0"/>
        <v>2.4828323396594708E-2</v>
      </c>
      <c r="Q15">
        <f t="shared" si="1"/>
        <v>1.8882467112712908</v>
      </c>
      <c r="R15">
        <f t="shared" si="6"/>
        <v>0.40884792903674072</v>
      </c>
      <c r="T15">
        <f t="shared" si="2"/>
        <v>2.1285937671217541E-2</v>
      </c>
      <c r="U15">
        <f t="shared" si="3"/>
        <v>2.2024869528483584</v>
      </c>
      <c r="V15">
        <f t="shared" si="4"/>
        <v>-14.267518868644258</v>
      </c>
      <c r="W15">
        <f t="shared" si="5"/>
        <v>1.2548496627355916E-5</v>
      </c>
      <c r="Y15">
        <f t="shared" si="7"/>
        <v>4.6699999999999992E-2</v>
      </c>
      <c r="Z15">
        <f t="shared" si="8"/>
        <v>7.4052000000000007E-2</v>
      </c>
    </row>
    <row r="16" spans="1:26" x14ac:dyDescent="0.25">
      <c r="B16" s="9">
        <v>-0.5</v>
      </c>
      <c r="C16" s="9">
        <v>9.5814999999999997E-2</v>
      </c>
      <c r="D16" s="9">
        <v>6.0999999999999997E-4</v>
      </c>
      <c r="E16" s="9">
        <v>6.6959999999999997E-3</v>
      </c>
      <c r="F16" s="9">
        <v>7.306E-3</v>
      </c>
      <c r="G16" s="9">
        <v>0</v>
      </c>
      <c r="H16" s="9">
        <v>5.8451000000000003E-2</v>
      </c>
      <c r="I16" s="9">
        <v>0</v>
      </c>
      <c r="J16" s="9">
        <v>0</v>
      </c>
      <c r="K16" s="9">
        <v>0</v>
      </c>
      <c r="L16" s="9">
        <v>92.601299999999995</v>
      </c>
      <c r="M16" s="9">
        <v>-0.43369999999999997</v>
      </c>
      <c r="N16">
        <f>CD0!$B$64-$E$49</f>
        <v>1.4679773889911315E-2</v>
      </c>
      <c r="O16" s="69">
        <f>$B$5/($F$5*S) * (stdpres($F$2)*(1+(CoolingDrag_IC!$B$27-1)/2*$F$3^2)^(CoolingDrag_IC!$B$27/(CoolingDrag_IC!$B$27-1))/stdpres(0))</f>
        <v>2.725549506683393E-3</v>
      </c>
      <c r="P16">
        <f t="shared" si="0"/>
        <v>2.4711323396594709E-2</v>
      </c>
      <c r="Q16">
        <f t="shared" si="1"/>
        <v>3.8773722662382211</v>
      </c>
      <c r="R16">
        <f t="shared" si="6"/>
        <v>1.2002017386391861</v>
      </c>
      <c r="T16">
        <f t="shared" si="2"/>
        <v>2.1196406300879034E-2</v>
      </c>
      <c r="U16">
        <f t="shared" si="3"/>
        <v>4.5203417334015938</v>
      </c>
      <c r="V16">
        <f t="shared" si="4"/>
        <v>-14.223912816421802</v>
      </c>
      <c r="W16">
        <f t="shared" si="5"/>
        <v>1.2354642189754312E-5</v>
      </c>
      <c r="Y16">
        <f t="shared" si="7"/>
        <v>9.5699999999999993E-2</v>
      </c>
      <c r="Z16">
        <f t="shared" si="8"/>
        <v>5.7551999999999999E-2</v>
      </c>
    </row>
    <row r="17" spans="2:26" x14ac:dyDescent="0.25">
      <c r="B17" s="9">
        <v>0</v>
      </c>
      <c r="C17" s="9">
        <v>0.144735</v>
      </c>
      <c r="D17" s="9">
        <v>9.01E-4</v>
      </c>
      <c r="E17" s="9">
        <v>6.4229999999999999E-3</v>
      </c>
      <c r="F17" s="9">
        <v>7.3249999999999999E-3</v>
      </c>
      <c r="G17" s="9">
        <v>0</v>
      </c>
      <c r="H17" s="9">
        <v>4.1051999999999998E-2</v>
      </c>
      <c r="I17" s="9">
        <v>0</v>
      </c>
      <c r="J17" s="9">
        <v>0</v>
      </c>
      <c r="K17" s="9">
        <v>0</v>
      </c>
      <c r="L17" s="9">
        <v>92.601299999999995</v>
      </c>
      <c r="M17" s="9">
        <v>-3.3500000000000002E-2</v>
      </c>
      <c r="N17">
        <f>CD0!$B$64-$E$49</f>
        <v>1.4679773889911315E-2</v>
      </c>
      <c r="O17" s="69">
        <f>$B$5/($F$5*S) * (stdpres($F$2)*(1+(CoolingDrag_IC!$B$27-1)/2*$F$3^2)^(CoolingDrag_IC!$B$27/(CoolingDrag_IC!$B$27-1))/stdpres(0))</f>
        <v>2.725549506683393E-3</v>
      </c>
      <c r="P17">
        <f t="shared" si="0"/>
        <v>2.473032339659471E-2</v>
      </c>
      <c r="Q17">
        <f t="shared" si="1"/>
        <v>5.852531634096203</v>
      </c>
      <c r="R17">
        <f t="shared" si="6"/>
        <v>2.2265402608181351</v>
      </c>
      <c r="T17">
        <f t="shared" si="2"/>
        <v>2.1316071420504588E-2</v>
      </c>
      <c r="U17">
        <f t="shared" si="3"/>
        <v>6.7899472254899154</v>
      </c>
      <c r="V17">
        <f t="shared" si="4"/>
        <v>-13.805933393334655</v>
      </c>
      <c r="W17">
        <f t="shared" si="5"/>
        <v>1.1657116556235302E-5</v>
      </c>
      <c r="Y17">
        <f t="shared" si="7"/>
        <v>0.1447</v>
      </c>
      <c r="Z17">
        <f t="shared" si="8"/>
        <v>4.1051999999999998E-2</v>
      </c>
    </row>
    <row r="18" spans="2:26" x14ac:dyDescent="0.25">
      <c r="B18" s="9">
        <v>0.5</v>
      </c>
      <c r="C18" s="9">
        <v>0.19363900000000001</v>
      </c>
      <c r="D18" s="9">
        <v>1.351E-3</v>
      </c>
      <c r="E18" s="9">
        <v>6.0289999999999996E-3</v>
      </c>
      <c r="F18" s="9">
        <v>7.3800000000000003E-3</v>
      </c>
      <c r="G18" s="9">
        <v>0</v>
      </c>
      <c r="H18" s="9">
        <v>2.4070999999999999E-2</v>
      </c>
      <c r="I18" s="9">
        <v>0</v>
      </c>
      <c r="J18" s="9">
        <v>0</v>
      </c>
      <c r="K18" s="9">
        <v>0</v>
      </c>
      <c r="L18" s="9">
        <v>92.601299999999995</v>
      </c>
      <c r="M18" s="9">
        <v>0.16300000000000001</v>
      </c>
      <c r="N18">
        <f>CD0!$B$64-$E$49</f>
        <v>1.4679773889911315E-2</v>
      </c>
      <c r="O18" s="69">
        <f>$B$5/($F$5*S) * (stdpres($F$2)*(1+(CoolingDrag_IC!$B$27-1)/2*$F$3^2)^(CoolingDrag_IC!$B$27/(CoolingDrag_IC!$B$27-1))/stdpres(0))</f>
        <v>2.725549506683393E-3</v>
      </c>
      <c r="P18">
        <f t="shared" si="0"/>
        <v>2.478532339659471E-2</v>
      </c>
      <c r="Q18">
        <f t="shared" si="1"/>
        <v>7.8126477069330607</v>
      </c>
      <c r="R18">
        <f t="shared" si="6"/>
        <v>3.4379112159565519</v>
      </c>
      <c r="T18">
        <f t="shared" si="2"/>
        <v>2.1644739722383774E-2</v>
      </c>
      <c r="U18">
        <f t="shared" si="3"/>
        <v>8.9462383231963489</v>
      </c>
      <c r="V18">
        <f t="shared" si="4"/>
        <v>-12.671142611124553</v>
      </c>
      <c r="W18">
        <f t="shared" si="5"/>
        <v>9.8632658147202617E-6</v>
      </c>
      <c r="Y18">
        <f t="shared" si="7"/>
        <v>0.19369999999999998</v>
      </c>
      <c r="Z18">
        <f t="shared" si="8"/>
        <v>2.4551999999999997E-2</v>
      </c>
    </row>
    <row r="19" spans="2:26" x14ac:dyDescent="0.25">
      <c r="B19" s="9">
        <v>1</v>
      </c>
      <c r="C19" s="9">
        <v>0.24252599999999999</v>
      </c>
      <c r="D19" s="9">
        <v>1.9589999999999998E-3</v>
      </c>
      <c r="E19" s="9">
        <v>5.4819999999999999E-3</v>
      </c>
      <c r="F19" s="9">
        <v>7.4409999999999997E-3</v>
      </c>
      <c r="G19" s="9">
        <v>0</v>
      </c>
      <c r="H19" s="9">
        <v>7.5500000000000003E-3</v>
      </c>
      <c r="I19" s="9">
        <v>0</v>
      </c>
      <c r="J19" s="9">
        <v>0</v>
      </c>
      <c r="K19" s="9">
        <v>0</v>
      </c>
      <c r="L19" s="9">
        <v>92.601299999999995</v>
      </c>
      <c r="M19" s="9">
        <v>0.27900000000000003</v>
      </c>
      <c r="N19">
        <f>CD0!$B$64-$E$49</f>
        <v>1.4679773889911315E-2</v>
      </c>
      <c r="O19" s="69">
        <f>$B$5/($F$5*S) * (stdpres($F$2)*(1+(CoolingDrag_IC!$B$27-1)/2*$F$3^2)^(CoolingDrag_IC!$B$27/(CoolingDrag_IC!$B$27-1))/stdpres(0))</f>
        <v>2.725549506683393E-3</v>
      </c>
      <c r="P19">
        <f t="shared" si="0"/>
        <v>2.4846323396594708E-2</v>
      </c>
      <c r="Q19">
        <f t="shared" si="1"/>
        <v>9.7610417496714703</v>
      </c>
      <c r="R19">
        <f t="shared" si="6"/>
        <v>4.8070132843329185</v>
      </c>
      <c r="T19">
        <f t="shared" si="2"/>
        <v>2.2182192931933641E-2</v>
      </c>
      <c r="U19">
        <f t="shared" si="3"/>
        <v>10.933364466903443</v>
      </c>
      <c r="V19">
        <f t="shared" si="4"/>
        <v>-10.722433344106747</v>
      </c>
      <c r="W19">
        <f t="shared" si="5"/>
        <v>7.0975911327351942E-6</v>
      </c>
      <c r="Y19">
        <f t="shared" si="7"/>
        <v>0.2427</v>
      </c>
      <c r="Z19">
        <f t="shared" si="8"/>
        <v>8.0519999999999967E-3</v>
      </c>
    </row>
    <row r="20" spans="2:26" x14ac:dyDescent="0.25">
      <c r="B20" s="9">
        <v>1.5</v>
      </c>
      <c r="C20" s="9">
        <v>0.29139300000000001</v>
      </c>
      <c r="D20" s="9">
        <v>2.725E-3</v>
      </c>
      <c r="E20" s="9">
        <v>4.6189999999999998E-3</v>
      </c>
      <c r="F20" s="9">
        <v>7.3439999999999998E-3</v>
      </c>
      <c r="G20" s="9">
        <v>0</v>
      </c>
      <c r="H20" s="9">
        <v>-8.4510000000000002E-3</v>
      </c>
      <c r="I20" s="9">
        <v>0</v>
      </c>
      <c r="J20" s="9">
        <v>0</v>
      </c>
      <c r="K20" s="9">
        <v>0</v>
      </c>
      <c r="L20" s="9">
        <v>92.601299999999995</v>
      </c>
      <c r="M20" s="9">
        <v>0.35499999999999998</v>
      </c>
      <c r="N20">
        <f>CD0!$B$64-$E$49</f>
        <v>1.4679773889911315E-2</v>
      </c>
      <c r="O20" s="69">
        <f>$B$5/($F$5*S) * (stdpres($F$2)*(1+(CoolingDrag_IC!$B$27-1)/2*$F$3^2)^(CoolingDrag_IC!$B$27/(CoolingDrag_IC!$B$27-1))/stdpres(0))</f>
        <v>2.725549506683393E-3</v>
      </c>
      <c r="P20">
        <f t="shared" si="0"/>
        <v>2.4749323396594709E-2</v>
      </c>
      <c r="Q20">
        <f t="shared" si="1"/>
        <v>11.773776411200524</v>
      </c>
      <c r="R20">
        <f t="shared" si="6"/>
        <v>6.3555822209432247</v>
      </c>
      <c r="T20">
        <f t="shared" si="2"/>
        <v>2.2928160956688558E-2</v>
      </c>
      <c r="U20">
        <f t="shared" si="3"/>
        <v>12.70895649024984</v>
      </c>
      <c r="V20">
        <f t="shared" si="4"/>
        <v>-7.3584332416809701</v>
      </c>
      <c r="W20">
        <f t="shared" si="5"/>
        <v>3.3166326325249245E-6</v>
      </c>
      <c r="Y20">
        <f t="shared" si="7"/>
        <v>0.29170000000000001</v>
      </c>
      <c r="Z20">
        <f t="shared" si="8"/>
        <v>-8.4480000000000041E-3</v>
      </c>
    </row>
    <row r="21" spans="2:26" x14ac:dyDescent="0.25">
      <c r="B21" s="9">
        <v>2</v>
      </c>
      <c r="C21" s="9">
        <v>0.34023900000000001</v>
      </c>
      <c r="D21" s="9">
        <v>3.65E-3</v>
      </c>
      <c r="E21" s="9">
        <v>4.2690000000000002E-3</v>
      </c>
      <c r="F21" s="9">
        <v>7.9190000000000007E-3</v>
      </c>
      <c r="G21" s="9">
        <v>0</v>
      </c>
      <c r="H21" s="9">
        <v>-2.4136999999999999E-2</v>
      </c>
      <c r="I21" s="9">
        <v>0</v>
      </c>
      <c r="J21" s="9">
        <v>0</v>
      </c>
      <c r="K21" s="9">
        <v>0</v>
      </c>
      <c r="L21" s="9">
        <v>92.601299999999995</v>
      </c>
      <c r="M21" s="9">
        <v>0.40820000000000001</v>
      </c>
      <c r="N21">
        <f>CD0!$B$64-$E$49</f>
        <v>1.4679773889911315E-2</v>
      </c>
      <c r="O21" s="69">
        <f>$B$5/($F$5*S) * (stdpres($F$2)*(1+(CoolingDrag_IC!$B$27-1)/2*$F$3^2)^(CoolingDrag_IC!$B$27/(CoolingDrag_IC!$B$27-1))/stdpres(0))</f>
        <v>2.725549506683393E-3</v>
      </c>
      <c r="P21">
        <f t="shared" si="0"/>
        <v>2.5324323396594708E-2</v>
      </c>
      <c r="Q21">
        <f t="shared" si="1"/>
        <v>13.435265166679676</v>
      </c>
      <c r="R21">
        <f t="shared" si="6"/>
        <v>7.8367914385501134</v>
      </c>
      <c r="T21">
        <f t="shared" si="2"/>
        <v>2.3882365890545373E-2</v>
      </c>
      <c r="U21">
        <f t="shared" si="3"/>
        <v>14.24645286649322</v>
      </c>
      <c r="V21">
        <f t="shared" si="4"/>
        <v>-5.693962612415663</v>
      </c>
      <c r="W21">
        <f t="shared" si="5"/>
        <v>2.079241449252018E-6</v>
      </c>
      <c r="Y21">
        <f t="shared" si="7"/>
        <v>0.3407</v>
      </c>
      <c r="Z21">
        <f t="shared" si="8"/>
        <v>-2.4948000000000005E-2</v>
      </c>
    </row>
    <row r="22" spans="2:26" x14ac:dyDescent="0.25">
      <c r="B22" s="9">
        <v>2.5</v>
      </c>
      <c r="C22" s="9">
        <v>0.38906200000000002</v>
      </c>
      <c r="D22" s="9">
        <v>4.7330000000000002E-3</v>
      </c>
      <c r="E22" s="9">
        <v>4.1809999999999998E-3</v>
      </c>
      <c r="F22" s="9">
        <v>8.914E-3</v>
      </c>
      <c r="G22" s="9">
        <v>0</v>
      </c>
      <c r="H22" s="9">
        <v>-3.9383000000000001E-2</v>
      </c>
      <c r="I22" s="9">
        <v>0</v>
      </c>
      <c r="J22" s="9">
        <v>0</v>
      </c>
      <c r="K22" s="9">
        <v>0</v>
      </c>
      <c r="L22" s="9">
        <v>92.601299999999995</v>
      </c>
      <c r="M22" s="9">
        <v>0.44719999999999999</v>
      </c>
      <c r="N22">
        <f>CD0!$B$64-$E$49</f>
        <v>1.4679773889911315E-2</v>
      </c>
      <c r="O22" s="69">
        <f>$B$5/($F$5*S) * (stdpres($F$2)*(1+(CoolingDrag_IC!$B$27-1)/2*$F$3^2)^(CoolingDrag_IC!$B$27/(CoolingDrag_IC!$B$27-1))/stdpres(0))</f>
        <v>2.725549506683393E-3</v>
      </c>
      <c r="P22">
        <f t="shared" si="0"/>
        <v>2.6319323396594711E-2</v>
      </c>
      <c r="Q22">
        <f t="shared" si="1"/>
        <v>14.782370889152046</v>
      </c>
      <c r="R22">
        <f t="shared" si="6"/>
        <v>9.220479402284651</v>
      </c>
      <c r="T22">
        <f t="shared" si="2"/>
        <v>2.5044486928167995E-2</v>
      </c>
      <c r="U22">
        <f t="shared" si="3"/>
        <v>15.534836114466966</v>
      </c>
      <c r="V22">
        <f t="shared" si="4"/>
        <v>-4.8437281202740126</v>
      </c>
      <c r="W22">
        <f t="shared" si="5"/>
        <v>1.6252080212306999E-6</v>
      </c>
      <c r="Y22">
        <f t="shared" si="7"/>
        <v>0.38969999999999999</v>
      </c>
      <c r="Z22">
        <f t="shared" si="8"/>
        <v>-4.1448000000000006E-2</v>
      </c>
    </row>
    <row r="23" spans="2:26" x14ac:dyDescent="0.25">
      <c r="B23" s="9">
        <v>3</v>
      </c>
      <c r="C23" s="9">
        <v>0.43786000000000003</v>
      </c>
      <c r="D23" s="9">
        <v>5.9750000000000003E-3</v>
      </c>
      <c r="E23" s="9">
        <v>4.2259999999999997E-3</v>
      </c>
      <c r="F23" s="9">
        <v>1.0200000000000001E-2</v>
      </c>
      <c r="G23" s="9">
        <v>0</v>
      </c>
      <c r="H23" s="9">
        <v>-5.4137999999999999E-2</v>
      </c>
      <c r="I23" s="9">
        <v>0</v>
      </c>
      <c r="J23" s="9">
        <v>0</v>
      </c>
      <c r="K23" s="9">
        <v>0</v>
      </c>
      <c r="L23" s="9">
        <v>92.601299999999995</v>
      </c>
      <c r="M23" s="9">
        <v>0.47670000000000001</v>
      </c>
      <c r="N23">
        <f>CD0!$B$64-$E$49</f>
        <v>1.4679773889911315E-2</v>
      </c>
      <c r="O23" s="69">
        <f>$B$5/($F$5*S) * (stdpres($F$2)*(1+(CoolingDrag_IC!$B$27-1)/2*$F$3^2)^(CoolingDrag_IC!$B$27/(CoolingDrag_IC!$B$27-1))/stdpres(0))</f>
        <v>2.725549506683393E-3</v>
      </c>
      <c r="P23">
        <f t="shared" si="0"/>
        <v>2.760532339659471E-2</v>
      </c>
      <c r="Q23">
        <f t="shared" si="1"/>
        <v>15.861433452868472</v>
      </c>
      <c r="R23">
        <f t="shared" si="6"/>
        <v>10.495667642736041</v>
      </c>
      <c r="T23">
        <f t="shared" si="2"/>
        <v>2.641416926108988E-2</v>
      </c>
      <c r="U23">
        <f t="shared" si="3"/>
        <v>16.576709101542775</v>
      </c>
      <c r="V23">
        <f t="shared" si="4"/>
        <v>-4.3149436012467284</v>
      </c>
      <c r="W23">
        <f t="shared" si="5"/>
        <v>1.4188481745302576E-6</v>
      </c>
      <c r="Y23">
        <f t="shared" si="7"/>
        <v>0.43870000000000003</v>
      </c>
      <c r="Z23">
        <f t="shared" si="8"/>
        <v>-5.7948000000000006E-2</v>
      </c>
    </row>
    <row r="24" spans="2:26" x14ac:dyDescent="0.25">
      <c r="B24" s="9">
        <v>3.5</v>
      </c>
      <c r="C24" s="9">
        <v>0.48663099999999998</v>
      </c>
      <c r="D24" s="9">
        <v>7.3749999999999996E-3</v>
      </c>
      <c r="E24" s="9">
        <v>4.555E-3</v>
      </c>
      <c r="F24" s="9">
        <v>1.1929E-2</v>
      </c>
      <c r="G24" s="9">
        <v>0</v>
      </c>
      <c r="H24" s="9">
        <v>-6.8432999999999994E-2</v>
      </c>
      <c r="I24" s="9">
        <v>0</v>
      </c>
      <c r="J24" s="9">
        <v>0</v>
      </c>
      <c r="K24" s="9">
        <v>0</v>
      </c>
      <c r="L24" s="9">
        <v>92.601299999999995</v>
      </c>
      <c r="M24" s="9">
        <v>0.49959999999999999</v>
      </c>
      <c r="N24">
        <f>CD0!$B$64-$E$49</f>
        <v>1.4679773889911315E-2</v>
      </c>
      <c r="O24" s="69">
        <f>$B$5/($F$5*S) * (stdpres($F$2)*(1+(CoolingDrag_IC!$B$27-1)/2*$F$3^2)^(CoolingDrag_IC!$B$27/(CoolingDrag_IC!$B$27-1))/stdpres(0))</f>
        <v>2.725549506683393E-3</v>
      </c>
      <c r="P24">
        <f t="shared" ref="P24" si="9">F24+N24+O24</f>
        <v>2.9334323396594707E-2</v>
      </c>
      <c r="Q24">
        <f t="shared" ref="Q24" si="10">C24/P24</f>
        <v>16.589133262793812</v>
      </c>
      <c r="R24">
        <f t="shared" si="6"/>
        <v>11.572403864222718</v>
      </c>
      <c r="T24">
        <f t="shared" ref="T24" si="11">$K$57+C24^2/(PI()*$M$57*$L$57)-$N$57*C24</f>
        <v>2.799102411966245E-2</v>
      </c>
      <c r="U24">
        <f t="shared" ref="U24" si="12">C24/T24</f>
        <v>17.385251712107358</v>
      </c>
      <c r="V24">
        <f t="shared" ref="V24" si="13">(T24-P24)/P24*100</f>
        <v>-4.5792747927780573</v>
      </c>
      <c r="W24">
        <f t="shared" ref="W24" si="14">(P24-T24)^2</f>
        <v>1.8044529474067261E-6</v>
      </c>
      <c r="Y24">
        <f t="shared" si="7"/>
        <v>0.48770000000000002</v>
      </c>
      <c r="Z24">
        <f t="shared" si="8"/>
        <v>-7.4448000000000014E-2</v>
      </c>
    </row>
    <row r="25" spans="2:26" x14ac:dyDescent="0.25">
      <c r="B25" s="9">
        <v>4</v>
      </c>
      <c r="C25" s="9">
        <v>0.53537400000000002</v>
      </c>
      <c r="D25" s="9">
        <v>8.933E-3</v>
      </c>
      <c r="E25" s="9">
        <v>5.3819999999999996E-3</v>
      </c>
      <c r="F25" s="9">
        <v>1.4316000000000001E-2</v>
      </c>
      <c r="G25" s="9">
        <v>0</v>
      </c>
      <c r="H25" s="9">
        <v>-8.2285999999999998E-2</v>
      </c>
      <c r="I25" s="9">
        <v>0</v>
      </c>
      <c r="J25" s="9">
        <v>0</v>
      </c>
      <c r="K25" s="9">
        <v>0</v>
      </c>
      <c r="L25" s="9">
        <v>92.601299999999995</v>
      </c>
      <c r="M25" s="9">
        <v>0.51770000000000005</v>
      </c>
      <c r="N25">
        <f>CD0!$B$64-$E$49</f>
        <v>1.4679773889911315E-2</v>
      </c>
      <c r="O25" s="69">
        <f>$B$5/($F$5*S) * (stdpres($F$2)*(1+(CoolingDrag_IC!$B$27-1)/2*$F$3^2)^(CoolingDrag_IC!$B$27/(CoolingDrag_IC!$B$27-1))/stdpres(0))</f>
        <v>2.725549506683393E-3</v>
      </c>
      <c r="P25">
        <f t="shared" ref="P25:P47" si="15">F25+N25+O25</f>
        <v>3.1721323396594704E-2</v>
      </c>
      <c r="Q25">
        <f t="shared" ref="Q25:Q47" si="16">C25/P25</f>
        <v>16.87741691311254</v>
      </c>
      <c r="R25">
        <f t="shared" si="6"/>
        <v>12.349080360131872</v>
      </c>
      <c r="T25">
        <f t="shared" ref="T25:T47" si="17">$K$57+C25^2/(PI()*$M$57*$L$57)-$N$57*C25</f>
        <v>2.9774667541154792E-2</v>
      </c>
      <c r="U25">
        <f t="shared" ref="U25:U47" si="18">C25/T25</f>
        <v>17.980855680756189</v>
      </c>
      <c r="V25">
        <f t="shared" ref="V25:V47" si="19">(T25-P25)/P25*100</f>
        <v>-6.1367422509518823</v>
      </c>
      <c r="W25">
        <f t="shared" ref="W25:W47" si="20">(P25-T25)^2</f>
        <v>3.789469019518495E-6</v>
      </c>
      <c r="Y25">
        <f t="shared" si="7"/>
        <v>0.53669999999999995</v>
      </c>
      <c r="Z25">
        <f t="shared" si="8"/>
        <v>-9.0948000000000001E-2</v>
      </c>
    </row>
    <row r="26" spans="2:26" x14ac:dyDescent="0.25">
      <c r="B26" s="9">
        <v>4.5</v>
      </c>
      <c r="C26" s="9">
        <v>0.58408499999999997</v>
      </c>
      <c r="D26" s="9">
        <v>1.0651000000000001E-2</v>
      </c>
      <c r="E26" s="9">
        <v>6.326E-3</v>
      </c>
      <c r="F26" s="9">
        <v>1.6976999999999999E-2</v>
      </c>
      <c r="G26" s="9">
        <v>0</v>
      </c>
      <c r="H26" s="9">
        <v>-9.5568E-2</v>
      </c>
      <c r="I26" s="9">
        <v>0</v>
      </c>
      <c r="J26" s="9">
        <v>0</v>
      </c>
      <c r="K26" s="9">
        <v>0</v>
      </c>
      <c r="L26" s="9">
        <v>92.601299999999995</v>
      </c>
      <c r="M26" s="9">
        <v>0.53210000000000002</v>
      </c>
      <c r="N26">
        <f>CD0!$B$64-$E$49</f>
        <v>1.4679773889911315E-2</v>
      </c>
      <c r="O26" s="69">
        <f>$B$5/($F$5*S) * (stdpres($F$2)*(1+(CoolingDrag_IC!$B$27-1)/2*$F$3^2)^(CoolingDrag_IC!$B$27/(CoolingDrag_IC!$B$27-1))/stdpres(0))</f>
        <v>2.725549506683393E-3</v>
      </c>
      <c r="P26">
        <f t="shared" si="15"/>
        <v>3.4382323396594701E-2</v>
      </c>
      <c r="Q26">
        <f t="shared" si="16"/>
        <v>16.987944452231201</v>
      </c>
      <c r="R26">
        <f t="shared" si="6"/>
        <v>12.983113651650852</v>
      </c>
      <c r="T26">
        <f t="shared" si="17"/>
        <v>3.1764569785049712E-2</v>
      </c>
      <c r="U26">
        <f t="shared" si="18"/>
        <v>18.387939895062107</v>
      </c>
      <c r="V26">
        <f t="shared" si="19"/>
        <v>-7.6136611867371844</v>
      </c>
      <c r="W26">
        <f t="shared" si="20"/>
        <v>6.852633970756832E-6</v>
      </c>
      <c r="Y26">
        <f t="shared" si="7"/>
        <v>0.5857</v>
      </c>
      <c r="Z26">
        <f t="shared" si="8"/>
        <v>-0.10744800000000002</v>
      </c>
    </row>
    <row r="27" spans="2:26" x14ac:dyDescent="0.25">
      <c r="B27" s="9">
        <v>5</v>
      </c>
      <c r="C27" s="9">
        <v>0.63276399999999999</v>
      </c>
      <c r="D27" s="9">
        <v>1.2527E-2</v>
      </c>
      <c r="E27" s="9">
        <v>7.143E-3</v>
      </c>
      <c r="F27" s="9">
        <v>1.967E-2</v>
      </c>
      <c r="G27" s="9">
        <v>0</v>
      </c>
      <c r="H27" s="9">
        <v>-0.108205</v>
      </c>
      <c r="I27" s="9">
        <v>0</v>
      </c>
      <c r="J27" s="9">
        <v>0</v>
      </c>
      <c r="K27" s="9">
        <v>0</v>
      </c>
      <c r="L27" s="9">
        <v>92.601299999999995</v>
      </c>
      <c r="M27" s="9">
        <v>0.54379999999999995</v>
      </c>
      <c r="N27">
        <f>CD0!$B$64-$E$49</f>
        <v>1.4679773889911315E-2</v>
      </c>
      <c r="O27" s="69">
        <f>$B$5/($F$5*S) * (stdpres($F$2)*(1+(CoolingDrag_IC!$B$27-1)/2*$F$3^2)^(CoolingDrag_IC!$B$27/(CoolingDrag_IC!$B$27-1))/stdpres(0))</f>
        <v>2.725549506683393E-3</v>
      </c>
      <c r="P27">
        <f t="shared" si="15"/>
        <v>3.7075323396594702E-2</v>
      </c>
      <c r="Q27">
        <f t="shared" si="16"/>
        <v>17.066985316117787</v>
      </c>
      <c r="R27">
        <f t="shared" si="6"/>
        <v>13.576183400204602</v>
      </c>
      <c r="T27">
        <f t="shared" si="17"/>
        <v>3.3960322181409257E-2</v>
      </c>
      <c r="U27">
        <f t="shared" si="18"/>
        <v>18.632449851915453</v>
      </c>
      <c r="V27">
        <f t="shared" si="19"/>
        <v>-8.4018180552716419</v>
      </c>
      <c r="W27">
        <f t="shared" si="20"/>
        <v>9.7032325706067991E-6</v>
      </c>
      <c r="Y27">
        <f t="shared" si="7"/>
        <v>0.63470000000000004</v>
      </c>
      <c r="Z27">
        <f t="shared" si="8"/>
        <v>-0.123948</v>
      </c>
    </row>
    <row r="28" spans="2:26" x14ac:dyDescent="0.25">
      <c r="B28" s="9">
        <v>5.5</v>
      </c>
      <c r="C28" s="9">
        <v>0.68140699999999998</v>
      </c>
      <c r="D28" s="9">
        <v>1.4565E-2</v>
      </c>
      <c r="E28" s="9">
        <v>7.8410000000000007E-3</v>
      </c>
      <c r="F28" s="9">
        <v>2.2407E-2</v>
      </c>
      <c r="G28" s="9">
        <v>0</v>
      </c>
      <c r="H28" s="9">
        <v>-0.12017799999999999</v>
      </c>
      <c r="I28" s="9">
        <v>0</v>
      </c>
      <c r="J28" s="9">
        <v>0</v>
      </c>
      <c r="K28" s="9">
        <v>0</v>
      </c>
      <c r="L28" s="9">
        <v>92.601299999999995</v>
      </c>
      <c r="M28" s="9">
        <v>0.55320000000000003</v>
      </c>
      <c r="N28">
        <f>CD0!$B$64-$E$49</f>
        <v>1.4679773889911315E-2</v>
      </c>
      <c r="O28" s="69">
        <f>$B$5/($F$5*S) * (stdpres($F$2)*(1+(CoolingDrag_IC!$B$27-1)/2*$F$3^2)^(CoolingDrag_IC!$B$27/(CoolingDrag_IC!$B$27-1))/stdpres(0))</f>
        <v>2.725549506683393E-3</v>
      </c>
      <c r="P28">
        <f t="shared" si="15"/>
        <v>3.9812323396594705E-2</v>
      </c>
      <c r="Q28">
        <f t="shared" si="16"/>
        <v>17.11547937587293</v>
      </c>
      <c r="R28">
        <f t="shared" si="6"/>
        <v>14.128379856382885</v>
      </c>
      <c r="T28">
        <f t="shared" si="17"/>
        <v>3.636131038848394E-2</v>
      </c>
      <c r="U28">
        <f t="shared" si="18"/>
        <v>18.739891184334482</v>
      </c>
      <c r="V28">
        <f t="shared" si="19"/>
        <v>-8.6682029926591593</v>
      </c>
      <c r="W28">
        <f t="shared" si="20"/>
        <v>1.190949078214971E-5</v>
      </c>
      <c r="Y28">
        <f t="shared" si="7"/>
        <v>0.68369999999999997</v>
      </c>
      <c r="Z28">
        <f t="shared" si="8"/>
        <v>-0.14044799999999999</v>
      </c>
    </row>
    <row r="29" spans="2:26" x14ac:dyDescent="0.25">
      <c r="B29" s="9">
        <v>6</v>
      </c>
      <c r="C29" s="9">
        <v>0.73001400000000005</v>
      </c>
      <c r="D29" s="9">
        <v>1.6771999999999999E-2</v>
      </c>
      <c r="E29" s="9">
        <v>8.4720000000000004E-3</v>
      </c>
      <c r="F29" s="9">
        <v>2.5243999999999999E-2</v>
      </c>
      <c r="G29" s="9">
        <v>0</v>
      </c>
      <c r="H29" s="9">
        <v>-0.13147900000000001</v>
      </c>
      <c r="I29" s="9">
        <v>0</v>
      </c>
      <c r="J29" s="9">
        <v>0</v>
      </c>
      <c r="K29" s="9">
        <v>0</v>
      </c>
      <c r="L29" s="9">
        <v>92.601299999999995</v>
      </c>
      <c r="M29" s="9">
        <v>0.56079999999999997</v>
      </c>
      <c r="N29">
        <f>CD0!$B$64-$E$49</f>
        <v>1.4679773889911315E-2</v>
      </c>
      <c r="O29" s="69">
        <f>$B$5/($F$5*S) * (stdpres($F$2)*(1+(CoolingDrag_IC!$B$27-1)/2*$F$3^2)^(CoolingDrag_IC!$B$27/(CoolingDrag_IC!$B$27-1))/stdpres(0))</f>
        <v>2.725549506683393E-3</v>
      </c>
      <c r="P29">
        <f t="shared" si="15"/>
        <v>4.2649323396594704E-2</v>
      </c>
      <c r="Q29">
        <f t="shared" si="16"/>
        <v>17.116660754770319</v>
      </c>
      <c r="R29">
        <f t="shared" si="6"/>
        <v>14.624621593689131</v>
      </c>
      <c r="T29">
        <f t="shared" si="17"/>
        <v>3.8967075294404421E-2</v>
      </c>
      <c r="U29">
        <f t="shared" si="18"/>
        <v>18.734123474358579</v>
      </c>
      <c r="V29">
        <f t="shared" si="19"/>
        <v>-8.633778472753658</v>
      </c>
      <c r="W29">
        <f t="shared" si="20"/>
        <v>1.3558951086083941E-5</v>
      </c>
      <c r="Y29">
        <f t="shared" si="7"/>
        <v>0.73270000000000013</v>
      </c>
      <c r="Z29">
        <f t="shared" si="8"/>
        <v>-0.156948</v>
      </c>
    </row>
    <row r="30" spans="2:26" x14ac:dyDescent="0.25">
      <c r="B30" s="9">
        <v>6.5</v>
      </c>
      <c r="C30" s="9">
        <v>0.778586</v>
      </c>
      <c r="D30" s="9">
        <v>1.9175000000000001E-2</v>
      </c>
      <c r="E30" s="9">
        <v>9.025E-3</v>
      </c>
      <c r="F30" s="9">
        <v>2.8198999999999998E-2</v>
      </c>
      <c r="G30" s="9">
        <v>0</v>
      </c>
      <c r="H30" s="9">
        <v>-0.142066</v>
      </c>
      <c r="I30" s="9">
        <v>0</v>
      </c>
      <c r="J30" s="9">
        <v>0</v>
      </c>
      <c r="K30" s="9">
        <v>0</v>
      </c>
      <c r="L30" s="9">
        <v>92.601299999999995</v>
      </c>
      <c r="M30" s="9">
        <v>0.56689999999999996</v>
      </c>
      <c r="N30">
        <f>CD0!$B$64-$E$49</f>
        <v>1.4679773889911315E-2</v>
      </c>
      <c r="O30" s="69">
        <f>$B$5/($F$5*S) * (stdpres($F$2)*(1+(CoolingDrag_IC!$B$27-1)/2*$F$3^2)^(CoolingDrag_IC!$B$27/(CoolingDrag_IC!$B$27-1))/stdpres(0))</f>
        <v>2.725549506683393E-3</v>
      </c>
      <c r="P30">
        <f t="shared" si="15"/>
        <v>4.5604323396594704E-2</v>
      </c>
      <c r="Q30">
        <f t="shared" si="16"/>
        <v>17.07263570668691</v>
      </c>
      <c r="R30">
        <f t="shared" si="6"/>
        <v>15.064470408371671</v>
      </c>
      <c r="T30">
        <f t="shared" si="17"/>
        <v>4.1777218104656108E-2</v>
      </c>
      <c r="U30">
        <f t="shared" si="18"/>
        <v>18.636616685428031</v>
      </c>
      <c r="V30">
        <f t="shared" si="19"/>
        <v>-8.3919791083324515</v>
      </c>
      <c r="W30">
        <f t="shared" si="20"/>
        <v>1.4646734915584402E-5</v>
      </c>
      <c r="Y30">
        <f t="shared" si="7"/>
        <v>0.78170000000000006</v>
      </c>
      <c r="Z30">
        <f t="shared" si="8"/>
        <v>-0.17344800000000002</v>
      </c>
    </row>
    <row r="31" spans="2:26" x14ac:dyDescent="0.25">
      <c r="B31" s="9">
        <v>7</v>
      </c>
      <c r="C31" s="9">
        <v>0.82714699999999997</v>
      </c>
      <c r="D31" s="9">
        <v>2.1892000000000002E-2</v>
      </c>
      <c r="E31" s="9">
        <v>9.554E-3</v>
      </c>
      <c r="F31" s="9">
        <v>3.1446000000000002E-2</v>
      </c>
      <c r="G31" s="9">
        <v>0</v>
      </c>
      <c r="H31" s="9">
        <v>-0.151922</v>
      </c>
      <c r="I31" s="9">
        <v>0</v>
      </c>
      <c r="J31" s="9">
        <v>0</v>
      </c>
      <c r="K31" s="9">
        <v>0</v>
      </c>
      <c r="L31" s="9">
        <v>92.601299999999995</v>
      </c>
      <c r="M31" s="9">
        <v>0.57169999999999999</v>
      </c>
      <c r="N31">
        <f>CD0!$B$64-$E$49</f>
        <v>1.4679773889911315E-2</v>
      </c>
      <c r="O31" s="69">
        <f>$B$5/($F$5*S) * (stdpres($F$2)*(1+(CoolingDrag_IC!$B$27-1)/2*$F$3^2)^(CoolingDrag_IC!$B$27/(CoolingDrag_IC!$B$27-1))/stdpres(0))</f>
        <v>2.725549506683393E-3</v>
      </c>
      <c r="P31">
        <f t="shared" si="15"/>
        <v>4.8851323396594711E-2</v>
      </c>
      <c r="Q31">
        <f t="shared" si="16"/>
        <v>16.931926148343774</v>
      </c>
      <c r="R31">
        <f t="shared" si="6"/>
        <v>15.399184239627074</v>
      </c>
      <c r="T31">
        <f t="shared" si="17"/>
        <v>4.4792834402480039E-2</v>
      </c>
      <c r="U31">
        <f t="shared" si="18"/>
        <v>18.466056257297339</v>
      </c>
      <c r="V31">
        <f t="shared" si="19"/>
        <v>-8.3078383796611277</v>
      </c>
      <c r="W31">
        <f t="shared" si="20"/>
        <v>1.6471332915349919E-5</v>
      </c>
      <c r="Y31">
        <f t="shared" si="7"/>
        <v>0.83069999999999999</v>
      </c>
      <c r="Z31">
        <f t="shared" si="8"/>
        <v>-0.18994800000000001</v>
      </c>
    </row>
    <row r="32" spans="2:26" x14ac:dyDescent="0.25">
      <c r="B32" s="9">
        <v>7.5</v>
      </c>
      <c r="C32" s="9">
        <v>0.87641999999999998</v>
      </c>
      <c r="D32" s="9">
        <v>2.6377999999999999E-2</v>
      </c>
      <c r="E32" s="9">
        <v>1.0137E-2</v>
      </c>
      <c r="F32" s="9">
        <v>3.6513999999999998E-2</v>
      </c>
      <c r="G32" s="9">
        <v>0</v>
      </c>
      <c r="H32" s="9">
        <v>-0.16142000000000001</v>
      </c>
      <c r="I32" s="9">
        <v>0</v>
      </c>
      <c r="J32" s="9">
        <v>0</v>
      </c>
      <c r="K32" s="9">
        <v>0</v>
      </c>
      <c r="L32" s="9">
        <v>92.601299999999995</v>
      </c>
      <c r="M32" s="9">
        <v>0.5756</v>
      </c>
      <c r="N32">
        <f>CD0!$B$64-$E$49</f>
        <v>1.4679773889911315E-2</v>
      </c>
      <c r="O32" s="69">
        <f>$B$5/($F$5*S) * (stdpres($F$2)*(1+(CoolingDrag_IC!$B$27-1)/2*$F$3^2)^(CoolingDrag_IC!$B$27/(CoolingDrag_IC!$B$27-1))/stdpres(0))</f>
        <v>2.725549506683393E-3</v>
      </c>
      <c r="P32">
        <f t="shared" si="15"/>
        <v>5.39193233965947E-2</v>
      </c>
      <c r="Q32">
        <f t="shared" si="16"/>
        <v>16.254284082046748</v>
      </c>
      <c r="R32">
        <f t="shared" si="6"/>
        <v>15.21682288221959</v>
      </c>
      <c r="T32">
        <f t="shared" si="17"/>
        <v>4.8063306738476516E-2</v>
      </c>
      <c r="U32">
        <f t="shared" si="18"/>
        <v>18.23470042893225</v>
      </c>
      <c r="V32">
        <f t="shared" si="19"/>
        <v>-10.86070130191586</v>
      </c>
      <c r="W32">
        <f t="shared" si="20"/>
        <v>3.4292931100157658E-5</v>
      </c>
      <c r="Y32">
        <f t="shared" si="7"/>
        <v>0.87969999999999993</v>
      </c>
      <c r="Z32">
        <f t="shared" si="8"/>
        <v>-0.20644799999999999</v>
      </c>
    </row>
    <row r="33" spans="2:26" x14ac:dyDescent="0.25">
      <c r="B33" s="9">
        <v>8</v>
      </c>
      <c r="C33" s="9">
        <v>0.92276499999999995</v>
      </c>
      <c r="D33" s="9">
        <v>2.4611999999999998E-2</v>
      </c>
      <c r="E33" s="9">
        <v>1.0717000000000001E-2</v>
      </c>
      <c r="F33" s="9">
        <v>3.5328999999999999E-2</v>
      </c>
      <c r="G33" s="9">
        <v>0</v>
      </c>
      <c r="H33" s="9">
        <v>-0.17306099999999999</v>
      </c>
      <c r="I33" s="9">
        <v>0</v>
      </c>
      <c r="J33" s="9">
        <v>0</v>
      </c>
      <c r="K33" s="9">
        <v>0</v>
      </c>
      <c r="L33" s="9">
        <v>92.601299999999995</v>
      </c>
      <c r="M33" s="9">
        <v>0.58450000000000002</v>
      </c>
      <c r="N33">
        <f>CD0!$B$64-$E$49</f>
        <v>1.4679773889911315E-2</v>
      </c>
      <c r="O33" s="69">
        <f>$B$5/($F$5*S) * (stdpres($F$2)*(1+(CoolingDrag_IC!$B$27-1)/2*$F$3^2)^(CoolingDrag_IC!$B$27/(CoolingDrag_IC!$B$27-1))/stdpres(0))</f>
        <v>2.725549506683393E-3</v>
      </c>
      <c r="P33">
        <f t="shared" si="15"/>
        <v>5.2734323396594708E-2</v>
      </c>
      <c r="Q33">
        <f t="shared" si="16"/>
        <v>17.498375641614604</v>
      </c>
      <c r="R33">
        <f t="shared" si="6"/>
        <v>16.809054766626826</v>
      </c>
      <c r="T33">
        <f t="shared" si="17"/>
        <v>5.1333070825697186E-2</v>
      </c>
      <c r="U33">
        <f t="shared" si="18"/>
        <v>17.976033484014099</v>
      </c>
      <c r="V33">
        <f t="shared" si="19"/>
        <v>-2.6571926605737159</v>
      </c>
      <c r="W33">
        <f t="shared" si="20"/>
        <v>1.9635087674469158E-6</v>
      </c>
      <c r="Y33">
        <f t="shared" si="7"/>
        <v>0.92870000000000008</v>
      </c>
      <c r="Z33">
        <f t="shared" si="8"/>
        <v>-0.22294800000000001</v>
      </c>
    </row>
    <row r="34" spans="2:26" x14ac:dyDescent="0.25">
      <c r="B34" s="9">
        <v>8.5</v>
      </c>
      <c r="C34" s="9">
        <v>0.97250300000000001</v>
      </c>
      <c r="D34" s="9">
        <v>3.0268E-2</v>
      </c>
      <c r="E34" s="9">
        <v>1.1381E-2</v>
      </c>
      <c r="F34" s="9">
        <v>4.1648999999999999E-2</v>
      </c>
      <c r="G34" s="9">
        <v>0</v>
      </c>
      <c r="H34" s="9">
        <v>-0.182034</v>
      </c>
      <c r="I34" s="9">
        <v>0</v>
      </c>
      <c r="J34" s="9">
        <v>0</v>
      </c>
      <c r="K34" s="9">
        <v>0</v>
      </c>
      <c r="L34" s="9">
        <v>92.601299999999995</v>
      </c>
      <c r="M34" s="9">
        <v>0.58740000000000003</v>
      </c>
      <c r="N34">
        <f>CD0!$B$64-$E$49</f>
        <v>1.4679773889911315E-2</v>
      </c>
      <c r="O34" s="69">
        <f>$B$5/($F$5*S) * (stdpres($F$2)*(1+(CoolingDrag_IC!$B$27-1)/2*$F$3^2)^(CoolingDrag_IC!$B$27/(CoolingDrag_IC!$B$27-1))/stdpres(0))</f>
        <v>2.725549506683393E-3</v>
      </c>
      <c r="P34">
        <f t="shared" si="15"/>
        <v>5.90543233965947E-2</v>
      </c>
      <c r="Q34">
        <f t="shared" si="16"/>
        <v>16.46793907820944</v>
      </c>
      <c r="R34">
        <f t="shared" si="6"/>
        <v>16.239951449492409</v>
      </c>
      <c r="T34">
        <f t="shared" si="17"/>
        <v>5.505104362734569E-2</v>
      </c>
      <c r="U34">
        <f t="shared" si="18"/>
        <v>17.665477998620997</v>
      </c>
      <c r="V34">
        <f t="shared" si="19"/>
        <v>-6.7789783016629297</v>
      </c>
      <c r="W34">
        <f t="shared" si="20"/>
        <v>1.6026248910878408E-5</v>
      </c>
      <c r="Y34">
        <f t="shared" si="7"/>
        <v>0.97770000000000001</v>
      </c>
      <c r="Z34">
        <f t="shared" si="8"/>
        <v>-0.23944800000000002</v>
      </c>
    </row>
    <row r="35" spans="2:26" x14ac:dyDescent="0.25">
      <c r="B35" s="9">
        <v>9</v>
      </c>
      <c r="C35" s="9">
        <v>1.0192099999999999</v>
      </c>
      <c r="D35" s="9">
        <v>3.7670000000000002E-2</v>
      </c>
      <c r="E35" s="9">
        <v>1.1984E-2</v>
      </c>
      <c r="F35" s="9">
        <v>4.9653999999999997E-2</v>
      </c>
      <c r="G35" s="9">
        <v>0</v>
      </c>
      <c r="H35" s="9">
        <v>-0.18509900000000001</v>
      </c>
      <c r="I35" s="9">
        <v>0</v>
      </c>
      <c r="J35" s="9">
        <v>0</v>
      </c>
      <c r="K35" s="9">
        <v>0</v>
      </c>
      <c r="L35" s="9">
        <v>92.601299999999995</v>
      </c>
      <c r="M35" s="9">
        <v>0.58460000000000001</v>
      </c>
      <c r="N35">
        <f>CD0!$B$64-$E$49</f>
        <v>1.4679773889911315E-2</v>
      </c>
      <c r="O35" s="69">
        <f>$B$5/($F$5*S) * (stdpres($F$2)*(1+(CoolingDrag_IC!$B$27-1)/2*$F$3^2)^(CoolingDrag_IC!$B$27/(CoolingDrag_IC!$B$27-1))/stdpres(0))</f>
        <v>2.725549506683393E-3</v>
      </c>
      <c r="P35">
        <f t="shared" si="15"/>
        <v>6.7059323396594706E-2</v>
      </c>
      <c r="Q35">
        <f t="shared" si="16"/>
        <v>15.198632321001851</v>
      </c>
      <c r="R35">
        <f t="shared" si="6"/>
        <v>15.343920755865602</v>
      </c>
      <c r="T35">
        <f t="shared" si="17"/>
        <v>5.8739282402115706E-2</v>
      </c>
      <c r="U35">
        <f t="shared" si="18"/>
        <v>17.351420690207298</v>
      </c>
      <c r="V35">
        <f t="shared" si="19"/>
        <v>-12.406986192320417</v>
      </c>
      <c r="W35">
        <f t="shared" si="20"/>
        <v>6.9223082149811108E-5</v>
      </c>
      <c r="Y35">
        <f t="shared" si="7"/>
        <v>1.0266999999999999</v>
      </c>
      <c r="Z35">
        <f t="shared" si="8"/>
        <v>-0.25594800000000006</v>
      </c>
    </row>
    <row r="36" spans="2:26" x14ac:dyDescent="0.25">
      <c r="B36" s="9">
        <v>9.5</v>
      </c>
      <c r="C36" s="9">
        <v>1.0696639999999999</v>
      </c>
      <c r="D36" s="9">
        <v>3.5791000000000003E-2</v>
      </c>
      <c r="E36" s="9">
        <v>1.261E-2</v>
      </c>
      <c r="F36" s="9">
        <v>4.8399999999999999E-2</v>
      </c>
      <c r="G36" s="9">
        <v>0</v>
      </c>
      <c r="H36" s="9">
        <v>-0.19914399999999999</v>
      </c>
      <c r="I36" s="9">
        <v>0</v>
      </c>
      <c r="J36" s="9">
        <v>0</v>
      </c>
      <c r="K36" s="9">
        <v>0</v>
      </c>
      <c r="L36" s="9">
        <v>92.601299999999995</v>
      </c>
      <c r="M36" s="9">
        <v>0.59430000000000005</v>
      </c>
      <c r="N36">
        <f>CD0!$B$64-$E$49</f>
        <v>1.4679773889911315E-2</v>
      </c>
      <c r="O36" s="69">
        <f>$B$5/($F$5*S) * (stdpres($F$2)*(1+(CoolingDrag_IC!$B$27-1)/2*$F$3^2)^(CoolingDrag_IC!$B$27/(CoolingDrag_IC!$B$27-1))/stdpres(0))</f>
        <v>2.725549506683393E-3</v>
      </c>
      <c r="P36">
        <f t="shared" si="15"/>
        <v>6.5805323396594714E-2</v>
      </c>
      <c r="Q36">
        <f t="shared" si="16"/>
        <v>16.254976722070982</v>
      </c>
      <c r="R36">
        <f t="shared" si="6"/>
        <v>16.811638458442928</v>
      </c>
      <c r="T36">
        <f t="shared" si="17"/>
        <v>6.2937610858199114E-2</v>
      </c>
      <c r="U36">
        <f t="shared" si="18"/>
        <v>16.995624482950181</v>
      </c>
      <c r="V36">
        <f t="shared" si="19"/>
        <v>-4.3578731786066998</v>
      </c>
      <c r="W36">
        <f t="shared" si="20"/>
        <v>8.2237752028713373E-6</v>
      </c>
      <c r="Y36">
        <f t="shared" si="7"/>
        <v>1.0757000000000001</v>
      </c>
      <c r="Z36">
        <f t="shared" si="8"/>
        <v>-0.27244800000000002</v>
      </c>
    </row>
    <row r="37" spans="2:26" x14ac:dyDescent="0.25">
      <c r="B37" s="9">
        <v>10</v>
      </c>
      <c r="C37" s="9">
        <v>1.117224</v>
      </c>
      <c r="D37" s="9">
        <v>4.0922E-2</v>
      </c>
      <c r="E37" s="9">
        <v>1.3245E-2</v>
      </c>
      <c r="F37" s="9">
        <v>5.4167E-2</v>
      </c>
      <c r="G37" s="9">
        <v>0</v>
      </c>
      <c r="H37" s="9">
        <v>-0.201959</v>
      </c>
      <c r="I37" s="9">
        <v>0</v>
      </c>
      <c r="J37" s="9">
        <v>0</v>
      </c>
      <c r="K37" s="9">
        <v>0</v>
      </c>
      <c r="L37" s="9">
        <v>92.601299999999995</v>
      </c>
      <c r="M37" s="9">
        <v>0.5917</v>
      </c>
      <c r="N37">
        <f>CD0!$B$64-$E$49</f>
        <v>1.4679773889911315E-2</v>
      </c>
      <c r="O37" s="69">
        <f>$B$5/($F$5*S) * (stdpres($F$2)*(1+(CoolingDrag_IC!$B$27-1)/2*$F$3^2)^(CoolingDrag_IC!$B$27/(CoolingDrag_IC!$B$27-1))/stdpres(0))</f>
        <v>2.725549506683393E-3</v>
      </c>
      <c r="P37">
        <f t="shared" si="15"/>
        <v>7.1572323396594709E-2</v>
      </c>
      <c r="Q37">
        <f t="shared" si="16"/>
        <v>15.609721006390519</v>
      </c>
      <c r="R37">
        <f t="shared" si="6"/>
        <v>16.49929050337245</v>
      </c>
      <c r="T37">
        <f t="shared" si="17"/>
        <v>6.7098818832099644E-2</v>
      </c>
      <c r="U37">
        <f t="shared" si="18"/>
        <v>16.65042722727523</v>
      </c>
      <c r="V37">
        <f t="shared" si="19"/>
        <v>-6.2503274341208641</v>
      </c>
      <c r="W37">
        <f t="shared" si="20"/>
        <v>2.0012243088558181E-5</v>
      </c>
      <c r="Y37">
        <f t="shared" si="7"/>
        <v>1.1247</v>
      </c>
      <c r="Z37">
        <f t="shared" si="8"/>
        <v>-0.28894800000000004</v>
      </c>
    </row>
    <row r="38" spans="2:26" x14ac:dyDescent="0.25">
      <c r="B38" s="9">
        <v>10.5</v>
      </c>
      <c r="C38" s="9">
        <v>1.166849</v>
      </c>
      <c r="D38" s="9">
        <v>4.3640999999999999E-2</v>
      </c>
      <c r="E38" s="9">
        <v>1.3929E-2</v>
      </c>
      <c r="F38" s="9">
        <v>5.7570000000000003E-2</v>
      </c>
      <c r="G38" s="9">
        <v>0</v>
      </c>
      <c r="H38" s="9">
        <v>-0.21184600000000001</v>
      </c>
      <c r="I38" s="9">
        <v>0</v>
      </c>
      <c r="J38" s="9">
        <v>0</v>
      </c>
      <c r="K38" s="9">
        <v>0</v>
      </c>
      <c r="L38" s="9">
        <v>92.601299999999995</v>
      </c>
      <c r="M38" s="9">
        <v>0.59709999999999996</v>
      </c>
      <c r="N38">
        <f>CD0!$B$64-$E$49</f>
        <v>1.4679773889911315E-2</v>
      </c>
      <c r="O38" s="69">
        <f>$B$5/($F$5*S) * (stdpres($F$2)*(1+(CoolingDrag_IC!$B$27-1)/2*$F$3^2)^(CoolingDrag_IC!$B$27/(CoolingDrag_IC!$B$27-1))/stdpres(0))</f>
        <v>2.725549506683393E-3</v>
      </c>
      <c r="P38">
        <f t="shared" si="15"/>
        <v>7.4975323396594712E-2</v>
      </c>
      <c r="Q38">
        <f t="shared" si="16"/>
        <v>15.563107261675338</v>
      </c>
      <c r="R38">
        <f t="shared" si="6"/>
        <v>16.811390640205023</v>
      </c>
      <c r="T38">
        <f t="shared" si="17"/>
        <v>7.1651440268300517E-2</v>
      </c>
      <c r="U38">
        <f t="shared" si="18"/>
        <v>16.28507390264182</v>
      </c>
      <c r="V38">
        <f t="shared" si="19"/>
        <v>-4.433302822465933</v>
      </c>
      <c r="W38">
        <f t="shared" si="20"/>
        <v>1.10481990505588E-5</v>
      </c>
      <c r="Y38">
        <f t="shared" si="7"/>
        <v>1.1737000000000002</v>
      </c>
      <c r="Z38">
        <f t="shared" si="8"/>
        <v>-0.30544800000000005</v>
      </c>
    </row>
    <row r="39" spans="2:26" x14ac:dyDescent="0.25">
      <c r="B39" s="9">
        <v>11</v>
      </c>
      <c r="C39" s="9">
        <v>1.2169140000000001</v>
      </c>
      <c r="D39" s="9">
        <v>4.7468999999999997E-2</v>
      </c>
      <c r="E39" s="9">
        <v>1.464E-2</v>
      </c>
      <c r="F39" s="9">
        <v>6.2107999999999997E-2</v>
      </c>
      <c r="G39" s="9">
        <v>0</v>
      </c>
      <c r="H39" s="9">
        <v>-0.222194</v>
      </c>
      <c r="I39" s="9">
        <v>0</v>
      </c>
      <c r="J39" s="9">
        <v>0</v>
      </c>
      <c r="K39" s="9">
        <v>0</v>
      </c>
      <c r="L39" s="9">
        <v>92.601299999999995</v>
      </c>
      <c r="M39" s="9">
        <v>0.60289999999999999</v>
      </c>
      <c r="N39">
        <f>CD0!$B$64-$E$49</f>
        <v>1.4679773889911315E-2</v>
      </c>
      <c r="O39" s="69">
        <f>$B$5/($F$5*S) * (stdpres($F$2)*(1+(CoolingDrag_IC!$B$27-1)/2*$F$3^2)^(CoolingDrag_IC!$B$27/(CoolingDrag_IC!$B$27-1))/stdpres(0))</f>
        <v>2.725549506683393E-3</v>
      </c>
      <c r="P39">
        <f t="shared" si="15"/>
        <v>7.9513323396594712E-2</v>
      </c>
      <c r="Q39">
        <f t="shared" si="16"/>
        <v>15.304529455149353</v>
      </c>
      <c r="R39">
        <f t="shared" si="6"/>
        <v>16.88301184984784</v>
      </c>
      <c r="T39">
        <f t="shared" si="17"/>
        <v>7.6462514745680318E-2</v>
      </c>
      <c r="U39">
        <f t="shared" si="18"/>
        <v>15.915171035736154</v>
      </c>
      <c r="V39">
        <f t="shared" si="19"/>
        <v>-3.8368521407382774</v>
      </c>
      <c r="W39">
        <f t="shared" si="20"/>
        <v>9.3074334244941041E-6</v>
      </c>
      <c r="Y39">
        <f t="shared" si="7"/>
        <v>1.2227000000000001</v>
      </c>
      <c r="Z39">
        <f t="shared" si="8"/>
        <v>-0.32194800000000001</v>
      </c>
    </row>
    <row r="40" spans="2:26" x14ac:dyDescent="0.25">
      <c r="B40" s="9">
        <v>11.5</v>
      </c>
      <c r="C40" s="9">
        <v>1.265865</v>
      </c>
      <c r="D40" s="9">
        <v>5.1404999999999999E-2</v>
      </c>
      <c r="E40" s="9">
        <v>1.541E-2</v>
      </c>
      <c r="F40" s="9">
        <v>6.6814999999999999E-2</v>
      </c>
      <c r="G40" s="9">
        <v>0</v>
      </c>
      <c r="H40" s="9">
        <v>-0.228768</v>
      </c>
      <c r="I40" s="9">
        <v>0</v>
      </c>
      <c r="J40" s="9">
        <v>0</v>
      </c>
      <c r="K40" s="9">
        <v>0</v>
      </c>
      <c r="L40" s="9">
        <v>92.601299999999995</v>
      </c>
      <c r="M40" s="9">
        <v>0.60519999999999996</v>
      </c>
      <c r="N40">
        <f>CD0!$B$64-$E$49</f>
        <v>1.4679773889911315E-2</v>
      </c>
      <c r="O40" s="69">
        <f>$B$5/($F$5*S) * (stdpres($F$2)*(1+(CoolingDrag_IC!$B$27-1)/2*$F$3^2)^(CoolingDrag_IC!$B$27/(CoolingDrag_IC!$B$27-1))/stdpres(0))</f>
        <v>2.725549506683393E-3</v>
      </c>
      <c r="P40">
        <f t="shared" si="15"/>
        <v>8.4220323396594715E-2</v>
      </c>
      <c r="Q40">
        <f t="shared" si="16"/>
        <v>15.030398233440918</v>
      </c>
      <c r="R40">
        <f t="shared" si="6"/>
        <v>16.910801179100904</v>
      </c>
      <c r="T40">
        <f t="shared" si="17"/>
        <v>8.1378330534642274E-2</v>
      </c>
      <c r="U40">
        <f t="shared" si="18"/>
        <v>15.55530804924941</v>
      </c>
      <c r="V40">
        <f t="shared" si="19"/>
        <v>-3.3744739361418219</v>
      </c>
      <c r="W40">
        <f t="shared" si="20"/>
        <v>8.076923427388629E-6</v>
      </c>
      <c r="Y40">
        <f t="shared" si="7"/>
        <v>1.2717000000000001</v>
      </c>
      <c r="Z40">
        <f t="shared" si="8"/>
        <v>-0.33844800000000003</v>
      </c>
    </row>
    <row r="41" spans="2:26" x14ac:dyDescent="0.25">
      <c r="B41" s="9">
        <v>12</v>
      </c>
      <c r="C41" s="9">
        <v>1.3155920000000001</v>
      </c>
      <c r="D41" s="9">
        <v>5.5592999999999997E-2</v>
      </c>
      <c r="E41" s="9">
        <v>1.6239E-2</v>
      </c>
      <c r="F41" s="9">
        <v>7.1831999999999993E-2</v>
      </c>
      <c r="G41" s="9">
        <v>0</v>
      </c>
      <c r="H41" s="9">
        <v>-0.23648</v>
      </c>
      <c r="I41" s="9">
        <v>0</v>
      </c>
      <c r="J41" s="9">
        <v>0</v>
      </c>
      <c r="K41" s="9">
        <v>0</v>
      </c>
      <c r="L41" s="9">
        <v>92.601299999999995</v>
      </c>
      <c r="M41" s="9">
        <v>0.60880000000000001</v>
      </c>
      <c r="N41">
        <f>CD0!$B$64-$E$49</f>
        <v>1.4679773889911315E-2</v>
      </c>
      <c r="O41" s="69">
        <f>$B$5/($F$5*S) * (stdpres($F$2)*(1+(CoolingDrag_IC!$B$27-1)/2*$F$3^2)^(CoolingDrag_IC!$B$27/(CoolingDrag_IC!$B$27-1))/stdpres(0))</f>
        <v>2.725549506683393E-3</v>
      </c>
      <c r="P41">
        <f t="shared" si="15"/>
        <v>8.9237323396594709E-2</v>
      </c>
      <c r="Q41">
        <f t="shared" si="16"/>
        <v>14.742620575397076</v>
      </c>
      <c r="R41">
        <f t="shared" si="6"/>
        <v>16.909676547426212</v>
      </c>
      <c r="T41">
        <f t="shared" si="17"/>
        <v>8.6586490636508015E-2</v>
      </c>
      <c r="U41">
        <f t="shared" si="18"/>
        <v>15.193963750337037</v>
      </c>
      <c r="V41">
        <f t="shared" si="19"/>
        <v>-2.970542659942498</v>
      </c>
      <c r="W41">
        <f t="shared" si="20"/>
        <v>7.0269143219488389E-6</v>
      </c>
      <c r="Y41">
        <f t="shared" si="7"/>
        <v>1.3207000000000002</v>
      </c>
      <c r="Z41">
        <f t="shared" si="8"/>
        <v>-0.35494800000000004</v>
      </c>
    </row>
    <row r="42" spans="2:26" x14ac:dyDescent="0.25">
      <c r="B42" s="9">
        <v>12.5</v>
      </c>
      <c r="C42" s="9">
        <v>1.3648670000000001</v>
      </c>
      <c r="D42" s="9">
        <v>5.9887000000000003E-2</v>
      </c>
      <c r="E42" s="9">
        <v>1.7131E-2</v>
      </c>
      <c r="F42" s="9">
        <v>7.7018000000000003E-2</v>
      </c>
      <c r="G42" s="9">
        <v>0</v>
      </c>
      <c r="H42" s="9">
        <v>-0.242314</v>
      </c>
      <c r="I42" s="9">
        <v>0</v>
      </c>
      <c r="J42" s="9">
        <v>0</v>
      </c>
      <c r="K42" s="9">
        <v>0</v>
      </c>
      <c r="L42" s="9">
        <v>92.601299999999995</v>
      </c>
      <c r="M42" s="9">
        <v>0.61099999999999999</v>
      </c>
      <c r="N42">
        <f>CD0!$B$64-$E$49</f>
        <v>1.4679773889911315E-2</v>
      </c>
      <c r="O42" s="69">
        <f>$B$5/($F$5*S) * (stdpres($F$2)*(1+(CoolingDrag_IC!$B$27-1)/2*$F$3^2)^(CoolingDrag_IC!$B$27/(CoolingDrag_IC!$B$27-1))/stdpres(0))</f>
        <v>2.725549506683393E-3</v>
      </c>
      <c r="P42">
        <f t="shared" si="15"/>
        <v>9.4423323396594719E-2</v>
      </c>
      <c r="Q42">
        <f t="shared" si="16"/>
        <v>14.454765527234372</v>
      </c>
      <c r="R42">
        <f t="shared" si="6"/>
        <v>16.8871444403078</v>
      </c>
      <c r="T42">
        <f t="shared" si="17"/>
        <v>9.1960475061577812E-2</v>
      </c>
      <c r="U42">
        <f t="shared" si="18"/>
        <v>14.841887224767696</v>
      </c>
      <c r="V42">
        <f t="shared" si="19"/>
        <v>-2.6083050738137086</v>
      </c>
      <c r="W42">
        <f t="shared" si="20"/>
        <v>6.0656219212955495E-6</v>
      </c>
      <c r="Y42">
        <f t="shared" si="7"/>
        <v>1.3697000000000001</v>
      </c>
      <c r="Z42">
        <f t="shared" si="8"/>
        <v>-0.37144800000000006</v>
      </c>
    </row>
    <row r="43" spans="2:26" x14ac:dyDescent="0.25">
      <c r="B43" s="9">
        <v>13</v>
      </c>
      <c r="C43" s="9">
        <v>1.4140710000000001</v>
      </c>
      <c r="D43" s="9">
        <v>6.4327999999999996E-2</v>
      </c>
      <c r="E43" s="9">
        <v>1.8110000000000001E-2</v>
      </c>
      <c r="F43" s="9">
        <v>8.2437999999999997E-2</v>
      </c>
      <c r="G43" s="9">
        <v>0</v>
      </c>
      <c r="H43" s="9">
        <v>-0.24723700000000001</v>
      </c>
      <c r="I43" s="9">
        <v>0</v>
      </c>
      <c r="J43" s="9">
        <v>0</v>
      </c>
      <c r="K43" s="9">
        <v>0</v>
      </c>
      <c r="L43" s="9">
        <v>92.601299999999995</v>
      </c>
      <c r="M43" s="9">
        <v>0.61270000000000002</v>
      </c>
      <c r="N43">
        <f>CD0!$B$64-$E$49</f>
        <v>1.4679773889911315E-2</v>
      </c>
      <c r="O43" s="69">
        <f>$B$5/($F$5*S) * (stdpres($F$2)*(1+(CoolingDrag_IC!$B$27-1)/2*$F$3^2)^(CoolingDrag_IC!$B$27/(CoolingDrag_IC!$B$27-1))/stdpres(0))</f>
        <v>2.725549506683393E-3</v>
      </c>
      <c r="P43">
        <f t="shared" si="15"/>
        <v>9.9843323396594713E-2</v>
      </c>
      <c r="Q43">
        <f t="shared" si="16"/>
        <v>14.162899950586269</v>
      </c>
      <c r="R43">
        <f t="shared" si="6"/>
        <v>16.841772443355637</v>
      </c>
      <c r="T43">
        <f t="shared" si="17"/>
        <v>9.7538449104840996E-2</v>
      </c>
      <c r="U43">
        <f t="shared" si="18"/>
        <v>14.497575191912881</v>
      </c>
      <c r="V43">
        <f t="shared" si="19"/>
        <v>-2.3084911572888682</v>
      </c>
      <c r="W43">
        <f t="shared" si="20"/>
        <v>5.3124455007871982E-6</v>
      </c>
      <c r="Y43">
        <f t="shared" si="7"/>
        <v>1.4187000000000001</v>
      </c>
      <c r="Z43">
        <f t="shared" si="8"/>
        <v>-0.38794800000000007</v>
      </c>
    </row>
    <row r="44" spans="2:26" x14ac:dyDescent="0.25">
      <c r="B44" s="9">
        <v>13.5</v>
      </c>
      <c r="C44" s="9">
        <v>1.463241</v>
      </c>
      <c r="D44" s="9">
        <v>6.8920999999999996E-2</v>
      </c>
      <c r="E44" s="9">
        <v>1.9141999999999999E-2</v>
      </c>
      <c r="F44" s="9">
        <v>8.8063000000000002E-2</v>
      </c>
      <c r="G44" s="9">
        <v>0</v>
      </c>
      <c r="H44" s="9">
        <v>-0.25133299999999997</v>
      </c>
      <c r="I44" s="9">
        <v>0</v>
      </c>
      <c r="J44" s="9">
        <v>0</v>
      </c>
      <c r="K44" s="9">
        <v>0</v>
      </c>
      <c r="L44" s="9">
        <v>92.601299999999995</v>
      </c>
      <c r="M44" s="9">
        <v>0.61409999999999998</v>
      </c>
      <c r="N44">
        <f>CD0!$B$64-$E$49</f>
        <v>1.4679773889911315E-2</v>
      </c>
      <c r="O44" s="69">
        <f>$B$5/($F$5*S) * (stdpres($F$2)*(1+(CoolingDrag_IC!$B$27-1)/2*$F$3^2)^(CoolingDrag_IC!$B$27/(CoolingDrag_IC!$B$27-1))/stdpres(0))</f>
        <v>2.725549506683393E-3</v>
      </c>
      <c r="P44">
        <f t="shared" si="15"/>
        <v>0.10546832339659472</v>
      </c>
      <c r="Q44">
        <f t="shared" si="16"/>
        <v>13.873748561430569</v>
      </c>
      <c r="R44">
        <f t="shared" si="6"/>
        <v>16.782310429347767</v>
      </c>
      <c r="T44">
        <f t="shared" si="17"/>
        <v>0.10332392981347119</v>
      </c>
      <c r="U44">
        <f t="shared" si="18"/>
        <v>14.161685513138751</v>
      </c>
      <c r="V44">
        <f t="shared" si="19"/>
        <v>-2.0332110287369627</v>
      </c>
      <c r="W44">
        <f t="shared" si="20"/>
        <v>4.5984238393413717E-6</v>
      </c>
      <c r="Y44">
        <f t="shared" si="7"/>
        <v>1.4677</v>
      </c>
      <c r="Z44">
        <f t="shared" si="8"/>
        <v>-0.40444800000000003</v>
      </c>
    </row>
    <row r="45" spans="2:26" x14ac:dyDescent="0.25">
      <c r="B45" s="9">
        <v>14</v>
      </c>
      <c r="C45" s="9">
        <v>1.5123960000000001</v>
      </c>
      <c r="D45" s="9">
        <v>7.3666999999999996E-2</v>
      </c>
      <c r="E45" s="9">
        <v>2.0205999999999998E-2</v>
      </c>
      <c r="F45" s="9">
        <v>9.3873999999999999E-2</v>
      </c>
      <c r="G45" s="9">
        <v>0</v>
      </c>
      <c r="H45" s="9">
        <v>-0.25462299999999999</v>
      </c>
      <c r="I45" s="9">
        <v>0</v>
      </c>
      <c r="J45" s="9">
        <v>0</v>
      </c>
      <c r="K45" s="9">
        <v>0</v>
      </c>
      <c r="L45" s="9">
        <v>92.601299999999995</v>
      </c>
      <c r="M45" s="9">
        <v>0.61509999999999998</v>
      </c>
      <c r="N45">
        <f>CD0!$B$64-$E$49</f>
        <v>1.4679773889911315E-2</v>
      </c>
      <c r="O45" s="69">
        <f>$B$5/($F$5*S) * (stdpres($F$2)*(1+(CoolingDrag_IC!$B$27-1)/2*$F$3^2)^(CoolingDrag_IC!$B$27/(CoolingDrag_IC!$B$27-1))/stdpres(0))</f>
        <v>2.725549506683393E-3</v>
      </c>
      <c r="P45">
        <f t="shared" si="15"/>
        <v>0.11127932339659471</v>
      </c>
      <c r="Q45">
        <f t="shared" si="16"/>
        <v>13.590988458924089</v>
      </c>
      <c r="R45">
        <f t="shared" si="6"/>
        <v>16.714131077338305</v>
      </c>
      <c r="T45">
        <f t="shared" si="17"/>
        <v>0.10931883690406885</v>
      </c>
      <c r="U45">
        <f t="shared" si="18"/>
        <v>13.834724580240286</v>
      </c>
      <c r="V45">
        <f t="shared" si="19"/>
        <v>-1.7617706800200208</v>
      </c>
      <c r="W45">
        <f t="shared" si="20"/>
        <v>3.8435072873763676E-6</v>
      </c>
      <c r="Y45">
        <f t="shared" si="7"/>
        <v>1.5167000000000002</v>
      </c>
      <c r="Z45">
        <f t="shared" si="8"/>
        <v>-0.42094800000000004</v>
      </c>
    </row>
    <row r="46" spans="2:26" x14ac:dyDescent="0.25">
      <c r="B46" s="9">
        <v>14.5</v>
      </c>
      <c r="C46" s="9">
        <v>1.5615380000000001</v>
      </c>
      <c r="D46" s="9">
        <v>7.8566999999999998E-2</v>
      </c>
      <c r="E46" s="9">
        <v>2.1314E-2</v>
      </c>
      <c r="F46" s="9">
        <v>9.9880999999999998E-2</v>
      </c>
      <c r="G46" s="9">
        <v>0</v>
      </c>
      <c r="H46" s="9">
        <v>-0.25710300000000003</v>
      </c>
      <c r="I46" s="9">
        <v>0</v>
      </c>
      <c r="J46" s="9">
        <v>0</v>
      </c>
      <c r="K46" s="9">
        <v>0</v>
      </c>
      <c r="L46" s="9">
        <v>92.601299999999995</v>
      </c>
      <c r="M46" s="9">
        <v>0.61599999999999999</v>
      </c>
      <c r="N46">
        <f>CD0!$B$64-$E$49</f>
        <v>1.4679773889911315E-2</v>
      </c>
      <c r="O46" s="69">
        <f>$B$5/($F$5*S) * (stdpres($F$2)*(1+(CoolingDrag_IC!$B$27-1)/2*$F$3^2)^(CoolingDrag_IC!$B$27/(CoolingDrag_IC!$B$27-1))/stdpres(0))</f>
        <v>2.725549506683393E-3</v>
      </c>
      <c r="P46">
        <f t="shared" si="15"/>
        <v>0.11728632339659471</v>
      </c>
      <c r="Q46">
        <f t="shared" si="16"/>
        <v>13.313896750943236</v>
      </c>
      <c r="R46">
        <f t="shared" si="6"/>
        <v>16.637246962405424</v>
      </c>
      <c r="T46">
        <f t="shared" si="17"/>
        <v>0.1155232338698992</v>
      </c>
      <c r="U46">
        <f t="shared" si="18"/>
        <v>13.517090438782075</v>
      </c>
      <c r="V46">
        <f t="shared" si="19"/>
        <v>-1.5032353949179256</v>
      </c>
      <c r="W46">
        <f t="shared" si="20"/>
        <v>3.1084846791434188E-6</v>
      </c>
      <c r="Y46">
        <f t="shared" si="7"/>
        <v>1.5657000000000001</v>
      </c>
      <c r="Z46">
        <f t="shared" si="8"/>
        <v>-0.43744800000000006</v>
      </c>
    </row>
    <row r="47" spans="2:26" x14ac:dyDescent="0.25">
      <c r="B47" s="9">
        <v>15</v>
      </c>
      <c r="C47" s="9">
        <v>1.6106670000000001</v>
      </c>
      <c r="D47" s="9">
        <v>8.362E-2</v>
      </c>
      <c r="E47" s="9">
        <v>2.2540000000000001E-2</v>
      </c>
      <c r="F47" s="9">
        <v>0.10616</v>
      </c>
      <c r="G47" s="9">
        <v>0</v>
      </c>
      <c r="H47" s="9">
        <v>-0.258772</v>
      </c>
      <c r="I47" s="9">
        <v>0</v>
      </c>
      <c r="J47" s="9">
        <v>0</v>
      </c>
      <c r="K47" s="9">
        <v>0</v>
      </c>
      <c r="L47" s="9">
        <v>92.601299999999995</v>
      </c>
      <c r="M47" s="9">
        <v>0.61660000000000004</v>
      </c>
      <c r="N47">
        <f>CD0!$B$64-$E$49</f>
        <v>1.4679773889911315E-2</v>
      </c>
      <c r="O47" s="69">
        <f>$B$5/($F$5*S) * (stdpres($F$2)*(1+(CoolingDrag_IC!$B$27-1)/2*$F$3^2)^(CoolingDrag_IC!$B$27/(CoolingDrag_IC!$B$27-1))/stdpres(0))</f>
        <v>2.725549506683393E-3</v>
      </c>
      <c r="P47">
        <f t="shared" si="15"/>
        <v>0.12356532339659472</v>
      </c>
      <c r="Q47">
        <f t="shared" si="16"/>
        <v>13.034943426890166</v>
      </c>
      <c r="R47">
        <f t="shared" si="6"/>
        <v>16.542914722996386</v>
      </c>
      <c r="T47">
        <f t="shared" si="17"/>
        <v>0.12193695321981858</v>
      </c>
      <c r="U47">
        <f t="shared" si="18"/>
        <v>13.209014638051627</v>
      </c>
      <c r="V47">
        <f t="shared" si="19"/>
        <v>-1.3178213207517206</v>
      </c>
      <c r="W47">
        <f t="shared" si="20"/>
        <v>2.6515894326139553E-6</v>
      </c>
      <c r="Y47">
        <f t="shared" si="7"/>
        <v>1.6147</v>
      </c>
      <c r="Z47">
        <f t="shared" si="8"/>
        <v>-0.45394800000000002</v>
      </c>
    </row>
    <row r="48" spans="2:26" x14ac:dyDescent="0.25">
      <c r="M48" s="6"/>
    </row>
    <row r="49" spans="1:23" x14ac:dyDescent="0.25">
      <c r="A49" s="21" t="s">
        <v>89</v>
      </c>
      <c r="B49">
        <f t="shared" ref="B49:R49" si="21">MIN(B12:B47)</f>
        <v>-2.5</v>
      </c>
      <c r="C49">
        <f t="shared" si="21"/>
        <v>-9.9982000000000001E-2</v>
      </c>
      <c r="D49">
        <f t="shared" si="21"/>
        <v>4.7600000000000002E-4</v>
      </c>
      <c r="E49">
        <f t="shared" si="21"/>
        <v>4.1809999999999998E-3</v>
      </c>
      <c r="F49">
        <f t="shared" si="21"/>
        <v>7.306E-3</v>
      </c>
      <c r="G49">
        <f t="shared" si="21"/>
        <v>0</v>
      </c>
      <c r="H49">
        <f t="shared" si="21"/>
        <v>-0.258772</v>
      </c>
      <c r="I49">
        <f t="shared" si="21"/>
        <v>0</v>
      </c>
      <c r="J49">
        <f t="shared" si="21"/>
        <v>0</v>
      </c>
      <c r="K49">
        <f t="shared" si="21"/>
        <v>0</v>
      </c>
      <c r="L49">
        <f t="shared" si="21"/>
        <v>92.601299999999995</v>
      </c>
      <c r="M49">
        <f t="shared" si="21"/>
        <v>-1.6759999999999999</v>
      </c>
      <c r="N49">
        <f t="shared" si="21"/>
        <v>1.4679773889911315E-2</v>
      </c>
      <c r="O49">
        <f t="shared" si="21"/>
        <v>2.725549506683393E-3</v>
      </c>
      <c r="P49">
        <f t="shared" si="21"/>
        <v>2.4711323396594709E-2</v>
      </c>
      <c r="Q49">
        <f t="shared" si="21"/>
        <v>-3.8426056848613208</v>
      </c>
      <c r="R49">
        <f t="shared" si="21"/>
        <v>0</v>
      </c>
      <c r="T49">
        <f>MIN(T12:T47)</f>
        <v>2.1196406300879034E-2</v>
      </c>
      <c r="U49">
        <f>MIN(U12:U47)</f>
        <v>-4.3830300051225146</v>
      </c>
      <c r="V49">
        <f>MIN(V12:V47)</f>
        <v>-14.267518868644258</v>
      </c>
      <c r="W49" s="1" t="s">
        <v>104</v>
      </c>
    </row>
    <row r="50" spans="1:23" x14ac:dyDescent="0.25">
      <c r="A50" s="21" t="s">
        <v>90</v>
      </c>
      <c r="B50">
        <f t="shared" ref="B50:R50" si="22">MAX(B12:B47)</f>
        <v>15</v>
      </c>
      <c r="C50">
        <f t="shared" si="22"/>
        <v>1.6106670000000001</v>
      </c>
      <c r="D50">
        <f t="shared" si="22"/>
        <v>8.362E-2</v>
      </c>
      <c r="E50">
        <f t="shared" si="22"/>
        <v>2.2540000000000001E-2</v>
      </c>
      <c r="F50">
        <f t="shared" si="22"/>
        <v>0.10616</v>
      </c>
      <c r="G50">
        <f t="shared" si="22"/>
        <v>0</v>
      </c>
      <c r="H50">
        <f t="shared" si="22"/>
        <v>0.131526</v>
      </c>
      <c r="I50">
        <f t="shared" si="22"/>
        <v>0</v>
      </c>
      <c r="J50">
        <f t="shared" si="22"/>
        <v>0</v>
      </c>
      <c r="K50">
        <f t="shared" si="22"/>
        <v>0</v>
      </c>
      <c r="L50">
        <f t="shared" si="22"/>
        <v>92.601299999999995</v>
      </c>
      <c r="M50">
        <f t="shared" si="22"/>
        <v>56.1477</v>
      </c>
      <c r="N50">
        <f t="shared" si="22"/>
        <v>1.4679773889911315E-2</v>
      </c>
      <c r="O50">
        <f t="shared" si="22"/>
        <v>2.725549506683393E-3</v>
      </c>
      <c r="P50">
        <f t="shared" si="22"/>
        <v>0.12356532339659472</v>
      </c>
      <c r="Q50">
        <f t="shared" si="22"/>
        <v>17.498375641614604</v>
      </c>
      <c r="R50">
        <f t="shared" si="22"/>
        <v>16.910801179100904</v>
      </c>
      <c r="T50">
        <f>MAX(T12:T47)</f>
        <v>0.12193695321981858</v>
      </c>
      <c r="U50">
        <f>MAX(U12:U47)</f>
        <v>18.739891184334482</v>
      </c>
      <c r="V50">
        <f>MAX(V12:V47)</f>
        <v>-1.3178213207517206</v>
      </c>
      <c r="W50">
        <f>SUM(W12:W47)</f>
        <v>3.8528383092029204E-4</v>
      </c>
    </row>
    <row r="51" spans="1:23" x14ac:dyDescent="0.25">
      <c r="A51" s="21" t="s">
        <v>92</v>
      </c>
      <c r="B51">
        <f t="shared" ref="B51:R51" si="23">AVERAGE(B12:B47)</f>
        <v>6.25</v>
      </c>
      <c r="C51">
        <f t="shared" si="23"/>
        <v>0.7543022222222221</v>
      </c>
      <c r="D51">
        <f t="shared" si="23"/>
        <v>2.6644694444444443E-2</v>
      </c>
      <c r="E51">
        <f t="shared" si="23"/>
        <v>1.0501194444444445E-2</v>
      </c>
      <c r="F51">
        <f t="shared" si="23"/>
        <v>3.7145833333333336E-2</v>
      </c>
      <c r="G51">
        <f t="shared" si="23"/>
        <v>0</v>
      </c>
      <c r="H51">
        <f t="shared" si="23"/>
        <v>-0.11093347222222222</v>
      </c>
      <c r="I51">
        <f t="shared" si="23"/>
        <v>0</v>
      </c>
      <c r="J51">
        <f t="shared" si="23"/>
        <v>0</v>
      </c>
      <c r="K51">
        <f t="shared" si="23"/>
        <v>0</v>
      </c>
      <c r="L51">
        <f t="shared" si="23"/>
        <v>92.601299999999952</v>
      </c>
      <c r="M51">
        <f t="shared" si="23"/>
        <v>2.0838277777777781</v>
      </c>
      <c r="N51">
        <f t="shared" si="23"/>
        <v>1.4679773889911315E-2</v>
      </c>
      <c r="O51">
        <f t="shared" si="23"/>
        <v>2.7255495066833939E-3</v>
      </c>
      <c r="P51">
        <f t="shared" si="23"/>
        <v>5.4551156729928038E-2</v>
      </c>
      <c r="Q51">
        <f t="shared" si="23"/>
        <v>12.645285778803929</v>
      </c>
      <c r="R51">
        <f t="shared" si="23"/>
        <v>11.681320878220264</v>
      </c>
      <c r="T51">
        <f>AVERAGE(T12:T47)</f>
        <v>5.1574348330251624E-2</v>
      </c>
      <c r="U51">
        <f>AVERAGE(U12:U47)</f>
        <v>13.458882835902747</v>
      </c>
      <c r="V51">
        <f>AVERAGE(V12:V47)</f>
        <v>-7.1546308300004977</v>
      </c>
    </row>
    <row r="52" spans="1:23" x14ac:dyDescent="0.25">
      <c r="A52" s="21" t="s">
        <v>908</v>
      </c>
      <c r="B52">
        <f>MEDIAN(B12:B47)</f>
        <v>6.25</v>
      </c>
      <c r="C52">
        <f t="shared" ref="C52:V52" si="24">MEDIAN(C12:C47)</f>
        <v>0.75429999999999997</v>
      </c>
      <c r="D52">
        <f t="shared" si="24"/>
        <v>1.79735E-2</v>
      </c>
      <c r="E52">
        <f t="shared" si="24"/>
        <v>8.7484999999999993E-3</v>
      </c>
      <c r="F52">
        <f t="shared" si="24"/>
        <v>2.6721499999999999E-2</v>
      </c>
      <c r="G52">
        <f t="shared" si="24"/>
        <v>0</v>
      </c>
      <c r="H52">
        <f t="shared" si="24"/>
        <v>-0.13677250000000002</v>
      </c>
      <c r="I52">
        <f t="shared" si="24"/>
        <v>0</v>
      </c>
      <c r="J52">
        <f t="shared" si="24"/>
        <v>0</v>
      </c>
      <c r="K52">
        <f t="shared" si="24"/>
        <v>0</v>
      </c>
      <c r="L52">
        <f t="shared" si="24"/>
        <v>92.601299999999995</v>
      </c>
      <c r="M52">
        <f t="shared" si="24"/>
        <v>0.58004999999999995</v>
      </c>
      <c r="N52">
        <f t="shared" si="24"/>
        <v>1.4679773889911315E-2</v>
      </c>
      <c r="O52">
        <f t="shared" si="24"/>
        <v>2.725549506683393E-3</v>
      </c>
      <c r="P52">
        <f t="shared" si="24"/>
        <v>4.4126823396594704E-2</v>
      </c>
      <c r="Q52">
        <f t="shared" si="24"/>
        <v>14.906384561296482</v>
      </c>
      <c r="R52">
        <f t="shared" si="24"/>
        <v>14.844546001030402</v>
      </c>
      <c r="T52">
        <f t="shared" si="24"/>
        <v>4.0372146699530265E-2</v>
      </c>
      <c r="U52">
        <f t="shared" si="24"/>
        <v>15.545072081858187</v>
      </c>
      <c r="V52">
        <f t="shared" si="24"/>
        <v>-6.5146528678918969</v>
      </c>
    </row>
    <row r="54" spans="1:23" x14ac:dyDescent="0.25">
      <c r="K54" s="102" t="s">
        <v>860</v>
      </c>
      <c r="L54" s="103"/>
      <c r="M54" s="103"/>
      <c r="N54" s="104"/>
    </row>
    <row r="55" spans="1:23" x14ac:dyDescent="0.25">
      <c r="K55" s="105" t="s">
        <v>107</v>
      </c>
      <c r="L55" s="103"/>
      <c r="M55" s="103"/>
      <c r="N55" s="104"/>
    </row>
    <row r="56" spans="1:23" x14ac:dyDescent="0.25">
      <c r="K56" s="39" t="s">
        <v>88</v>
      </c>
      <c r="L56" s="40" t="s">
        <v>2</v>
      </c>
      <c r="M56" s="40" t="s">
        <v>1</v>
      </c>
      <c r="N56" s="40" t="s">
        <v>21</v>
      </c>
    </row>
    <row r="57" spans="1:23" x14ac:dyDescent="0.25">
      <c r="K57" s="41">
        <v>2.1568E-2</v>
      </c>
      <c r="L57" s="41">
        <v>0.71</v>
      </c>
      <c r="M57" s="41">
        <v>10.26</v>
      </c>
      <c r="N57" s="41">
        <v>8.0649999999999993E-3</v>
      </c>
    </row>
    <row r="58" spans="1:23" x14ac:dyDescent="0.25">
      <c r="K58" s="1"/>
    </row>
    <row r="59" spans="1:23" x14ac:dyDescent="0.25">
      <c r="K59" s="1" t="s">
        <v>96</v>
      </c>
    </row>
    <row r="60" spans="1:23" x14ac:dyDescent="0.25">
      <c r="K60" s="1"/>
      <c r="L60" s="21" t="s">
        <v>99</v>
      </c>
      <c r="M60" s="9">
        <v>3</v>
      </c>
      <c r="N60" s="1" t="s">
        <v>100</v>
      </c>
    </row>
    <row r="61" spans="1:23" x14ac:dyDescent="0.25">
      <c r="K61" s="1"/>
      <c r="L61" s="21" t="s">
        <v>97</v>
      </c>
      <c r="M61">
        <f>1.78*(1-0.045*$M$57^(0.68))-0.64</f>
        <v>0.74986696938602548</v>
      </c>
    </row>
    <row r="62" spans="1:23" x14ac:dyDescent="0.25">
      <c r="L62" s="21" t="s">
        <v>98</v>
      </c>
      <c r="M62">
        <f>4.61*(1-0.045*$M$57^(0.68))*(COS(M60*PI()/180))^(0.15)-3.1</f>
        <v>0.49885888566619307</v>
      </c>
    </row>
    <row r="77" spans="11:14" x14ac:dyDescent="0.25">
      <c r="K77" s="101" t="s">
        <v>859</v>
      </c>
      <c r="L77" s="101"/>
      <c r="M77" s="47"/>
      <c r="N77" s="47"/>
    </row>
    <row r="78" spans="11:14" x14ac:dyDescent="0.25">
      <c r="K78" s="101" t="s">
        <v>745</v>
      </c>
      <c r="L78" s="101"/>
      <c r="M78" s="47"/>
      <c r="N78" s="47"/>
    </row>
    <row r="79" spans="11:14" x14ac:dyDescent="0.25">
      <c r="K79" s="39" t="s">
        <v>746</v>
      </c>
      <c r="L79" s="39" t="s">
        <v>747</v>
      </c>
    </row>
    <row r="80" spans="11:14" x14ac:dyDescent="0.25">
      <c r="K80" s="41">
        <v>9.8000000000000004E-2</v>
      </c>
      <c r="L80" s="41">
        <v>0.1447</v>
      </c>
    </row>
    <row r="82" spans="11:14" x14ac:dyDescent="0.25">
      <c r="K82" s="1" t="s">
        <v>748</v>
      </c>
    </row>
    <row r="83" spans="11:14" x14ac:dyDescent="0.25">
      <c r="L83" s="21" t="s">
        <v>753</v>
      </c>
      <c r="M83">
        <f>MATCH(0,C12:C47,1)+ROW(C12)-1</f>
        <v>14</v>
      </c>
    </row>
    <row r="84" spans="11:14" x14ac:dyDescent="0.25">
      <c r="L84" s="1" t="s">
        <v>868</v>
      </c>
      <c r="M84">
        <f ca="1">INDIRECT(CONCATENATE("B",M83+1)) - (INDIRECT(CONCATENATE("B",M83+1))-INDIRECT(CONCATENATE("B",M83))) / (INDIRECT(CONCATENATE("C",M83+1))-INDIRECT(CONCATENATE("C",M83))) * (INDIRECT(CONCATENATE("C",M83+1)) - 0)</f>
        <v>-1.4789155395742246</v>
      </c>
      <c r="N84" s="1" t="s">
        <v>741</v>
      </c>
    </row>
    <row r="85" spans="11:14" x14ac:dyDescent="0.25">
      <c r="L85" s="45"/>
      <c r="M85" s="1"/>
    </row>
    <row r="86" spans="11:14" x14ac:dyDescent="0.25">
      <c r="K86" s="1" t="s">
        <v>747</v>
      </c>
    </row>
    <row r="87" spans="11:14" x14ac:dyDescent="0.25">
      <c r="L87" s="21" t="s">
        <v>904</v>
      </c>
      <c r="M87">
        <f>MATCH(0,B12:B47,1)+ROW(B12)-1</f>
        <v>17</v>
      </c>
    </row>
    <row r="88" spans="11:14" x14ac:dyDescent="0.25">
      <c r="L88" s="21" t="s">
        <v>905</v>
      </c>
      <c r="M88">
        <f ca="1">INDIRECT(CONCATENATE("C",M87+1)) - (INDIRECT(CONCATENATE("C",M87+1))-INDIRECT(CONCATENATE("C",M87))) / (INDIRECT(CONCATENATE("B",M87+1))-INDIRECT(CONCATENATE("B",M87))) * (INDIRECT(CONCATENATE("B",M87+1)) - 0)</f>
        <v>0.144735</v>
      </c>
    </row>
    <row r="100" spans="11:14" x14ac:dyDescent="0.25">
      <c r="K100" s="101" t="s">
        <v>861</v>
      </c>
      <c r="L100" s="101"/>
    </row>
    <row r="101" spans="11:14" x14ac:dyDescent="0.25">
      <c r="K101" s="101" t="s">
        <v>749</v>
      </c>
      <c r="L101" s="101"/>
    </row>
    <row r="102" spans="11:14" x14ac:dyDescent="0.25">
      <c r="K102" s="39" t="s">
        <v>750</v>
      </c>
      <c r="L102" s="39" t="s">
        <v>751</v>
      </c>
    </row>
    <row r="103" spans="11:14" x14ac:dyDescent="0.25">
      <c r="K103" s="41">
        <v>-3.3000000000000002E-2</v>
      </c>
      <c r="L103" s="41">
        <f>H17</f>
        <v>4.1051999999999998E-2</v>
      </c>
    </row>
    <row r="105" spans="11:14" x14ac:dyDescent="0.25">
      <c r="K105" s="1" t="s">
        <v>752</v>
      </c>
    </row>
    <row r="106" spans="11:14" x14ac:dyDescent="0.25">
      <c r="L106" s="21" t="s">
        <v>736</v>
      </c>
      <c r="M106">
        <f>MATCH(0,H12:H47,-1)+ROW(H12)-1</f>
        <v>19</v>
      </c>
    </row>
    <row r="107" spans="11:14" x14ac:dyDescent="0.25">
      <c r="L107" s="1" t="s">
        <v>870</v>
      </c>
      <c r="M107">
        <f ca="1">INDIRECT(CONCATENATE("B",M106+1)) - (INDIRECT(CONCATENATE("B",M106+1))-INDIRECT(CONCATENATE("B",M106))) / (INDIRECT(CONCATENATE("H",M106+1))-INDIRECT(CONCATENATE("H",M106))) * (INDIRECT(CONCATENATE("H",M106+1)) - 0)</f>
        <v>1.2359227548278233</v>
      </c>
      <c r="N107" s="1" t="s">
        <v>741</v>
      </c>
    </row>
    <row r="108" spans="11:14" x14ac:dyDescent="0.25">
      <c r="L108" s="45" t="s">
        <v>869</v>
      </c>
      <c r="M108" s="1">
        <f ca="1">INDIRECT(CONCATENATE("C",M106+1)) - (INDIRECT(CONCATENATE("C",M106+1))-INDIRECT(CONCATENATE("C",M106))) / (INDIRECT(CONCATENATE("H",M106+1))-INDIRECT(CONCATENATE("H",M106))) * (INDIRECT(CONCATENATE("H",M106+1)) - 0)</f>
        <v>0.26558367452034248</v>
      </c>
    </row>
  </sheetData>
  <mergeCells count="11">
    <mergeCell ref="A1:C1"/>
    <mergeCell ref="E1:G1"/>
    <mergeCell ref="K54:N54"/>
    <mergeCell ref="K55:N55"/>
    <mergeCell ref="B10:M10"/>
    <mergeCell ref="M1:O1"/>
    <mergeCell ref="K100:L100"/>
    <mergeCell ref="K101:L101"/>
    <mergeCell ref="I1:K1"/>
    <mergeCell ref="K78:L78"/>
    <mergeCell ref="K77:L77"/>
  </mergeCells>
  <pageMargins left="0.7" right="0.7" top="0.75" bottom="0.75" header="0.3" footer="0.3"/>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Z531"/>
  <sheetViews>
    <sheetView workbookViewId="0">
      <selection activeCell="B20" sqref="B20"/>
    </sheetView>
  </sheetViews>
  <sheetFormatPr defaultColWidth="9.6640625" defaultRowHeight="13.2" x14ac:dyDescent="0.25"/>
  <cols>
    <col min="1" max="1" width="21.33203125" customWidth="1"/>
    <col min="2" max="2" width="12.44140625" bestFit="1" customWidth="1"/>
    <col min="3" max="3" width="14.6640625" bestFit="1" customWidth="1"/>
    <col min="4" max="4" width="13.44140625" customWidth="1"/>
    <col min="5" max="5" width="12.109375" customWidth="1"/>
    <col min="6" max="6" width="12.44140625" bestFit="1" customWidth="1"/>
    <col min="7" max="7" width="18.44140625" bestFit="1" customWidth="1"/>
    <col min="8" max="8" width="19" customWidth="1"/>
    <col min="9" max="9" width="21.6640625" customWidth="1"/>
    <col min="10" max="10" width="13.44140625" bestFit="1" customWidth="1"/>
    <col min="11" max="11" width="16.109375" bestFit="1" customWidth="1"/>
    <col min="12" max="12" width="17.44140625" bestFit="1" customWidth="1"/>
    <col min="13" max="13" width="11.6640625" bestFit="1" customWidth="1"/>
    <col min="14" max="14" width="20" bestFit="1" customWidth="1"/>
    <col min="15" max="15" width="15.44140625" bestFit="1" customWidth="1"/>
    <col min="16" max="16" width="15.88671875" bestFit="1" customWidth="1"/>
    <col min="17" max="17" width="17" bestFit="1" customWidth="1"/>
    <col min="18" max="18" width="15.44140625" customWidth="1"/>
    <col min="19" max="19" width="15.44140625" bestFit="1" customWidth="1"/>
    <col min="20" max="20" width="22.44140625" bestFit="1" customWidth="1"/>
    <col min="21" max="21" width="12" bestFit="1" customWidth="1"/>
    <col min="22" max="22" width="22.33203125" bestFit="1" customWidth="1"/>
    <col min="23" max="23" width="15.6640625" bestFit="1" customWidth="1"/>
    <col min="24" max="24" width="12" bestFit="1" customWidth="1"/>
    <col min="26" max="26" width="14.44140625" bestFit="1" customWidth="1"/>
    <col min="27" max="27" width="14.6640625" bestFit="1" customWidth="1"/>
  </cols>
  <sheetData>
    <row r="1" spans="1:26" x14ac:dyDescent="0.25">
      <c r="A1" s="13" t="s">
        <v>114</v>
      </c>
      <c r="H1" s="1" t="s">
        <v>101</v>
      </c>
      <c r="I1" s="1"/>
    </row>
    <row r="2" spans="1:26" x14ac:dyDescent="0.25">
      <c r="A2" s="1" t="s">
        <v>61</v>
      </c>
      <c r="B2" s="9">
        <v>0</v>
      </c>
      <c r="C2" s="1" t="s">
        <v>62</v>
      </c>
      <c r="D2" s="1" t="s">
        <v>72</v>
      </c>
      <c r="H2" s="1" t="s">
        <v>134</v>
      </c>
      <c r="I2" s="1"/>
    </row>
    <row r="3" spans="1:26" x14ac:dyDescent="0.25">
      <c r="A3" s="1" t="s">
        <v>7</v>
      </c>
      <c r="B3" s="9">
        <v>70</v>
      </c>
      <c r="C3" s="1" t="s">
        <v>71</v>
      </c>
      <c r="D3" s="1" t="s">
        <v>70</v>
      </c>
      <c r="E3" s="9">
        <v>0.1</v>
      </c>
      <c r="H3" s="1" t="s">
        <v>102</v>
      </c>
      <c r="I3" s="1"/>
    </row>
    <row r="4" spans="1:26" x14ac:dyDescent="0.25">
      <c r="B4">
        <f>B3*1.68781</f>
        <v>118.1467</v>
      </c>
      <c r="C4" s="1" t="s">
        <v>820</v>
      </c>
      <c r="D4" s="1" t="s">
        <v>7</v>
      </c>
      <c r="E4">
        <f>E3*stdsound(B2)</f>
        <v>111.64500000000001</v>
      </c>
      <c r="F4" s="1" t="s">
        <v>820</v>
      </c>
      <c r="H4" s="1" t="s">
        <v>109</v>
      </c>
      <c r="I4" s="1"/>
    </row>
    <row r="5" spans="1:26" x14ac:dyDescent="0.25">
      <c r="A5" t="s">
        <v>8</v>
      </c>
      <c r="B5" s="6">
        <f>Vel/stdsound(B2)</f>
        <v>0.10582354785256839</v>
      </c>
      <c r="D5" s="1" t="s">
        <v>7</v>
      </c>
      <c r="E5">
        <f>E4/1.68781</f>
        <v>66.147848395257768</v>
      </c>
      <c r="F5" s="1" t="s">
        <v>71</v>
      </c>
      <c r="H5" s="1" t="s">
        <v>164</v>
      </c>
      <c r="I5" s="1"/>
    </row>
    <row r="6" spans="1:26" ht="15.6" x14ac:dyDescent="0.25">
      <c r="A6" t="s">
        <v>3</v>
      </c>
      <c r="B6" s="6">
        <f>stddens(B2)</f>
        <v>2.3768999999999999E-3</v>
      </c>
      <c r="C6" s="1" t="s">
        <v>69</v>
      </c>
      <c r="H6" s="1" t="s">
        <v>997</v>
      </c>
    </row>
    <row r="7" spans="1:26" ht="15.6" x14ac:dyDescent="0.25">
      <c r="A7" s="1" t="s">
        <v>131</v>
      </c>
      <c r="B7" s="6">
        <f>stdvisc(B2)</f>
        <v>3.7371983978511784E-7</v>
      </c>
      <c r="C7" s="1" t="s">
        <v>68</v>
      </c>
      <c r="H7" s="1" t="s">
        <v>998</v>
      </c>
      <c r="U7" s="10"/>
      <c r="V7" s="10"/>
      <c r="W7" s="10"/>
      <c r="X7" s="10"/>
      <c r="Y7" s="10"/>
      <c r="Z7" s="10"/>
    </row>
    <row r="8" spans="1:26" x14ac:dyDescent="0.25">
      <c r="A8" s="1" t="s">
        <v>132</v>
      </c>
      <c r="B8" s="6">
        <f>Vis/Den</f>
        <v>1.57229938064335E-4</v>
      </c>
      <c r="C8" s="1" t="s">
        <v>133</v>
      </c>
      <c r="U8" s="10"/>
      <c r="V8" s="10"/>
      <c r="W8" s="10"/>
      <c r="X8" s="10"/>
      <c r="Y8" s="10"/>
      <c r="Z8" s="10"/>
    </row>
    <row r="9" spans="1:26" x14ac:dyDescent="0.25">
      <c r="A9" s="1" t="s">
        <v>129</v>
      </c>
      <c r="B9" s="36">
        <f>Den*Vel*B13/Vis</f>
        <v>2926283.6858839025</v>
      </c>
      <c r="U9" s="10"/>
      <c r="V9" s="10"/>
      <c r="W9" s="10"/>
      <c r="X9" s="10"/>
      <c r="Y9" s="10"/>
      <c r="Z9" s="10"/>
    </row>
    <row r="10" spans="1:26" x14ac:dyDescent="0.25">
      <c r="U10" s="10"/>
      <c r="V10" s="10"/>
      <c r="W10" s="10"/>
      <c r="X10" s="10"/>
      <c r="Y10" s="10"/>
      <c r="Z10" s="10"/>
    </row>
    <row r="11" spans="1:26" x14ac:dyDescent="0.25">
      <c r="A11" s="13" t="s">
        <v>115</v>
      </c>
      <c r="U11" s="10"/>
      <c r="V11" s="10"/>
      <c r="W11" s="10"/>
      <c r="X11" s="10"/>
      <c r="Y11" s="10"/>
      <c r="Z11" s="10"/>
    </row>
    <row r="12" spans="1:26" x14ac:dyDescent="0.25">
      <c r="A12" t="s">
        <v>9</v>
      </c>
      <c r="B12" s="6">
        <f>CD0!Ref_Area</f>
        <v>144.9</v>
      </c>
      <c r="C12" t="s">
        <v>10</v>
      </c>
      <c r="U12" s="10"/>
      <c r="V12" s="10"/>
      <c r="W12" s="10"/>
      <c r="X12" s="10"/>
      <c r="Y12" s="10"/>
      <c r="Z12" s="10"/>
    </row>
    <row r="13" spans="1:26" x14ac:dyDescent="0.25">
      <c r="A13" t="s">
        <v>130</v>
      </c>
      <c r="B13" s="66">
        <f>CD0!B13</f>
        <v>3.8943059999999998</v>
      </c>
      <c r="C13" t="s">
        <v>62</v>
      </c>
      <c r="U13" s="10"/>
      <c r="V13" s="10"/>
      <c r="W13" s="10"/>
      <c r="X13" s="10"/>
      <c r="Y13" s="10"/>
      <c r="Z13" s="10"/>
    </row>
    <row r="14" spans="1:26" x14ac:dyDescent="0.25">
      <c r="A14" s="1"/>
      <c r="B14" s="66"/>
      <c r="R14" s="1"/>
      <c r="U14" s="10"/>
      <c r="V14" s="10"/>
      <c r="W14" s="10"/>
      <c r="X14" s="10"/>
      <c r="Y14" s="10"/>
      <c r="Z14" s="10"/>
    </row>
    <row r="15" spans="1:26" x14ac:dyDescent="0.25">
      <c r="B15" s="66"/>
      <c r="U15" s="10"/>
      <c r="V15" s="10"/>
      <c r="W15" s="10"/>
      <c r="X15" s="10"/>
      <c r="Y15" s="10"/>
      <c r="Z15" s="10"/>
    </row>
    <row r="16" spans="1:26" x14ac:dyDescent="0.25">
      <c r="A16" s="72" t="str">
        <f>CD0!A16</f>
        <v>PROPELLER SLIPSTREAM INFORMATION (SCRUBBING DRAG)</v>
      </c>
      <c r="B16" s="66"/>
      <c r="U16" s="10"/>
      <c r="V16" s="10"/>
      <c r="W16" s="10"/>
      <c r="X16" s="10"/>
      <c r="Y16" s="10"/>
      <c r="Z16" s="10"/>
    </row>
    <row r="17" spans="1:26" ht="15.6" x14ac:dyDescent="0.25">
      <c r="A17" s="1" t="s">
        <v>995</v>
      </c>
      <c r="B17" s="66">
        <f>CD0!B17</f>
        <v>27.859876960185321</v>
      </c>
      <c r="C17" s="66" t="str">
        <f>CD0!C17</f>
        <v>ft^2</v>
      </c>
      <c r="U17" s="10"/>
      <c r="V17" s="10"/>
      <c r="W17" s="10"/>
      <c r="X17" s="10"/>
      <c r="Y17" s="10"/>
      <c r="Z17" s="10"/>
    </row>
    <row r="18" spans="1:26" x14ac:dyDescent="0.25">
      <c r="A18" s="1" t="s">
        <v>992</v>
      </c>
      <c r="B18" s="9">
        <v>310</v>
      </c>
      <c r="C18" s="66" t="str">
        <f>CD0!C18</f>
        <v>hp</v>
      </c>
      <c r="U18" s="10"/>
      <c r="V18" s="10"/>
      <c r="W18" s="10"/>
      <c r="X18" s="10"/>
      <c r="Y18" s="10"/>
      <c r="Z18" s="10"/>
    </row>
    <row r="19" spans="1:26" x14ac:dyDescent="0.25">
      <c r="A19" s="1" t="s">
        <v>999</v>
      </c>
      <c r="B19" s="9">
        <f>CD0!B19</f>
        <v>0.81</v>
      </c>
      <c r="C19" s="66"/>
      <c r="U19" s="10"/>
      <c r="V19" s="10"/>
      <c r="W19" s="10"/>
      <c r="X19" s="10"/>
      <c r="Y19" s="10"/>
      <c r="Z19" s="10"/>
    </row>
    <row r="20" spans="1:26" x14ac:dyDescent="0.25">
      <c r="A20" s="1" t="s">
        <v>993</v>
      </c>
      <c r="B20" s="66">
        <f>Vel+-Vel/2+SQRT(Vel^2/4+B18*550*B19/Vel/(2*Den*B17))</f>
        <v>170.0496427889631</v>
      </c>
      <c r="C20" s="66" t="str">
        <f>CD0!C20</f>
        <v>ft/sec</v>
      </c>
      <c r="U20" s="10"/>
      <c r="V20" s="10"/>
      <c r="W20" s="10"/>
      <c r="X20" s="10"/>
      <c r="Y20" s="10"/>
      <c r="Z20" s="10"/>
    </row>
    <row r="21" spans="1:26" x14ac:dyDescent="0.25">
      <c r="U21" s="10"/>
      <c r="V21" s="10"/>
      <c r="W21" s="10"/>
      <c r="X21" s="10"/>
      <c r="Y21" s="10"/>
      <c r="Z21" s="10"/>
    </row>
    <row r="22" spans="1:26" x14ac:dyDescent="0.25">
      <c r="A22" s="13" t="s">
        <v>110</v>
      </c>
      <c r="C22" s="14"/>
      <c r="D22" s="14"/>
      <c r="E22" s="14"/>
      <c r="F22" s="14"/>
      <c r="G22" s="14"/>
      <c r="H22" s="7"/>
      <c r="I22" s="7"/>
      <c r="R22" s="1" t="s">
        <v>75</v>
      </c>
      <c r="S22" s="99" t="s">
        <v>15</v>
      </c>
      <c r="T22" s="99"/>
      <c r="U22" s="99" t="s">
        <v>60</v>
      </c>
      <c r="V22" s="99"/>
    </row>
    <row r="23" spans="1:26" s="1" customFormat="1" ht="15.6" x14ac:dyDescent="0.25">
      <c r="A23" s="13" t="s">
        <v>84</v>
      </c>
      <c r="B23" s="13" t="s">
        <v>85</v>
      </c>
      <c r="C23" s="13" t="s">
        <v>5</v>
      </c>
      <c r="D23" s="13" t="s">
        <v>105</v>
      </c>
      <c r="E23" s="13" t="s">
        <v>108</v>
      </c>
      <c r="F23" s="13" t="s">
        <v>14</v>
      </c>
      <c r="G23" s="19" t="s">
        <v>57</v>
      </c>
      <c r="H23" s="13" t="s">
        <v>106</v>
      </c>
      <c r="I23" s="13" t="s">
        <v>996</v>
      </c>
      <c r="J23" s="13" t="s">
        <v>6</v>
      </c>
      <c r="K23" s="13" t="s">
        <v>50</v>
      </c>
      <c r="L23" s="13" t="s">
        <v>54</v>
      </c>
      <c r="M23" s="13" t="s">
        <v>53</v>
      </c>
      <c r="N23" s="19" t="s">
        <v>52</v>
      </c>
      <c r="O23" s="19" t="s">
        <v>51</v>
      </c>
      <c r="P23" s="19" t="s">
        <v>55</v>
      </c>
      <c r="Q23" s="19" t="s">
        <v>56</v>
      </c>
      <c r="R23" s="19" t="s">
        <v>63</v>
      </c>
      <c r="S23" s="13" t="s">
        <v>12</v>
      </c>
      <c r="T23" s="13" t="s">
        <v>76</v>
      </c>
      <c r="U23" s="13" t="s">
        <v>13</v>
      </c>
      <c r="V23" s="13" t="s">
        <v>77</v>
      </c>
      <c r="W23" s="13" t="s">
        <v>67</v>
      </c>
      <c r="X23" s="13" t="s">
        <v>64</v>
      </c>
    </row>
    <row r="24" spans="1:26" s="1" customFormat="1" x14ac:dyDescent="0.25">
      <c r="A24" s="7" t="str">
        <f>CD0!A24</f>
        <v>Wing</v>
      </c>
      <c r="B24" s="7" t="str">
        <f>CD0!B24</f>
        <v>wing</v>
      </c>
      <c r="C24" s="7">
        <f>CD0!C24</f>
        <v>258.737346</v>
      </c>
      <c r="D24" s="7">
        <f>CD0!D24</f>
        <v>3.8943059999999998</v>
      </c>
      <c r="E24" s="7">
        <f>CD0!E24</f>
        <v>0.156941</v>
      </c>
      <c r="F24" s="7">
        <f>CD0!F24</f>
        <v>0</v>
      </c>
      <c r="G24" s="7">
        <f>CD0!G24</f>
        <v>1.02</v>
      </c>
      <c r="H24" s="7">
        <f>CD0!H24</f>
        <v>0.6</v>
      </c>
      <c r="I24" s="7" t="str">
        <f>CD0!I24</f>
        <v>no</v>
      </c>
      <c r="J24" s="2">
        <f t="shared" ref="J24:J41" si="0">IF(OR(I24="yes",I24="Yes",I24="YES",I24="y",I24="Y"), $B$20*Den*D24/Vis, Vel*Den*D24/Vis)</f>
        <v>2926283.6858839025</v>
      </c>
      <c r="K24">
        <f>IF(J24=0,0,1.328/SQRT(J24))</f>
        <v>7.7631836820143724E-4</v>
      </c>
      <c r="L24">
        <f>IF(J24=0,0,IF(J24&gt;=1000000,0.455/(LOG(J24)^2.58),0.074/(J24)^(1/5)))</f>
        <v>3.6856700917509101E-3</v>
      </c>
      <c r="M24">
        <f t="shared" ref="M24:M41" si="1">1-H24</f>
        <v>0.4</v>
      </c>
      <c r="N24" s="6">
        <f t="shared" ref="N24:N41" si="2">H24*D24</f>
        <v>2.3365836</v>
      </c>
      <c r="O24" s="12">
        <f t="shared" ref="O24:O41" si="3">IF(OR(I24="yes",I24="Yes",I24="YES",I24="y",I24="Y"), $B$20*Den*N24/Vis, Vel*Den*N24/Vis)</f>
        <v>1755770.2115303418</v>
      </c>
      <c r="P24" s="6">
        <f>IF(O24=0,0,1.328/SQRT(O24))</f>
        <v>1.0022227037996946E-3</v>
      </c>
      <c r="Q24" s="6">
        <f>IF(O24=0,0,IF(O24&gt;=1000000,0.455/(LOG(O24)^2.58),0.074/(O24)^(1/5)))</f>
        <v>4.0330463034691198E-3</v>
      </c>
      <c r="R24" s="6">
        <f>L24-Q24*H24+P24*H24</f>
        <v>1.867175931949255E-3</v>
      </c>
      <c r="S24" s="1">
        <f>IF(OR(B24="wing",B24="Wing",B24="WING"),4.286*E24+1,0)</f>
        <v>1.672649126</v>
      </c>
      <c r="T24" s="1">
        <f t="shared" ref="T24:T41" si="4">IF(OR(I24="yes",I24="Yes",I24="YES",I24="y",I24="Y"), C24*G24*R24*S24*($B$20)^2/Vel^2, C24*G24*R24*S24)</f>
        <v>0.8242318250795525</v>
      </c>
      <c r="U24" s="1">
        <f>IF(OR(B24="body",B24="Body",B24="BODY"),8.5-5.716*F24^0.5+1.257*F24-0.0189*F24^2,0)</f>
        <v>0</v>
      </c>
      <c r="V24">
        <f t="shared" ref="V24:V41" si="5">IF(OR(I24="yes",I24="Yes",I24="YES",I24="y",I24="Y"), C24*G24*R24*U24*($B$20)^2/Vel^2, C24*G24*R24*U24)</f>
        <v>0</v>
      </c>
      <c r="W24">
        <f t="shared" ref="W24:W41" si="6">(V24+T24)/Ref_Area</f>
        <v>5.6882803663185124E-3</v>
      </c>
      <c r="X24" s="1">
        <f t="shared" ref="X24:X41" si="7">W24*Ref_Area</f>
        <v>0.8242318250795525</v>
      </c>
    </row>
    <row r="25" spans="1:26" s="1" customFormat="1" x14ac:dyDescent="0.25">
      <c r="A25" s="7" t="str">
        <f>CD0!A25</f>
        <v>Fuselage</v>
      </c>
      <c r="B25" s="7" t="str">
        <f>CD0!B25</f>
        <v>body</v>
      </c>
      <c r="C25" s="7">
        <f>CD0!C25</f>
        <v>222.477665</v>
      </c>
      <c r="D25" s="7">
        <f>CD0!D25</f>
        <v>23</v>
      </c>
      <c r="E25" s="7">
        <f>CD0!E25</f>
        <v>0</v>
      </c>
      <c r="F25" s="7">
        <f>CD0!F25</f>
        <v>4.8047940000000002</v>
      </c>
      <c r="G25" s="7">
        <f>CD0!G25</f>
        <v>1</v>
      </c>
      <c r="H25" s="7">
        <f>CD0!H25</f>
        <v>0.05</v>
      </c>
      <c r="I25" s="7" t="str">
        <f>CD0!I25</f>
        <v>yes</v>
      </c>
      <c r="J25" s="2">
        <f t="shared" si="0"/>
        <v>24875299.40096904</v>
      </c>
      <c r="K25">
        <f t="shared" ref="K25:K41" si="8">IF(J25=0,0,1.328/SQRT(J25))</f>
        <v>2.6626489801399069E-4</v>
      </c>
      <c r="L25">
        <f t="shared" ref="L25:L41" si="9">IF(J25=0,0,IF(J25&gt;=1000000,0.455/(LOG(J25)^2.58),0.074/(J25)^(1/5)))</f>
        <v>2.6063605191518229E-3</v>
      </c>
      <c r="M25">
        <f t="shared" si="1"/>
        <v>0.95</v>
      </c>
      <c r="N25" s="6">
        <f t="shared" si="2"/>
        <v>1.1500000000000001</v>
      </c>
      <c r="O25" s="12">
        <f t="shared" si="3"/>
        <v>1243764.970048452</v>
      </c>
      <c r="P25" s="6">
        <f t="shared" ref="P25:P41" si="10">IF(O25=0,0,1.328/SQRT(O25))</f>
        <v>1.1907728239626638E-3</v>
      </c>
      <c r="Q25" s="6">
        <f t="shared" ref="Q25:Q41" si="11">IF(O25=0,0,IF(O25&gt;=1000000,0.455/(LOG(O25)^2.58),0.074/(O25)^(1/5)))</f>
        <v>4.2936568443237419E-3</v>
      </c>
      <c r="R25" s="6">
        <f t="shared" ref="R25:R41" si="12">L25-Q25*H25+P25*H25</f>
        <v>2.4512163181337693E-3</v>
      </c>
      <c r="S25" s="1">
        <f t="shared" ref="S25:S41" si="13">IF(OR(B25="wing",B25="Wing",B25="WING"),4.286*E25+1,0)</f>
        <v>0</v>
      </c>
      <c r="T25" s="1">
        <f t="shared" si="4"/>
        <v>0</v>
      </c>
      <c r="U25" s="1">
        <f t="shared" ref="U25:U41" si="14">IF(OR(B25="body",B25="Body",B25="BODY"),8.5-5.716*F25^0.5+1.257*F25-0.0189*F25^2,0)</f>
        <v>1.5739190688525473</v>
      </c>
      <c r="V25">
        <f t="shared" si="5"/>
        <v>1.7781103527714293</v>
      </c>
      <c r="W25">
        <f t="shared" si="6"/>
        <v>1.2271292979789022E-2</v>
      </c>
      <c r="X25" s="1">
        <f t="shared" si="7"/>
        <v>1.7781103527714295</v>
      </c>
    </row>
    <row r="26" spans="1:26" s="1" customFormat="1" x14ac:dyDescent="0.25">
      <c r="A26" s="7" t="str">
        <f>CD0!A26</f>
        <v>Horiz Tail</v>
      </c>
      <c r="B26" s="7" t="str">
        <f>CD0!B26</f>
        <v>wing</v>
      </c>
      <c r="C26" s="7">
        <f>CD0!C26</f>
        <v>54.886056000000004</v>
      </c>
      <c r="D26" s="7">
        <f>CD0!D26</f>
        <v>2.1698040000000001</v>
      </c>
      <c r="E26" s="7">
        <f>CD0!E26</f>
        <v>0.109586</v>
      </c>
      <c r="F26" s="7">
        <f>CD0!F26</f>
        <v>0</v>
      </c>
      <c r="G26" s="7">
        <f>CD0!G26</f>
        <v>1.04</v>
      </c>
      <c r="H26" s="7">
        <f>CD0!H26</f>
        <v>0</v>
      </c>
      <c r="I26" s="7" t="str">
        <f>CD0!I26</f>
        <v>no</v>
      </c>
      <c r="J26" s="2">
        <f t="shared" si="0"/>
        <v>1630447.645040127</v>
      </c>
      <c r="K26">
        <f t="shared" si="8"/>
        <v>1.040027076662965E-3</v>
      </c>
      <c r="L26">
        <f t="shared" si="9"/>
        <v>4.0871343668126489E-3</v>
      </c>
      <c r="M26">
        <f t="shared" si="1"/>
        <v>1</v>
      </c>
      <c r="N26" s="6">
        <f t="shared" si="2"/>
        <v>0</v>
      </c>
      <c r="O26" s="12">
        <f t="shared" si="3"/>
        <v>0</v>
      </c>
      <c r="P26" s="6">
        <f t="shared" si="10"/>
        <v>0</v>
      </c>
      <c r="Q26" s="6">
        <f t="shared" si="11"/>
        <v>0</v>
      </c>
      <c r="R26" s="6">
        <f t="shared" si="12"/>
        <v>4.0871343668126489E-3</v>
      </c>
      <c r="S26" s="1">
        <f t="shared" si="13"/>
        <v>1.4696855959999999</v>
      </c>
      <c r="T26" s="1">
        <f t="shared" si="4"/>
        <v>0.34287728677821949</v>
      </c>
      <c r="U26" s="1">
        <f t="shared" si="14"/>
        <v>0</v>
      </c>
      <c r="V26">
        <f t="shared" si="5"/>
        <v>0</v>
      </c>
      <c r="W26">
        <f t="shared" si="6"/>
        <v>2.3663028763162143E-3</v>
      </c>
      <c r="X26" s="1">
        <f t="shared" si="7"/>
        <v>0.34287728677821944</v>
      </c>
    </row>
    <row r="27" spans="1:26" s="1" customFormat="1" x14ac:dyDescent="0.25">
      <c r="A27" s="7" t="str">
        <f>CD0!A27</f>
        <v>Vert Tail</v>
      </c>
      <c r="B27" s="7" t="str">
        <f>CD0!B27</f>
        <v>wing</v>
      </c>
      <c r="C27" s="7">
        <f>CD0!C27</f>
        <v>38.406747000000003</v>
      </c>
      <c r="D27" s="7">
        <f>CD0!D27</f>
        <v>4.0517469999999998</v>
      </c>
      <c r="E27" s="7">
        <f>CD0!E27</f>
        <v>0.11380700000000001</v>
      </c>
      <c r="F27" s="7">
        <f>CD0!F27</f>
        <v>0</v>
      </c>
      <c r="G27" s="7">
        <f>CD0!G27</f>
        <v>1.04</v>
      </c>
      <c r="H27" s="7">
        <f>CD0!H27</f>
        <v>0</v>
      </c>
      <c r="I27" s="7" t="str">
        <f>CD0!I27</f>
        <v>no</v>
      </c>
      <c r="J27" s="2">
        <f t="shared" si="0"/>
        <v>3044588.9833590491</v>
      </c>
      <c r="K27">
        <f t="shared" si="8"/>
        <v>7.6108601046721445E-4</v>
      </c>
      <c r="L27">
        <f t="shared" si="9"/>
        <v>3.6604787707715408E-3</v>
      </c>
      <c r="M27">
        <f t="shared" si="1"/>
        <v>1</v>
      </c>
      <c r="N27" s="6">
        <f t="shared" si="2"/>
        <v>0</v>
      </c>
      <c r="O27" s="12">
        <f t="shared" si="3"/>
        <v>0</v>
      </c>
      <c r="P27" s="6">
        <f t="shared" si="10"/>
        <v>0</v>
      </c>
      <c r="Q27" s="6">
        <f t="shared" si="11"/>
        <v>0</v>
      </c>
      <c r="R27" s="6">
        <f t="shared" si="12"/>
        <v>3.6604787707715408E-3</v>
      </c>
      <c r="S27" s="1">
        <f t="shared" si="13"/>
        <v>1.487776802</v>
      </c>
      <c r="T27" s="1">
        <f t="shared" si="4"/>
        <v>0.21752868730499575</v>
      </c>
      <c r="U27" s="1">
        <f t="shared" si="14"/>
        <v>0</v>
      </c>
      <c r="V27">
        <f t="shared" si="5"/>
        <v>0</v>
      </c>
      <c r="W27">
        <f t="shared" si="6"/>
        <v>1.5012331767080452E-3</v>
      </c>
      <c r="X27" s="1">
        <f t="shared" si="7"/>
        <v>0.21752868730499575</v>
      </c>
    </row>
    <row r="28" spans="1:26" s="1" customFormat="1" x14ac:dyDescent="0.25">
      <c r="A28" s="7" t="str">
        <f>CD0!A28</f>
        <v>Main Gear Tire</v>
      </c>
      <c r="B28" s="7" t="str">
        <f>CD0!B28</f>
        <v>body</v>
      </c>
      <c r="C28" s="7">
        <f>CD0!C28</f>
        <v>1.230656</v>
      </c>
      <c r="D28" s="7">
        <f>CD0!D28</f>
        <v>0.6</v>
      </c>
      <c r="E28" s="7">
        <f>CD0!E28</f>
        <v>0</v>
      </c>
      <c r="F28" s="7">
        <f>CD0!F28</f>
        <v>0.50189099999999998</v>
      </c>
      <c r="G28" s="7">
        <f>CD0!G28</f>
        <v>1.1000000000000001</v>
      </c>
      <c r="H28" s="7">
        <f>CD0!H28</f>
        <v>0</v>
      </c>
      <c r="I28" s="7" t="str">
        <f>CD0!I28</f>
        <v>no</v>
      </c>
      <c r="J28" s="2">
        <f t="shared" si="0"/>
        <v>450855.73951567791</v>
      </c>
      <c r="K28">
        <f t="shared" si="8"/>
        <v>1.9777858875428215E-3</v>
      </c>
      <c r="L28">
        <f t="shared" si="9"/>
        <v>5.4755052434207396E-3</v>
      </c>
      <c r="M28">
        <f t="shared" si="1"/>
        <v>1</v>
      </c>
      <c r="N28" s="6">
        <f t="shared" si="2"/>
        <v>0</v>
      </c>
      <c r="O28" s="12">
        <f t="shared" si="3"/>
        <v>0</v>
      </c>
      <c r="P28" s="6">
        <f t="shared" si="10"/>
        <v>0</v>
      </c>
      <c r="Q28" s="6">
        <f t="shared" si="11"/>
        <v>0</v>
      </c>
      <c r="R28" s="6">
        <f t="shared" si="12"/>
        <v>5.4755052434207396E-3</v>
      </c>
      <c r="S28" s="1">
        <f t="shared" si="13"/>
        <v>0</v>
      </c>
      <c r="T28" s="1">
        <f t="shared" si="4"/>
        <v>0</v>
      </c>
      <c r="U28" s="1">
        <f t="shared" si="14"/>
        <v>5.0766579450731228</v>
      </c>
      <c r="V28">
        <f t="shared" si="5"/>
        <v>3.7629761025958428E-2</v>
      </c>
      <c r="W28">
        <f t="shared" si="6"/>
        <v>2.5969469307079659E-4</v>
      </c>
      <c r="X28" s="1">
        <f t="shared" si="7"/>
        <v>3.7629761025958428E-2</v>
      </c>
    </row>
    <row r="29" spans="1:26" s="1" customFormat="1" x14ac:dyDescent="0.25">
      <c r="A29" s="7" t="str">
        <f>CD0!A29</f>
        <v>Main Gear Pant</v>
      </c>
      <c r="B29" s="7" t="str">
        <f>CD0!B29</f>
        <v>body</v>
      </c>
      <c r="C29" s="7">
        <f>CD0!C29</f>
        <v>16.965364000000001</v>
      </c>
      <c r="D29" s="7">
        <f>CD0!D29</f>
        <v>3.7</v>
      </c>
      <c r="E29" s="7">
        <f>CD0!E29</f>
        <v>0</v>
      </c>
      <c r="F29" s="7">
        <f>CD0!F29</f>
        <v>3.3430960000000001</v>
      </c>
      <c r="G29" s="7">
        <f>CD0!G29</f>
        <v>1</v>
      </c>
      <c r="H29" s="7">
        <f>CD0!H29</f>
        <v>0.05</v>
      </c>
      <c r="I29" s="7" t="str">
        <f>CD0!I29</f>
        <v>no</v>
      </c>
      <c r="J29" s="2">
        <f t="shared" si="0"/>
        <v>2780277.0603466807</v>
      </c>
      <c r="K29">
        <f t="shared" si="8"/>
        <v>7.9644178460472489E-4</v>
      </c>
      <c r="L29">
        <f t="shared" si="9"/>
        <v>3.7185601440601758E-3</v>
      </c>
      <c r="M29">
        <f t="shared" si="1"/>
        <v>0.95</v>
      </c>
      <c r="N29" s="6">
        <f t="shared" si="2"/>
        <v>0.18500000000000003</v>
      </c>
      <c r="O29" s="12">
        <f t="shared" si="3"/>
        <v>139013.85301733407</v>
      </c>
      <c r="P29" s="6">
        <f t="shared" si="10"/>
        <v>3.5617959409948198E-3</v>
      </c>
      <c r="Q29" s="6">
        <f t="shared" si="11"/>
        <v>6.928195012889579E-3</v>
      </c>
      <c r="R29" s="6">
        <f t="shared" si="12"/>
        <v>3.5502401904654378E-3</v>
      </c>
      <c r="S29" s="1">
        <f t="shared" si="13"/>
        <v>0</v>
      </c>
      <c r="T29" s="1">
        <f t="shared" si="4"/>
        <v>0</v>
      </c>
      <c r="U29" s="1">
        <f t="shared" si="14"/>
        <v>2.0398280945130978</v>
      </c>
      <c r="V29">
        <f t="shared" si="5"/>
        <v>0.12286112486258303</v>
      </c>
      <c r="W29">
        <f t="shared" si="6"/>
        <v>8.4790286309581106E-4</v>
      </c>
      <c r="X29" s="1">
        <f t="shared" si="7"/>
        <v>0.12286112486258302</v>
      </c>
    </row>
    <row r="30" spans="1:26" s="1" customFormat="1" x14ac:dyDescent="0.25">
      <c r="A30" s="7" t="str">
        <f>CD0!A30</f>
        <v>Main Gear Strut</v>
      </c>
      <c r="B30" s="7" t="str">
        <f>CD0!B30</f>
        <v>wing</v>
      </c>
      <c r="C30" s="7">
        <f>CD0!C30</f>
        <v>5.6526759999999996</v>
      </c>
      <c r="D30" s="7">
        <f>CD0!D30</f>
        <v>0.65107700000000002</v>
      </c>
      <c r="E30" s="7">
        <f>CD0!E30</f>
        <v>0.3</v>
      </c>
      <c r="F30" s="7">
        <f>CD0!F30</f>
        <v>0</v>
      </c>
      <c r="G30" s="7">
        <f>CD0!G30</f>
        <v>1.05</v>
      </c>
      <c r="H30" s="7">
        <f>CD0!H30</f>
        <v>0</v>
      </c>
      <c r="I30" s="7" t="str">
        <f>CD0!I30</f>
        <v>no</v>
      </c>
      <c r="J30" s="2">
        <f t="shared" si="0"/>
        <v>489236.3371944151</v>
      </c>
      <c r="K30">
        <f t="shared" si="8"/>
        <v>1.898622931708252E-3</v>
      </c>
      <c r="L30">
        <f t="shared" si="9"/>
        <v>5.3867643655786382E-3</v>
      </c>
      <c r="M30">
        <f t="shared" si="1"/>
        <v>1</v>
      </c>
      <c r="N30" s="6">
        <f t="shared" si="2"/>
        <v>0</v>
      </c>
      <c r="O30" s="12">
        <f t="shared" si="3"/>
        <v>0</v>
      </c>
      <c r="P30" s="6">
        <f t="shared" si="10"/>
        <v>0</v>
      </c>
      <c r="Q30" s="6">
        <f t="shared" si="11"/>
        <v>0</v>
      </c>
      <c r="R30" s="6">
        <f t="shared" si="12"/>
        <v>5.3867643655786382E-3</v>
      </c>
      <c r="S30" s="1">
        <f t="shared" si="13"/>
        <v>2.2858000000000001</v>
      </c>
      <c r="T30" s="1">
        <f t="shared" si="4"/>
        <v>7.3081861219736047E-2</v>
      </c>
      <c r="U30" s="1">
        <f t="shared" si="14"/>
        <v>0</v>
      </c>
      <c r="V30">
        <f t="shared" si="5"/>
        <v>0</v>
      </c>
      <c r="W30">
        <f t="shared" si="6"/>
        <v>5.0436067094365798E-4</v>
      </c>
      <c r="X30" s="1">
        <f t="shared" si="7"/>
        <v>7.3081861219736047E-2</v>
      </c>
    </row>
    <row r="31" spans="1:26" s="1" customFormat="1" x14ac:dyDescent="0.25">
      <c r="A31" s="7" t="str">
        <f>CD0!A31</f>
        <v>Nose Gear Tire</v>
      </c>
      <c r="B31" s="7" t="str">
        <f>CD0!B31</f>
        <v>body</v>
      </c>
      <c r="C31" s="7">
        <f>CD0!C31</f>
        <v>0.57440899999999995</v>
      </c>
      <c r="D31" s="7">
        <f>CD0!D31</f>
        <v>0.5</v>
      </c>
      <c r="E31" s="7">
        <f>CD0!E31</f>
        <v>0</v>
      </c>
      <c r="F31" s="7">
        <f>CD0!F31</f>
        <v>0.50189099999999998</v>
      </c>
      <c r="G31" s="7">
        <f>CD0!G31</f>
        <v>1.1000000000000001</v>
      </c>
      <c r="H31" s="7">
        <f>CD0!H31</f>
        <v>0</v>
      </c>
      <c r="I31" s="7" t="str">
        <f>CD0!I31</f>
        <v>no</v>
      </c>
      <c r="J31" s="2">
        <f t="shared" si="0"/>
        <v>375713.11626306496</v>
      </c>
      <c r="K31">
        <f t="shared" si="8"/>
        <v>2.1665558890451579E-3</v>
      </c>
      <c r="L31">
        <f t="shared" si="9"/>
        <v>5.6788506659099895E-3</v>
      </c>
      <c r="M31">
        <f t="shared" si="1"/>
        <v>1</v>
      </c>
      <c r="N31" s="6">
        <f t="shared" si="2"/>
        <v>0</v>
      </c>
      <c r="O31" s="12">
        <f t="shared" si="3"/>
        <v>0</v>
      </c>
      <c r="P31" s="6">
        <f t="shared" si="10"/>
        <v>0</v>
      </c>
      <c r="Q31" s="6">
        <f t="shared" si="11"/>
        <v>0</v>
      </c>
      <c r="R31" s="6">
        <f t="shared" si="12"/>
        <v>5.6788506659099895E-3</v>
      </c>
      <c r="S31" s="1">
        <f t="shared" si="13"/>
        <v>0</v>
      </c>
      <c r="T31" s="1">
        <f t="shared" si="4"/>
        <v>0</v>
      </c>
      <c r="U31" s="1">
        <f t="shared" si="14"/>
        <v>5.0766579450731228</v>
      </c>
      <c r="V31">
        <f t="shared" si="5"/>
        <v>1.8215968726137639E-2</v>
      </c>
      <c r="W31">
        <f t="shared" si="6"/>
        <v>1.2571406988362758E-4</v>
      </c>
      <c r="X31" s="1">
        <f t="shared" si="7"/>
        <v>1.8215968726137639E-2</v>
      </c>
    </row>
    <row r="32" spans="1:26" s="1" customFormat="1" x14ac:dyDescent="0.25">
      <c r="A32" s="7" t="str">
        <f>CD0!A32</f>
        <v>Nose Gear Pant</v>
      </c>
      <c r="B32" s="7" t="str">
        <f>CD0!B32</f>
        <v>body</v>
      </c>
      <c r="C32" s="7">
        <f>CD0!C32</f>
        <v>5.5711659999999998</v>
      </c>
      <c r="D32" s="7">
        <f>CD0!D32</f>
        <v>3.1</v>
      </c>
      <c r="E32" s="7">
        <f>CD0!E32</f>
        <v>0</v>
      </c>
      <c r="F32" s="7">
        <f>CD0!F32</f>
        <v>3.6481349999999999</v>
      </c>
      <c r="G32" s="7">
        <f>CD0!G32</f>
        <v>1</v>
      </c>
      <c r="H32" s="7">
        <f>CD0!H32</f>
        <v>0.05</v>
      </c>
      <c r="I32" s="7" t="str">
        <f>CD0!I32</f>
        <v>no</v>
      </c>
      <c r="J32" s="2">
        <f t="shared" si="0"/>
        <v>2329421.3208310027</v>
      </c>
      <c r="K32">
        <f t="shared" si="8"/>
        <v>8.701097836143044E-4</v>
      </c>
      <c r="L32">
        <f t="shared" si="9"/>
        <v>3.8354456511181471E-3</v>
      </c>
      <c r="M32">
        <f t="shared" si="1"/>
        <v>0.95</v>
      </c>
      <c r="N32" s="6">
        <f t="shared" si="2"/>
        <v>0.15500000000000003</v>
      </c>
      <c r="O32" s="12">
        <f t="shared" si="3"/>
        <v>116471.06604155016</v>
      </c>
      <c r="P32" s="6">
        <f t="shared" si="10"/>
        <v>3.891249248098434E-3</v>
      </c>
      <c r="Q32" s="6">
        <f t="shared" si="11"/>
        <v>7.1777463934094591E-3</v>
      </c>
      <c r="R32" s="6">
        <f t="shared" si="12"/>
        <v>3.671120793852596E-3</v>
      </c>
      <c r="S32" s="1">
        <f t="shared" si="13"/>
        <v>0</v>
      </c>
      <c r="T32" s="1">
        <f t="shared" si="4"/>
        <v>0</v>
      </c>
      <c r="U32" s="1">
        <f t="shared" si="14"/>
        <v>1.9165553217094113</v>
      </c>
      <c r="V32">
        <f t="shared" si="5"/>
        <v>3.9198200810621947E-2</v>
      </c>
      <c r="W32">
        <f t="shared" si="6"/>
        <v>2.7051898420028949E-4</v>
      </c>
      <c r="X32" s="1">
        <f t="shared" si="7"/>
        <v>3.9198200810621947E-2</v>
      </c>
    </row>
    <row r="33" spans="1:24" s="1" customFormat="1" x14ac:dyDescent="0.25">
      <c r="A33" s="7" t="str">
        <f>CD0!A33</f>
        <v>Nose Gear Strut</v>
      </c>
      <c r="B33" s="7" t="str">
        <f>CD0!B33</f>
        <v>wing</v>
      </c>
      <c r="C33" s="7">
        <f>CD0!C33</f>
        <v>1.3527020000000001</v>
      </c>
      <c r="D33" s="7">
        <f>CD0!D33</f>
        <v>0.4</v>
      </c>
      <c r="E33" s="7">
        <f>CD0!E33</f>
        <v>0.5</v>
      </c>
      <c r="F33" s="7">
        <f>CD0!F33</f>
        <v>0</v>
      </c>
      <c r="G33" s="7">
        <f>CD0!G33</f>
        <v>1.05</v>
      </c>
      <c r="H33" s="7">
        <f>CD0!H33</f>
        <v>0</v>
      </c>
      <c r="I33" s="7" t="str">
        <f>CD0!I33</f>
        <v>no</v>
      </c>
      <c r="J33" s="2">
        <f t="shared" si="0"/>
        <v>300570.49301045196</v>
      </c>
      <c r="K33">
        <f t="shared" si="8"/>
        <v>2.4222831224787332E-3</v>
      </c>
      <c r="L33">
        <f t="shared" si="9"/>
        <v>5.9380308695347744E-3</v>
      </c>
      <c r="M33">
        <f t="shared" si="1"/>
        <v>1</v>
      </c>
      <c r="N33" s="6">
        <f t="shared" si="2"/>
        <v>0</v>
      </c>
      <c r="O33" s="12">
        <f t="shared" si="3"/>
        <v>0</v>
      </c>
      <c r="P33" s="6">
        <f t="shared" si="10"/>
        <v>0</v>
      </c>
      <c r="Q33" s="6">
        <f t="shared" si="11"/>
        <v>0</v>
      </c>
      <c r="R33" s="6">
        <f t="shared" si="12"/>
        <v>5.9380308695347744E-3</v>
      </c>
      <c r="S33" s="1">
        <f t="shared" si="13"/>
        <v>3.1429999999999998</v>
      </c>
      <c r="T33" s="1">
        <f t="shared" si="4"/>
        <v>2.650807942776371E-2</v>
      </c>
      <c r="U33" s="1">
        <f t="shared" si="14"/>
        <v>0</v>
      </c>
      <c r="V33">
        <f t="shared" si="5"/>
        <v>0</v>
      </c>
      <c r="W33">
        <f t="shared" si="6"/>
        <v>1.829405067478517E-4</v>
      </c>
      <c r="X33" s="1">
        <f t="shared" si="7"/>
        <v>2.650807942776371E-2</v>
      </c>
    </row>
    <row r="34" spans="1:24" s="1" customFormat="1" x14ac:dyDescent="0.25">
      <c r="A34" s="7">
        <f>CD0!A34</f>
        <v>0</v>
      </c>
      <c r="B34" s="7">
        <f>CD0!B34</f>
        <v>0</v>
      </c>
      <c r="C34" s="7">
        <f>CD0!C34</f>
        <v>0</v>
      </c>
      <c r="D34" s="7">
        <f>CD0!D34</f>
        <v>0</v>
      </c>
      <c r="E34" s="7">
        <f>CD0!E34</f>
        <v>0</v>
      </c>
      <c r="F34" s="7">
        <f>CD0!F34</f>
        <v>0</v>
      </c>
      <c r="G34" s="7">
        <f>CD0!G34</f>
        <v>0</v>
      </c>
      <c r="H34" s="7">
        <f>CD0!H34</f>
        <v>0</v>
      </c>
      <c r="I34" s="7" t="str">
        <f>CD0!I34</f>
        <v>no</v>
      </c>
      <c r="J34" s="2">
        <f t="shared" si="0"/>
        <v>0</v>
      </c>
      <c r="K34">
        <f t="shared" si="8"/>
        <v>0</v>
      </c>
      <c r="L34">
        <f t="shared" si="9"/>
        <v>0</v>
      </c>
      <c r="M34">
        <f t="shared" si="1"/>
        <v>1</v>
      </c>
      <c r="N34" s="6">
        <f t="shared" si="2"/>
        <v>0</v>
      </c>
      <c r="O34" s="12">
        <f t="shared" si="3"/>
        <v>0</v>
      </c>
      <c r="P34" s="6">
        <f t="shared" si="10"/>
        <v>0</v>
      </c>
      <c r="Q34" s="6">
        <f t="shared" si="11"/>
        <v>0</v>
      </c>
      <c r="R34" s="6">
        <f t="shared" si="12"/>
        <v>0</v>
      </c>
      <c r="S34" s="1">
        <f t="shared" si="13"/>
        <v>0</v>
      </c>
      <c r="T34" s="1">
        <f t="shared" si="4"/>
        <v>0</v>
      </c>
      <c r="U34" s="1">
        <f t="shared" si="14"/>
        <v>0</v>
      </c>
      <c r="V34">
        <f t="shared" si="5"/>
        <v>0</v>
      </c>
      <c r="W34">
        <f t="shared" si="6"/>
        <v>0</v>
      </c>
      <c r="X34" s="1">
        <f t="shared" si="7"/>
        <v>0</v>
      </c>
    </row>
    <row r="35" spans="1:24" s="1" customFormat="1" x14ac:dyDescent="0.25">
      <c r="A35" s="7">
        <f>CD0!A35</f>
        <v>0</v>
      </c>
      <c r="B35" s="7">
        <f>CD0!B35</f>
        <v>0</v>
      </c>
      <c r="C35" s="7">
        <f>CD0!C35</f>
        <v>0</v>
      </c>
      <c r="D35" s="7">
        <f>CD0!D35</f>
        <v>0</v>
      </c>
      <c r="E35" s="7">
        <f>CD0!E35</f>
        <v>0</v>
      </c>
      <c r="F35" s="7">
        <f>CD0!F35</f>
        <v>0</v>
      </c>
      <c r="G35" s="7">
        <f>CD0!G35</f>
        <v>0</v>
      </c>
      <c r="H35" s="7">
        <f>CD0!H35</f>
        <v>0</v>
      </c>
      <c r="I35" s="7" t="str">
        <f>CD0!I35</f>
        <v>no</v>
      </c>
      <c r="J35" s="2">
        <f t="shared" si="0"/>
        <v>0</v>
      </c>
      <c r="K35">
        <f t="shared" si="8"/>
        <v>0</v>
      </c>
      <c r="L35">
        <f t="shared" si="9"/>
        <v>0</v>
      </c>
      <c r="M35">
        <f t="shared" si="1"/>
        <v>1</v>
      </c>
      <c r="N35" s="6">
        <f t="shared" si="2"/>
        <v>0</v>
      </c>
      <c r="O35" s="12">
        <f t="shared" si="3"/>
        <v>0</v>
      </c>
      <c r="P35" s="6">
        <f t="shared" si="10"/>
        <v>0</v>
      </c>
      <c r="Q35" s="6">
        <f t="shared" si="11"/>
        <v>0</v>
      </c>
      <c r="R35" s="6">
        <f t="shared" si="12"/>
        <v>0</v>
      </c>
      <c r="S35" s="1">
        <f t="shared" si="13"/>
        <v>0</v>
      </c>
      <c r="T35" s="1">
        <f t="shared" si="4"/>
        <v>0</v>
      </c>
      <c r="U35" s="1">
        <f t="shared" si="14"/>
        <v>0</v>
      </c>
      <c r="V35">
        <f t="shared" si="5"/>
        <v>0</v>
      </c>
      <c r="W35">
        <f t="shared" si="6"/>
        <v>0</v>
      </c>
      <c r="X35" s="1">
        <f t="shared" si="7"/>
        <v>0</v>
      </c>
    </row>
    <row r="36" spans="1:24" s="1" customFormat="1" x14ac:dyDescent="0.25">
      <c r="A36" s="7">
        <f>CD0!A36</f>
        <v>0</v>
      </c>
      <c r="B36" s="7">
        <f>CD0!B36</f>
        <v>0</v>
      </c>
      <c r="C36" s="7">
        <f>CD0!C36</f>
        <v>0</v>
      </c>
      <c r="D36" s="7">
        <f>CD0!D36</f>
        <v>0</v>
      </c>
      <c r="E36" s="7">
        <f>CD0!E36</f>
        <v>0</v>
      </c>
      <c r="F36" s="7">
        <f>CD0!F36</f>
        <v>0</v>
      </c>
      <c r="G36" s="7">
        <f>CD0!G36</f>
        <v>0</v>
      </c>
      <c r="H36" s="7">
        <f>CD0!H36</f>
        <v>0</v>
      </c>
      <c r="I36" s="7" t="str">
        <f>CD0!I36</f>
        <v>no</v>
      </c>
      <c r="J36" s="2">
        <f t="shared" si="0"/>
        <v>0</v>
      </c>
      <c r="K36">
        <f t="shared" si="8"/>
        <v>0</v>
      </c>
      <c r="L36">
        <f t="shared" si="9"/>
        <v>0</v>
      </c>
      <c r="M36">
        <f t="shared" si="1"/>
        <v>1</v>
      </c>
      <c r="N36" s="6">
        <f t="shared" si="2"/>
        <v>0</v>
      </c>
      <c r="O36" s="12">
        <f t="shared" si="3"/>
        <v>0</v>
      </c>
      <c r="P36" s="6">
        <f t="shared" si="10"/>
        <v>0</v>
      </c>
      <c r="Q36" s="6">
        <f t="shared" si="11"/>
        <v>0</v>
      </c>
      <c r="R36" s="6">
        <f t="shared" si="12"/>
        <v>0</v>
      </c>
      <c r="S36" s="1">
        <f t="shared" si="13"/>
        <v>0</v>
      </c>
      <c r="T36" s="1">
        <f t="shared" si="4"/>
        <v>0</v>
      </c>
      <c r="U36" s="1">
        <f t="shared" si="14"/>
        <v>0</v>
      </c>
      <c r="V36">
        <f t="shared" si="5"/>
        <v>0</v>
      </c>
      <c r="W36">
        <f t="shared" si="6"/>
        <v>0</v>
      </c>
      <c r="X36" s="1">
        <f t="shared" si="7"/>
        <v>0</v>
      </c>
    </row>
    <row r="37" spans="1:24" s="1" customFormat="1" x14ac:dyDescent="0.25">
      <c r="A37" s="7">
        <f>CD0!A37</f>
        <v>0</v>
      </c>
      <c r="B37" s="7">
        <f>CD0!B37</f>
        <v>0</v>
      </c>
      <c r="C37" s="7">
        <f>CD0!C37</f>
        <v>0</v>
      </c>
      <c r="D37" s="7">
        <f>CD0!D37</f>
        <v>0</v>
      </c>
      <c r="E37" s="7">
        <f>CD0!E37</f>
        <v>0</v>
      </c>
      <c r="F37" s="7">
        <f>CD0!F37</f>
        <v>0</v>
      </c>
      <c r="G37" s="7">
        <f>CD0!G37</f>
        <v>0</v>
      </c>
      <c r="H37" s="7">
        <f>CD0!H37</f>
        <v>0</v>
      </c>
      <c r="I37" s="7" t="str">
        <f>CD0!I37</f>
        <v>no</v>
      </c>
      <c r="J37" s="2">
        <f t="shared" si="0"/>
        <v>0</v>
      </c>
      <c r="K37">
        <f t="shared" si="8"/>
        <v>0</v>
      </c>
      <c r="L37">
        <f t="shared" si="9"/>
        <v>0</v>
      </c>
      <c r="M37">
        <f t="shared" si="1"/>
        <v>1</v>
      </c>
      <c r="N37" s="6">
        <f t="shared" si="2"/>
        <v>0</v>
      </c>
      <c r="O37" s="12">
        <f t="shared" si="3"/>
        <v>0</v>
      </c>
      <c r="P37" s="6">
        <f t="shared" si="10"/>
        <v>0</v>
      </c>
      <c r="Q37" s="6">
        <f t="shared" si="11"/>
        <v>0</v>
      </c>
      <c r="R37" s="6">
        <f t="shared" si="12"/>
        <v>0</v>
      </c>
      <c r="S37" s="1">
        <f t="shared" si="13"/>
        <v>0</v>
      </c>
      <c r="T37" s="1">
        <f t="shared" si="4"/>
        <v>0</v>
      </c>
      <c r="U37" s="1">
        <f t="shared" si="14"/>
        <v>0</v>
      </c>
      <c r="V37">
        <f t="shared" si="5"/>
        <v>0</v>
      </c>
      <c r="W37">
        <f t="shared" si="6"/>
        <v>0</v>
      </c>
      <c r="X37" s="1">
        <f t="shared" si="7"/>
        <v>0</v>
      </c>
    </row>
    <row r="38" spans="1:24" s="1" customFormat="1" x14ac:dyDescent="0.25">
      <c r="A38" s="7">
        <f>CD0!A38</f>
        <v>0</v>
      </c>
      <c r="B38" s="7">
        <f>CD0!B38</f>
        <v>0</v>
      </c>
      <c r="C38" s="7">
        <f>CD0!C38</f>
        <v>0</v>
      </c>
      <c r="D38" s="7">
        <f>CD0!D38</f>
        <v>0</v>
      </c>
      <c r="E38" s="7">
        <f>CD0!E38</f>
        <v>0</v>
      </c>
      <c r="F38" s="7">
        <f>CD0!F38</f>
        <v>0</v>
      </c>
      <c r="G38" s="7">
        <f>CD0!G38</f>
        <v>0</v>
      </c>
      <c r="H38" s="7">
        <f>CD0!H38</f>
        <v>0</v>
      </c>
      <c r="I38" s="7" t="str">
        <f>CD0!I38</f>
        <v>no</v>
      </c>
      <c r="J38" s="2">
        <f t="shared" si="0"/>
        <v>0</v>
      </c>
      <c r="K38">
        <f t="shared" si="8"/>
        <v>0</v>
      </c>
      <c r="L38">
        <f t="shared" si="9"/>
        <v>0</v>
      </c>
      <c r="M38">
        <f t="shared" si="1"/>
        <v>1</v>
      </c>
      <c r="N38" s="6">
        <f t="shared" si="2"/>
        <v>0</v>
      </c>
      <c r="O38" s="12">
        <f t="shared" si="3"/>
        <v>0</v>
      </c>
      <c r="P38" s="6">
        <f t="shared" si="10"/>
        <v>0</v>
      </c>
      <c r="Q38" s="6">
        <f t="shared" si="11"/>
        <v>0</v>
      </c>
      <c r="R38" s="6">
        <f t="shared" si="12"/>
        <v>0</v>
      </c>
      <c r="S38" s="1">
        <f t="shared" si="13"/>
        <v>0</v>
      </c>
      <c r="T38" s="1">
        <f t="shared" si="4"/>
        <v>0</v>
      </c>
      <c r="U38" s="1">
        <f t="shared" si="14"/>
        <v>0</v>
      </c>
      <c r="V38">
        <f t="shared" si="5"/>
        <v>0</v>
      </c>
      <c r="W38">
        <f t="shared" si="6"/>
        <v>0</v>
      </c>
      <c r="X38" s="1">
        <f t="shared" si="7"/>
        <v>0</v>
      </c>
    </row>
    <row r="39" spans="1:24" s="1" customFormat="1" x14ac:dyDescent="0.25">
      <c r="A39" s="7">
        <f>CD0!A39</f>
        <v>0</v>
      </c>
      <c r="B39" s="7">
        <f>CD0!B39</f>
        <v>0</v>
      </c>
      <c r="C39" s="7">
        <f>CD0!C39</f>
        <v>0</v>
      </c>
      <c r="D39" s="7">
        <f>CD0!D39</f>
        <v>0</v>
      </c>
      <c r="E39" s="7">
        <f>CD0!E39</f>
        <v>0</v>
      </c>
      <c r="F39" s="7">
        <f>CD0!F39</f>
        <v>0</v>
      </c>
      <c r="G39" s="7">
        <f>CD0!G39</f>
        <v>0</v>
      </c>
      <c r="H39" s="7">
        <f>CD0!H39</f>
        <v>0</v>
      </c>
      <c r="I39" s="7" t="str">
        <f>CD0!I39</f>
        <v>no</v>
      </c>
      <c r="J39" s="2">
        <f t="shared" si="0"/>
        <v>0</v>
      </c>
      <c r="K39">
        <f t="shared" si="8"/>
        <v>0</v>
      </c>
      <c r="L39">
        <f t="shared" si="9"/>
        <v>0</v>
      </c>
      <c r="M39">
        <f t="shared" si="1"/>
        <v>1</v>
      </c>
      <c r="N39" s="6">
        <f t="shared" si="2"/>
        <v>0</v>
      </c>
      <c r="O39" s="12">
        <f t="shared" si="3"/>
        <v>0</v>
      </c>
      <c r="P39" s="6">
        <f t="shared" si="10"/>
        <v>0</v>
      </c>
      <c r="Q39" s="6">
        <f t="shared" si="11"/>
        <v>0</v>
      </c>
      <c r="R39" s="6">
        <f t="shared" si="12"/>
        <v>0</v>
      </c>
      <c r="S39" s="1">
        <f t="shared" si="13"/>
        <v>0</v>
      </c>
      <c r="T39" s="1">
        <f t="shared" si="4"/>
        <v>0</v>
      </c>
      <c r="U39" s="1">
        <f t="shared" si="14"/>
        <v>0</v>
      </c>
      <c r="V39">
        <f t="shared" si="5"/>
        <v>0</v>
      </c>
      <c r="W39">
        <f t="shared" si="6"/>
        <v>0</v>
      </c>
      <c r="X39" s="1">
        <f t="shared" si="7"/>
        <v>0</v>
      </c>
    </row>
    <row r="40" spans="1:24" s="1" customFormat="1" x14ac:dyDescent="0.25">
      <c r="A40" s="7">
        <f>CD0!A40</f>
        <v>0</v>
      </c>
      <c r="B40" s="7">
        <f>CD0!B40</f>
        <v>0</v>
      </c>
      <c r="C40" s="7">
        <f>CD0!C40</f>
        <v>0</v>
      </c>
      <c r="D40" s="7">
        <f>CD0!D40</f>
        <v>0</v>
      </c>
      <c r="E40" s="7">
        <f>CD0!E40</f>
        <v>0</v>
      </c>
      <c r="F40" s="7">
        <f>CD0!F40</f>
        <v>0</v>
      </c>
      <c r="G40" s="7">
        <f>CD0!G40</f>
        <v>0</v>
      </c>
      <c r="H40" s="7">
        <f>CD0!H40</f>
        <v>0</v>
      </c>
      <c r="I40" s="7" t="str">
        <f>CD0!I40</f>
        <v>no</v>
      </c>
      <c r="J40" s="2">
        <f t="shared" si="0"/>
        <v>0</v>
      </c>
      <c r="K40">
        <f t="shared" si="8"/>
        <v>0</v>
      </c>
      <c r="L40">
        <f t="shared" si="9"/>
        <v>0</v>
      </c>
      <c r="M40">
        <f t="shared" si="1"/>
        <v>1</v>
      </c>
      <c r="N40" s="6">
        <f t="shared" si="2"/>
        <v>0</v>
      </c>
      <c r="O40" s="12">
        <f t="shared" si="3"/>
        <v>0</v>
      </c>
      <c r="P40" s="6">
        <f t="shared" si="10"/>
        <v>0</v>
      </c>
      <c r="Q40" s="6">
        <f t="shared" si="11"/>
        <v>0</v>
      </c>
      <c r="R40" s="6">
        <f t="shared" si="12"/>
        <v>0</v>
      </c>
      <c r="S40" s="1">
        <f t="shared" si="13"/>
        <v>0</v>
      </c>
      <c r="T40" s="1">
        <f t="shared" si="4"/>
        <v>0</v>
      </c>
      <c r="U40" s="1">
        <f t="shared" si="14"/>
        <v>0</v>
      </c>
      <c r="V40">
        <f t="shared" si="5"/>
        <v>0</v>
      </c>
      <c r="W40">
        <f t="shared" si="6"/>
        <v>0</v>
      </c>
      <c r="X40" s="1">
        <f t="shared" si="7"/>
        <v>0</v>
      </c>
    </row>
    <row r="41" spans="1:24" s="1" customFormat="1" x14ac:dyDescent="0.25">
      <c r="A41" s="7">
        <f>CD0!A41</f>
        <v>0</v>
      </c>
      <c r="B41" s="7">
        <f>CD0!B41</f>
        <v>0</v>
      </c>
      <c r="C41" s="7">
        <f>CD0!C41</f>
        <v>0</v>
      </c>
      <c r="D41" s="7">
        <f>CD0!D41</f>
        <v>0</v>
      </c>
      <c r="E41" s="7">
        <f>CD0!E41</f>
        <v>0</v>
      </c>
      <c r="F41" s="7">
        <f>CD0!F41</f>
        <v>0</v>
      </c>
      <c r="G41" s="7">
        <f>CD0!G41</f>
        <v>0</v>
      </c>
      <c r="H41" s="7">
        <f>CD0!H41</f>
        <v>0</v>
      </c>
      <c r="I41" s="7" t="str">
        <f>CD0!I41</f>
        <v>no</v>
      </c>
      <c r="J41" s="2">
        <f t="shared" si="0"/>
        <v>0</v>
      </c>
      <c r="K41">
        <f t="shared" si="8"/>
        <v>0</v>
      </c>
      <c r="L41">
        <f t="shared" si="9"/>
        <v>0</v>
      </c>
      <c r="M41">
        <f t="shared" si="1"/>
        <v>1</v>
      </c>
      <c r="N41" s="6">
        <f t="shared" si="2"/>
        <v>0</v>
      </c>
      <c r="O41" s="12">
        <f t="shared" si="3"/>
        <v>0</v>
      </c>
      <c r="P41" s="6">
        <f t="shared" si="10"/>
        <v>0</v>
      </c>
      <c r="Q41" s="6">
        <f t="shared" si="11"/>
        <v>0</v>
      </c>
      <c r="R41" s="6">
        <f t="shared" si="12"/>
        <v>0</v>
      </c>
      <c r="S41" s="1">
        <f t="shared" si="13"/>
        <v>0</v>
      </c>
      <c r="T41" s="1">
        <f t="shared" si="4"/>
        <v>0</v>
      </c>
      <c r="U41" s="1">
        <f t="shared" si="14"/>
        <v>0</v>
      </c>
      <c r="V41">
        <f t="shared" si="5"/>
        <v>0</v>
      </c>
      <c r="W41">
        <f t="shared" si="6"/>
        <v>0</v>
      </c>
      <c r="X41" s="1">
        <f t="shared" si="7"/>
        <v>0</v>
      </c>
    </row>
    <row r="42" spans="1:24" x14ac:dyDescent="0.25">
      <c r="A42" s="1" t="s">
        <v>73</v>
      </c>
      <c r="C42">
        <f>SUM(C24:C41)</f>
        <v>605.85478699999999</v>
      </c>
      <c r="D42" s="7"/>
      <c r="E42" s="7"/>
      <c r="F42" s="7"/>
      <c r="G42" s="7"/>
      <c r="J42" s="2"/>
      <c r="S42" s="1" t="s">
        <v>74</v>
      </c>
      <c r="W42">
        <f>SUM(W24:W41)</f>
        <v>2.4018241187073828E-2</v>
      </c>
    </row>
    <row r="43" spans="1:24" x14ac:dyDescent="0.25">
      <c r="J43" s="2"/>
    </row>
    <row r="44" spans="1:24" x14ac:dyDescent="0.25">
      <c r="A44" s="13" t="s">
        <v>112</v>
      </c>
    </row>
    <row r="45" spans="1:24" x14ac:dyDescent="0.25">
      <c r="A45" t="s">
        <v>17</v>
      </c>
      <c r="B45" s="7">
        <f>CD0!Cp</f>
        <v>-1</v>
      </c>
    </row>
    <row r="47" spans="1:24" x14ac:dyDescent="0.25">
      <c r="A47" s="13" t="s">
        <v>4</v>
      </c>
      <c r="B47" s="13" t="s">
        <v>16</v>
      </c>
      <c r="C47" s="1" t="s">
        <v>67</v>
      </c>
    </row>
    <row r="48" spans="1:24" x14ac:dyDescent="0.25">
      <c r="A48" s="7">
        <f>CD0!A48</f>
        <v>0</v>
      </c>
      <c r="B48" s="7">
        <f>CD0!B48</f>
        <v>0</v>
      </c>
      <c r="C48">
        <f>(0-Cp)*B48/Ref_Area</f>
        <v>0</v>
      </c>
    </row>
    <row r="49" spans="1:11" x14ac:dyDescent="0.25">
      <c r="A49" s="7">
        <f>CD0!A49</f>
        <v>0</v>
      </c>
      <c r="B49" s="7">
        <f>CD0!B49</f>
        <v>0</v>
      </c>
      <c r="C49">
        <f t="shared" ref="C49:C56" si="15">(1-Cp)*B49/Ref_Area</f>
        <v>0</v>
      </c>
    </row>
    <row r="50" spans="1:11" x14ac:dyDescent="0.25">
      <c r="A50" s="7">
        <f>CD0!A50</f>
        <v>0</v>
      </c>
      <c r="B50" s="7">
        <f>CD0!B50</f>
        <v>0</v>
      </c>
      <c r="C50">
        <f t="shared" si="15"/>
        <v>0</v>
      </c>
    </row>
    <row r="51" spans="1:11" x14ac:dyDescent="0.25">
      <c r="A51" s="7">
        <f>CD0!A51</f>
        <v>0</v>
      </c>
      <c r="B51" s="7">
        <f>CD0!B51</f>
        <v>0</v>
      </c>
      <c r="C51">
        <f t="shared" si="15"/>
        <v>0</v>
      </c>
    </row>
    <row r="52" spans="1:11" x14ac:dyDescent="0.25">
      <c r="A52" s="7">
        <f>CD0!A52</f>
        <v>0</v>
      </c>
      <c r="B52" s="7">
        <f>CD0!B52</f>
        <v>0</v>
      </c>
      <c r="C52">
        <f t="shared" si="15"/>
        <v>0</v>
      </c>
    </row>
    <row r="53" spans="1:11" x14ac:dyDescent="0.25">
      <c r="A53" s="7">
        <f>CD0!A53</f>
        <v>0</v>
      </c>
      <c r="B53" s="7">
        <f>CD0!B53</f>
        <v>0</v>
      </c>
      <c r="C53">
        <f t="shared" si="15"/>
        <v>0</v>
      </c>
    </row>
    <row r="54" spans="1:11" x14ac:dyDescent="0.25">
      <c r="A54" s="7">
        <f>CD0!A54</f>
        <v>0</v>
      </c>
      <c r="B54" s="7">
        <f>CD0!B54</f>
        <v>0</v>
      </c>
      <c r="C54">
        <f t="shared" si="15"/>
        <v>0</v>
      </c>
    </row>
    <row r="55" spans="1:11" x14ac:dyDescent="0.25">
      <c r="A55" s="7">
        <f>CD0!A55</f>
        <v>0</v>
      </c>
      <c r="B55" s="7">
        <f>CD0!B55</f>
        <v>0</v>
      </c>
      <c r="C55">
        <f t="shared" si="15"/>
        <v>0</v>
      </c>
    </row>
    <row r="56" spans="1:11" x14ac:dyDescent="0.25">
      <c r="A56" s="7">
        <f>CD0!A56</f>
        <v>0</v>
      </c>
      <c r="B56" s="7">
        <f>CD0!B56</f>
        <v>0</v>
      </c>
      <c r="C56">
        <f t="shared" si="15"/>
        <v>0</v>
      </c>
    </row>
    <row r="57" spans="1:11" x14ac:dyDescent="0.25">
      <c r="A57" s="1" t="s">
        <v>73</v>
      </c>
      <c r="B57">
        <f>SUM(B48:B56)</f>
        <v>0</v>
      </c>
      <c r="C57">
        <f>SUM(C48:C56)</f>
        <v>0</v>
      </c>
    </row>
    <row r="59" spans="1:11" x14ac:dyDescent="0.25">
      <c r="K59" s="3"/>
    </row>
    <row r="60" spans="1:11" x14ac:dyDescent="0.25">
      <c r="A60" s="13" t="s">
        <v>65</v>
      </c>
      <c r="B60" s="13">
        <f>(C57+W42)</f>
        <v>2.4018241187073828E-2</v>
      </c>
      <c r="C60" s="1" t="s">
        <v>111</v>
      </c>
    </row>
    <row r="62" spans="1:11" x14ac:dyDescent="0.25">
      <c r="A62" t="s">
        <v>180</v>
      </c>
      <c r="B62" s="65">
        <f>CD0!B62</f>
        <v>1.07518778014118</v>
      </c>
      <c r="C62" s="1" t="s">
        <v>181</v>
      </c>
    </row>
    <row r="64" spans="1:11" x14ac:dyDescent="0.25">
      <c r="A64" s="13" t="s">
        <v>66</v>
      </c>
      <c r="B64" s="13">
        <f>B60*B62</f>
        <v>2.5824119424825369E-2</v>
      </c>
      <c r="C64" s="60" t="s">
        <v>889</v>
      </c>
    </row>
    <row r="65" spans="1:21" x14ac:dyDescent="0.25">
      <c r="B65" s="15"/>
      <c r="C65" s="15"/>
      <c r="D65" s="15"/>
      <c r="E65" s="15"/>
      <c r="F65" s="15"/>
      <c r="G65" s="15"/>
      <c r="H65" s="15"/>
      <c r="I65" s="15"/>
      <c r="J65" s="15"/>
      <c r="K65" s="15"/>
      <c r="L65" s="15"/>
      <c r="M65" s="15"/>
      <c r="N65" s="15"/>
      <c r="O65" s="15"/>
      <c r="P65" s="15"/>
      <c r="Q65" s="15"/>
    </row>
    <row r="66" spans="1:21" x14ac:dyDescent="0.25">
      <c r="B66" s="15"/>
      <c r="C66" s="15"/>
      <c r="D66" s="15"/>
      <c r="E66" s="15"/>
      <c r="F66" s="15"/>
      <c r="G66" s="15"/>
      <c r="H66" s="15"/>
      <c r="I66" s="15"/>
      <c r="J66" s="15"/>
      <c r="K66" s="15"/>
      <c r="L66" s="15"/>
      <c r="M66" s="15"/>
      <c r="N66" s="15"/>
      <c r="O66" s="15"/>
      <c r="P66" s="15"/>
      <c r="Q66" s="15"/>
    </row>
    <row r="67" spans="1:21" x14ac:dyDescent="0.25">
      <c r="B67" s="15"/>
      <c r="C67" s="15"/>
      <c r="D67" s="15"/>
      <c r="E67" s="15"/>
      <c r="F67" s="15"/>
      <c r="G67" s="15"/>
      <c r="H67" s="15"/>
      <c r="I67" s="15"/>
      <c r="J67" s="15"/>
      <c r="K67" s="15"/>
      <c r="L67" s="15"/>
      <c r="M67" s="15"/>
      <c r="N67" s="15"/>
      <c r="O67" s="15"/>
      <c r="P67" s="15"/>
      <c r="Q67" s="15"/>
    </row>
    <row r="68" spans="1:21" x14ac:dyDescent="0.25">
      <c r="A68" s="11" t="s">
        <v>113</v>
      </c>
      <c r="B68" s="16"/>
      <c r="C68" s="16"/>
      <c r="D68" s="16"/>
      <c r="E68" s="16"/>
      <c r="F68" s="16"/>
      <c r="G68" s="16"/>
      <c r="H68" s="16"/>
      <c r="I68" s="16"/>
      <c r="J68" s="16"/>
      <c r="K68" s="16"/>
      <c r="L68" s="16"/>
      <c r="M68" s="17"/>
      <c r="N68" s="16"/>
      <c r="O68" s="16"/>
      <c r="P68" s="16"/>
      <c r="Q68" s="16"/>
      <c r="R68" s="10"/>
      <c r="S68" s="10"/>
      <c r="T68" s="10"/>
      <c r="U68" s="10"/>
    </row>
    <row r="69" spans="1:21" x14ac:dyDescent="0.25">
      <c r="A69" s="11" t="s">
        <v>23</v>
      </c>
      <c r="B69" s="18" t="s">
        <v>24</v>
      </c>
      <c r="C69" s="18" t="s">
        <v>25</v>
      </c>
      <c r="D69" s="18" t="s">
        <v>26</v>
      </c>
      <c r="E69" s="18" t="s">
        <v>27</v>
      </c>
      <c r="F69" s="18" t="s">
        <v>28</v>
      </c>
      <c r="G69" s="18" t="s">
        <v>29</v>
      </c>
      <c r="H69" s="18" t="s">
        <v>30</v>
      </c>
      <c r="I69" s="18" t="s">
        <v>31</v>
      </c>
      <c r="J69" s="18" t="s">
        <v>32</v>
      </c>
      <c r="K69" s="18" t="s">
        <v>33</v>
      </c>
      <c r="L69" s="18" t="s">
        <v>34</v>
      </c>
      <c r="M69" s="18" t="s">
        <v>35</v>
      </c>
      <c r="N69" s="18" t="s">
        <v>36</v>
      </c>
      <c r="O69" s="18" t="s">
        <v>37</v>
      </c>
      <c r="Q69" s="15"/>
    </row>
    <row r="70" spans="1:21" x14ac:dyDescent="0.25">
      <c r="A70" s="64" t="str">
        <f>CD0!A70</f>
        <v>Wing</v>
      </c>
      <c r="B70" s="64">
        <f>CD0!B70</f>
        <v>151.881958</v>
      </c>
      <c r="C70" s="64">
        <f>CD0!C70</f>
        <v>129.368359</v>
      </c>
      <c r="D70" s="64">
        <f>CD0!D70</f>
        <v>30.352</v>
      </c>
      <c r="E70" s="64">
        <f>CD0!E70</f>
        <v>27.067813999999998</v>
      </c>
      <c r="F70" s="64">
        <f>CD0!F70</f>
        <v>0.51020100000000002</v>
      </c>
      <c r="G70" s="64">
        <f>CD0!G70</f>
        <v>3.8943059999999998</v>
      </c>
      <c r="H70" s="64">
        <f>CD0!H70</f>
        <v>5.1020089999999998</v>
      </c>
      <c r="I70" s="64">
        <f>CD0!I70</f>
        <v>0.12</v>
      </c>
      <c r="J70" s="64">
        <f>CD0!J70</f>
        <v>0.156941</v>
      </c>
      <c r="K70" s="64">
        <f>CD0!K70</f>
        <v>0.17</v>
      </c>
      <c r="L70" s="64">
        <f>CD0!L70</f>
        <v>1.346514</v>
      </c>
      <c r="M70" s="64">
        <f>CD0!M70</f>
        <v>0</v>
      </c>
      <c r="N70" s="64">
        <f>CD0!N70</f>
        <v>0</v>
      </c>
      <c r="O70" s="64">
        <f>CD0!O70</f>
        <v>0</v>
      </c>
      <c r="Q70" s="15"/>
    </row>
    <row r="71" spans="1:21" x14ac:dyDescent="0.25">
      <c r="A71" s="64" t="str">
        <f>CD0!A71</f>
        <v>Wing</v>
      </c>
      <c r="B71" s="64">
        <f>CD0!B71</f>
        <v>151.881958</v>
      </c>
      <c r="C71" s="64">
        <f>CD0!C71</f>
        <v>129.368987</v>
      </c>
      <c r="D71" s="64">
        <f>CD0!D71</f>
        <v>30.352</v>
      </c>
      <c r="E71" s="64">
        <f>CD0!E71</f>
        <v>27.067945000000002</v>
      </c>
      <c r="F71" s="64">
        <f>CD0!F71</f>
        <v>0.51020100000000002</v>
      </c>
      <c r="G71" s="64">
        <f>CD0!G71</f>
        <v>3.8943059999999998</v>
      </c>
      <c r="H71" s="64">
        <f>CD0!H71</f>
        <v>5.1020089999999998</v>
      </c>
      <c r="I71" s="64">
        <f>CD0!I71</f>
        <v>0.12</v>
      </c>
      <c r="J71" s="64">
        <f>CD0!J71</f>
        <v>0.156941</v>
      </c>
      <c r="K71" s="64">
        <f>CD0!K71</f>
        <v>0.17</v>
      </c>
      <c r="L71" s="64">
        <f>CD0!L71</f>
        <v>1.346514</v>
      </c>
      <c r="M71" s="64">
        <f>CD0!M71</f>
        <v>0</v>
      </c>
      <c r="N71" s="64">
        <f>CD0!N71</f>
        <v>0</v>
      </c>
      <c r="O71" s="64">
        <f>CD0!O71</f>
        <v>0</v>
      </c>
      <c r="Q71" s="15"/>
    </row>
    <row r="72" spans="1:21" x14ac:dyDescent="0.25">
      <c r="A72" s="64" t="str">
        <f>CD0!A72</f>
        <v>Fuselage</v>
      </c>
      <c r="B72" s="64">
        <f>CD0!B72</f>
        <v>240.07036199999999</v>
      </c>
      <c r="C72" s="64">
        <f>CD0!C72</f>
        <v>222.477665</v>
      </c>
      <c r="D72" s="64">
        <f>CD0!D72</f>
        <v>203.26853800000001</v>
      </c>
      <c r="E72" s="64">
        <f>CD0!E72</f>
        <v>197.22502499999999</v>
      </c>
      <c r="F72" s="64">
        <f>CD0!F72</f>
        <v>0</v>
      </c>
      <c r="G72" s="64">
        <f>CD0!G72</f>
        <v>0</v>
      </c>
      <c r="H72" s="64">
        <f>CD0!H72</f>
        <v>0</v>
      </c>
      <c r="I72" s="64">
        <f>CD0!I72</f>
        <v>0</v>
      </c>
      <c r="J72" s="64">
        <f>CD0!J72</f>
        <v>0</v>
      </c>
      <c r="K72" s="64">
        <f>CD0!K72</f>
        <v>0</v>
      </c>
      <c r="L72" s="64">
        <f>CD0!L72</f>
        <v>0</v>
      </c>
      <c r="M72" s="64">
        <f>CD0!M72</f>
        <v>23</v>
      </c>
      <c r="N72" s="64">
        <f>CD0!N72</f>
        <v>17.996829999999999</v>
      </c>
      <c r="O72" s="64">
        <f>CD0!O72</f>
        <v>4.8047940000000002</v>
      </c>
      <c r="Q72" s="15"/>
    </row>
    <row r="73" spans="1:21" x14ac:dyDescent="0.25">
      <c r="A73" s="64" t="str">
        <f>CD0!A73</f>
        <v>Horizontal</v>
      </c>
      <c r="B73" s="64">
        <f>CD0!B73</f>
        <v>29.170697000000001</v>
      </c>
      <c r="C73" s="64">
        <f>CD0!C73</f>
        <v>27.443028000000002</v>
      </c>
      <c r="D73" s="64">
        <f>CD0!D73</f>
        <v>2.3662070000000002</v>
      </c>
      <c r="E73" s="64">
        <f>CD0!E73</f>
        <v>2.3306770000000001</v>
      </c>
      <c r="F73" s="64">
        <f>CD0!F73</f>
        <v>1</v>
      </c>
      <c r="G73" s="64">
        <f>CD0!G73</f>
        <v>2.1698040000000001</v>
      </c>
      <c r="H73" s="64">
        <f>CD0!H73</f>
        <v>2.7</v>
      </c>
      <c r="I73" s="64">
        <f>CD0!I73</f>
        <v>0.1</v>
      </c>
      <c r="J73" s="64">
        <f>CD0!J73</f>
        <v>0.109586</v>
      </c>
      <c r="K73" s="64">
        <f>CD0!K73</f>
        <v>0.12</v>
      </c>
      <c r="L73" s="64">
        <f>CD0!L73</f>
        <v>6.2758060000000002</v>
      </c>
      <c r="M73" s="64">
        <f>CD0!M73</f>
        <v>0</v>
      </c>
      <c r="N73" s="64">
        <f>CD0!N73</f>
        <v>0</v>
      </c>
      <c r="O73" s="64">
        <f>CD0!O73</f>
        <v>0</v>
      </c>
      <c r="Q73" s="15"/>
    </row>
    <row r="74" spans="1:21" s="5" customFormat="1" x14ac:dyDescent="0.25">
      <c r="A74" s="64" t="str">
        <f>CD0!A74</f>
        <v>Horizontal</v>
      </c>
      <c r="B74" s="64">
        <f>CD0!B74</f>
        <v>29.170697000000001</v>
      </c>
      <c r="C74" s="64">
        <f>CD0!C74</f>
        <v>27.443028000000002</v>
      </c>
      <c r="D74" s="64">
        <f>CD0!D74</f>
        <v>2.3662070000000002</v>
      </c>
      <c r="E74" s="64">
        <f>CD0!E74</f>
        <v>2.3306770000000001</v>
      </c>
      <c r="F74" s="64">
        <f>CD0!F74</f>
        <v>1</v>
      </c>
      <c r="G74" s="64">
        <f>CD0!G74</f>
        <v>2.1698040000000001</v>
      </c>
      <c r="H74" s="64">
        <f>CD0!H74</f>
        <v>2.7</v>
      </c>
      <c r="I74" s="64">
        <f>CD0!I74</f>
        <v>0.1</v>
      </c>
      <c r="J74" s="64">
        <f>CD0!J74</f>
        <v>0.109586</v>
      </c>
      <c r="K74" s="64">
        <f>CD0!K74</f>
        <v>0.12</v>
      </c>
      <c r="L74" s="64">
        <f>CD0!L74</f>
        <v>6.2758060000000002</v>
      </c>
      <c r="M74" s="64">
        <f>CD0!M74</f>
        <v>0</v>
      </c>
      <c r="N74" s="64">
        <f>CD0!N74</f>
        <v>0</v>
      </c>
      <c r="O74" s="64">
        <f>CD0!O74</f>
        <v>0</v>
      </c>
      <c r="Q74" s="16"/>
    </row>
    <row r="75" spans="1:21" x14ac:dyDescent="0.25">
      <c r="A75" s="64" t="str">
        <f>CD0!A75</f>
        <v>Vertical</v>
      </c>
      <c r="B75" s="64">
        <f>CD0!B75</f>
        <v>44.081766000000002</v>
      </c>
      <c r="C75" s="64">
        <f>CD0!C75</f>
        <v>38.406747000000003</v>
      </c>
      <c r="D75" s="64">
        <f>CD0!D75</f>
        <v>6.368207</v>
      </c>
      <c r="E75" s="64">
        <f>CD0!E75</f>
        <v>5.8091109999999997</v>
      </c>
      <c r="F75" s="64">
        <f>CD0!F75</f>
        <v>1.2</v>
      </c>
      <c r="G75" s="64">
        <f>CD0!G75</f>
        <v>4.0517469999999998</v>
      </c>
      <c r="H75" s="64">
        <f>CD0!H75</f>
        <v>5.25</v>
      </c>
      <c r="I75" s="64">
        <f>CD0!I75</f>
        <v>0.06</v>
      </c>
      <c r="J75" s="64">
        <f>CD0!J75</f>
        <v>0.11380700000000001</v>
      </c>
      <c r="K75" s="64">
        <f>CD0!K75</f>
        <v>0.14000000000000001</v>
      </c>
      <c r="L75" s="64">
        <f>CD0!L75</f>
        <v>25.780215999999999</v>
      </c>
      <c r="M75" s="64">
        <f>CD0!M75</f>
        <v>0</v>
      </c>
      <c r="N75" s="64">
        <f>CD0!N75</f>
        <v>0</v>
      </c>
      <c r="O75" s="64">
        <f>CD0!O75</f>
        <v>0</v>
      </c>
      <c r="Q75" s="15"/>
    </row>
    <row r="76" spans="1:21" x14ac:dyDescent="0.25">
      <c r="A76" s="64" t="str">
        <f>CD0!A76</f>
        <v>Prop</v>
      </c>
      <c r="B76" s="64">
        <f>CD0!B76</f>
        <v>7.4040699999999999</v>
      </c>
      <c r="C76" s="64">
        <f>CD0!C76</f>
        <v>6.8240920000000003</v>
      </c>
      <c r="D76" s="64">
        <f>CD0!D76</f>
        <v>0.14530699999999999</v>
      </c>
      <c r="E76" s="64">
        <f>CD0!E76</f>
        <v>0.14021800000000001</v>
      </c>
      <c r="F76" s="64">
        <f>CD0!F76</f>
        <v>0</v>
      </c>
      <c r="G76" s="64">
        <f>CD0!G76</f>
        <v>0</v>
      </c>
      <c r="H76" s="64">
        <f>CD0!H76</f>
        <v>0</v>
      </c>
      <c r="I76" s="64">
        <f>CD0!I76</f>
        <v>0</v>
      </c>
      <c r="J76" s="64">
        <f>CD0!J76</f>
        <v>0</v>
      </c>
      <c r="K76" s="64">
        <f>CD0!K76</f>
        <v>0</v>
      </c>
      <c r="L76" s="64">
        <f>CD0!L76</f>
        <v>0</v>
      </c>
      <c r="M76" s="64">
        <f>CD0!M76</f>
        <v>0</v>
      </c>
      <c r="N76" s="64">
        <f>CD0!N76</f>
        <v>0</v>
      </c>
      <c r="O76" s="64">
        <f>CD0!O76</f>
        <v>0</v>
      </c>
      <c r="Q76" s="15"/>
    </row>
    <row r="77" spans="1:21" x14ac:dyDescent="0.25">
      <c r="A77" s="64" t="str">
        <f>CD0!A77</f>
        <v>Tire_MainGear</v>
      </c>
      <c r="B77" s="64">
        <f>CD0!B77</f>
        <v>3.5387339999999998</v>
      </c>
      <c r="C77" s="64">
        <f>CD0!C77</f>
        <v>0.61532799999999999</v>
      </c>
      <c r="D77" s="64">
        <f>CD0!D77</f>
        <v>0.544153</v>
      </c>
      <c r="E77" s="64">
        <f>CD0!E77</f>
        <v>9.9066000000000001E-2</v>
      </c>
      <c r="F77" s="64">
        <f>CD0!F77</f>
        <v>0</v>
      </c>
      <c r="G77" s="64">
        <f>CD0!G77</f>
        <v>0</v>
      </c>
      <c r="H77" s="64">
        <f>CD0!H77</f>
        <v>0</v>
      </c>
      <c r="I77" s="64">
        <f>CD0!I77</f>
        <v>0</v>
      </c>
      <c r="J77" s="64">
        <f>CD0!J77</f>
        <v>0</v>
      </c>
      <c r="K77" s="64">
        <f>CD0!K77</f>
        <v>0</v>
      </c>
      <c r="L77" s="64">
        <f>CD0!L77</f>
        <v>0</v>
      </c>
      <c r="M77" s="64">
        <f>CD0!M77</f>
        <v>0.6</v>
      </c>
      <c r="N77" s="64">
        <f>CD0!N77</f>
        <v>1.1224670000000001</v>
      </c>
      <c r="O77" s="64">
        <f>CD0!O77</f>
        <v>0.50189099999999998</v>
      </c>
      <c r="Q77" s="15"/>
    </row>
    <row r="78" spans="1:21" x14ac:dyDescent="0.25">
      <c r="A78" s="64" t="str">
        <f>CD0!A78</f>
        <v>Tire_MainGear</v>
      </c>
      <c r="B78" s="64">
        <f>CD0!B78</f>
        <v>3.5387339999999998</v>
      </c>
      <c r="C78" s="64">
        <f>CD0!C78</f>
        <v>0.61532799999999999</v>
      </c>
      <c r="D78" s="64">
        <f>CD0!D78</f>
        <v>0.544153</v>
      </c>
      <c r="E78" s="64">
        <f>CD0!E78</f>
        <v>9.9066000000000001E-2</v>
      </c>
      <c r="F78" s="64">
        <f>CD0!F78</f>
        <v>0</v>
      </c>
      <c r="G78" s="64">
        <f>CD0!G78</f>
        <v>0</v>
      </c>
      <c r="H78" s="64">
        <f>CD0!H78</f>
        <v>0</v>
      </c>
      <c r="I78" s="64">
        <f>CD0!I78</f>
        <v>0</v>
      </c>
      <c r="J78" s="64">
        <f>CD0!J78</f>
        <v>0</v>
      </c>
      <c r="K78" s="64">
        <f>CD0!K78</f>
        <v>0</v>
      </c>
      <c r="L78" s="64">
        <f>CD0!L78</f>
        <v>0</v>
      </c>
      <c r="M78" s="64">
        <f>CD0!M78</f>
        <v>0.6</v>
      </c>
      <c r="N78" s="64">
        <f>CD0!N78</f>
        <v>1.1224670000000001</v>
      </c>
      <c r="O78" s="64">
        <f>CD0!O78</f>
        <v>0.50189099999999998</v>
      </c>
      <c r="Q78" s="15"/>
    </row>
    <row r="79" spans="1:21" x14ac:dyDescent="0.25">
      <c r="A79" s="64" t="str">
        <f>CD0!A79</f>
        <v>Pant_MainGear</v>
      </c>
      <c r="B79" s="64">
        <f>CD0!B79</f>
        <v>9.0033130000000003</v>
      </c>
      <c r="C79" s="64">
        <f>CD0!C79</f>
        <v>8.4826820000000005</v>
      </c>
      <c r="D79" s="64">
        <f>CD0!D79</f>
        <v>1.7674540000000001</v>
      </c>
      <c r="E79" s="64">
        <f>CD0!E79</f>
        <v>1.7435039999999999</v>
      </c>
      <c r="F79" s="64">
        <f>CD0!F79</f>
        <v>0</v>
      </c>
      <c r="G79" s="64">
        <f>CD0!G79</f>
        <v>0</v>
      </c>
      <c r="H79" s="64">
        <f>CD0!H79</f>
        <v>0</v>
      </c>
      <c r="I79" s="64">
        <f>CD0!I79</f>
        <v>0</v>
      </c>
      <c r="J79" s="64">
        <f>CD0!J79</f>
        <v>0</v>
      </c>
      <c r="K79" s="64">
        <f>CD0!K79</f>
        <v>0</v>
      </c>
      <c r="L79" s="64">
        <f>CD0!L79</f>
        <v>0</v>
      </c>
      <c r="M79" s="64">
        <f>CD0!M79</f>
        <v>3.7</v>
      </c>
      <c r="N79" s="64">
        <f>CD0!N79</f>
        <v>0.96204500000000004</v>
      </c>
      <c r="O79" s="64">
        <f>CD0!O79</f>
        <v>3.3430960000000001</v>
      </c>
      <c r="Q79" s="15"/>
    </row>
    <row r="80" spans="1:21" x14ac:dyDescent="0.25">
      <c r="A80" s="64" t="str">
        <f>CD0!A80</f>
        <v>Pant_MainGear</v>
      </c>
      <c r="B80" s="64">
        <f>CD0!B80</f>
        <v>9.0033130000000003</v>
      </c>
      <c r="C80" s="64">
        <f>CD0!C80</f>
        <v>8.4826820000000005</v>
      </c>
      <c r="D80" s="64">
        <f>CD0!D80</f>
        <v>1.7674540000000001</v>
      </c>
      <c r="E80" s="64">
        <f>CD0!E80</f>
        <v>1.7435039999999999</v>
      </c>
      <c r="F80" s="64">
        <f>CD0!F80</f>
        <v>0</v>
      </c>
      <c r="G80" s="64">
        <f>CD0!G80</f>
        <v>0</v>
      </c>
      <c r="H80" s="64">
        <f>CD0!H80</f>
        <v>0</v>
      </c>
      <c r="I80" s="64">
        <f>CD0!I80</f>
        <v>0</v>
      </c>
      <c r="J80" s="64">
        <f>CD0!J80</f>
        <v>0</v>
      </c>
      <c r="K80" s="64">
        <f>CD0!K80</f>
        <v>0</v>
      </c>
      <c r="L80" s="64">
        <f>CD0!L80</f>
        <v>0</v>
      </c>
      <c r="M80" s="64">
        <f>CD0!M80</f>
        <v>3.7</v>
      </c>
      <c r="N80" s="64">
        <f>CD0!N80</f>
        <v>0.96204500000000004</v>
      </c>
      <c r="O80" s="64">
        <f>CD0!O80</f>
        <v>3.3430960000000001</v>
      </c>
      <c r="Q80" s="15"/>
    </row>
    <row r="81" spans="1:17" x14ac:dyDescent="0.25">
      <c r="A81" s="64" t="str">
        <f>CD0!A81</f>
        <v>Strut_MainGear</v>
      </c>
      <c r="B81" s="64">
        <f>CD0!B81</f>
        <v>4.0460750000000001</v>
      </c>
      <c r="C81" s="64">
        <f>CD0!C81</f>
        <v>2.8263379999999998</v>
      </c>
      <c r="D81" s="64">
        <f>CD0!D81</f>
        <v>0.23574100000000001</v>
      </c>
      <c r="E81" s="64">
        <f>CD0!E81</f>
        <v>0.17241300000000001</v>
      </c>
      <c r="F81" s="64">
        <f>CD0!F81</f>
        <v>0.6</v>
      </c>
      <c r="G81" s="64">
        <f>CD0!G81</f>
        <v>0.65107700000000002</v>
      </c>
      <c r="H81" s="64">
        <f>CD0!H81</f>
        <v>0.7</v>
      </c>
      <c r="I81" s="64">
        <f>CD0!I81</f>
        <v>0.3</v>
      </c>
      <c r="J81" s="64">
        <f>CD0!J81</f>
        <v>0.3</v>
      </c>
      <c r="K81" s="64">
        <f>CD0!K81</f>
        <v>0.3</v>
      </c>
      <c r="L81" s="64">
        <f>CD0!L81</f>
        <v>-1.0416270000000001</v>
      </c>
      <c r="M81" s="64">
        <f>CD0!M81</f>
        <v>0</v>
      </c>
      <c r="N81" s="64">
        <f>CD0!N81</f>
        <v>0</v>
      </c>
      <c r="O81" s="64">
        <f>CD0!O81</f>
        <v>0</v>
      </c>
      <c r="Q81" s="15"/>
    </row>
    <row r="82" spans="1:17" x14ac:dyDescent="0.25">
      <c r="A82" s="64" t="str">
        <f>CD0!A82</f>
        <v>Strut_MainGear</v>
      </c>
      <c r="B82" s="64">
        <f>CD0!B82</f>
        <v>4.0460750000000001</v>
      </c>
      <c r="C82" s="64">
        <f>CD0!C82</f>
        <v>2.8263379999999998</v>
      </c>
      <c r="D82" s="64">
        <f>CD0!D82</f>
        <v>0.23574100000000001</v>
      </c>
      <c r="E82" s="64">
        <f>CD0!E82</f>
        <v>0.17241300000000001</v>
      </c>
      <c r="F82" s="64">
        <f>CD0!F82</f>
        <v>0.6</v>
      </c>
      <c r="G82" s="64">
        <f>CD0!G82</f>
        <v>0.65107700000000002</v>
      </c>
      <c r="H82" s="64">
        <f>CD0!H82</f>
        <v>0.7</v>
      </c>
      <c r="I82" s="64">
        <f>CD0!I82</f>
        <v>0.3</v>
      </c>
      <c r="J82" s="64">
        <f>CD0!J82</f>
        <v>0.3</v>
      </c>
      <c r="K82" s="64">
        <f>CD0!K82</f>
        <v>0.3</v>
      </c>
      <c r="L82" s="64">
        <f>CD0!L82</f>
        <v>-1.0416270000000001</v>
      </c>
      <c r="M82" s="64">
        <f>CD0!M82</f>
        <v>0</v>
      </c>
      <c r="N82" s="64">
        <f>CD0!N82</f>
        <v>0</v>
      </c>
      <c r="O82" s="64">
        <f>CD0!O82</f>
        <v>0</v>
      </c>
      <c r="Q82" s="15"/>
    </row>
    <row r="83" spans="1:17" x14ac:dyDescent="0.25">
      <c r="A83" s="64" t="str">
        <f>CD0!A83</f>
        <v>Tire_NoseGear</v>
      </c>
      <c r="B83" s="64">
        <f>CD0!B83</f>
        <v>2.4574539999999998</v>
      </c>
      <c r="C83" s="64">
        <f>CD0!C83</f>
        <v>0.57440899999999995</v>
      </c>
      <c r="D83" s="64">
        <f>CD0!D83</f>
        <v>0.31490400000000002</v>
      </c>
      <c r="E83" s="64">
        <f>CD0!E83</f>
        <v>7.7064999999999995E-2</v>
      </c>
      <c r="F83" s="64">
        <f>CD0!F83</f>
        <v>0</v>
      </c>
      <c r="G83" s="64">
        <f>CD0!G83</f>
        <v>0</v>
      </c>
      <c r="H83" s="64">
        <f>CD0!H83</f>
        <v>0</v>
      </c>
      <c r="I83" s="64">
        <f>CD0!I83</f>
        <v>0</v>
      </c>
      <c r="J83" s="64">
        <f>CD0!J83</f>
        <v>0</v>
      </c>
      <c r="K83" s="64">
        <f>CD0!K83</f>
        <v>0</v>
      </c>
      <c r="L83" s="64">
        <f>CD0!L83</f>
        <v>0</v>
      </c>
      <c r="M83" s="64">
        <f>CD0!M83</f>
        <v>0.5</v>
      </c>
      <c r="N83" s="64">
        <f>CD0!N83</f>
        <v>0.77949100000000004</v>
      </c>
      <c r="O83" s="64">
        <f>CD0!O83</f>
        <v>0.50189099999999998</v>
      </c>
      <c r="Q83" s="15"/>
    </row>
    <row r="84" spans="1:17" x14ac:dyDescent="0.25">
      <c r="A84" s="64" t="str">
        <f>CD0!A84</f>
        <v>Pant_NoseGear</v>
      </c>
      <c r="B84" s="64">
        <f>CD0!B84</f>
        <v>6.0227570000000004</v>
      </c>
      <c r="C84" s="64">
        <f>CD0!C84</f>
        <v>5.5711659999999998</v>
      </c>
      <c r="D84" s="64">
        <f>CD0!D84</f>
        <v>0.93402700000000005</v>
      </c>
      <c r="E84" s="64">
        <f>CD0!E84</f>
        <v>0.90459500000000004</v>
      </c>
      <c r="F84" s="64">
        <f>CD0!F84</f>
        <v>0</v>
      </c>
      <c r="G84" s="64">
        <f>CD0!G84</f>
        <v>0</v>
      </c>
      <c r="H84" s="64">
        <f>CD0!H84</f>
        <v>0</v>
      </c>
      <c r="I84" s="64">
        <f>CD0!I84</f>
        <v>0</v>
      </c>
      <c r="J84" s="64">
        <f>CD0!J84</f>
        <v>0</v>
      </c>
      <c r="K84" s="64">
        <f>CD0!K84</f>
        <v>0</v>
      </c>
      <c r="L84" s="64">
        <f>CD0!L84</f>
        <v>0</v>
      </c>
      <c r="M84" s="64">
        <f>CD0!M84</f>
        <v>3.1</v>
      </c>
      <c r="N84" s="64">
        <f>CD0!N84</f>
        <v>0.56711500000000004</v>
      </c>
      <c r="O84" s="64">
        <f>CD0!O84</f>
        <v>3.6481349999999999</v>
      </c>
      <c r="Q84" s="15"/>
    </row>
    <row r="85" spans="1:17" x14ac:dyDescent="0.25">
      <c r="A85" s="64" t="str">
        <f>CD0!A85</f>
        <v>Strut_NoseGear</v>
      </c>
      <c r="B85" s="64">
        <f>CD0!B85</f>
        <v>2.0275530000000002</v>
      </c>
      <c r="C85" s="64">
        <f>CD0!C85</f>
        <v>1.3527020000000001</v>
      </c>
      <c r="D85" s="64">
        <f>CD0!D85</f>
        <v>0.112692</v>
      </c>
      <c r="E85" s="64">
        <f>CD0!E85</f>
        <v>7.8716999999999995E-2</v>
      </c>
      <c r="F85" s="64">
        <f>CD0!F85</f>
        <v>0.4</v>
      </c>
      <c r="G85" s="64">
        <f>CD0!G85</f>
        <v>0.4</v>
      </c>
      <c r="H85" s="64">
        <f>CD0!H85</f>
        <v>0.4</v>
      </c>
      <c r="I85" s="64">
        <f>CD0!I85</f>
        <v>0.5</v>
      </c>
      <c r="J85" s="64">
        <f>CD0!J85</f>
        <v>0.5</v>
      </c>
      <c r="K85" s="64">
        <f>CD0!K85</f>
        <v>0.5</v>
      </c>
      <c r="L85" s="64">
        <f>CD0!L85</f>
        <v>38.799979999999998</v>
      </c>
      <c r="M85" s="64">
        <f>CD0!M85</f>
        <v>0</v>
      </c>
      <c r="N85" s="64">
        <f>CD0!N85</f>
        <v>0</v>
      </c>
      <c r="O85" s="64">
        <f>CD0!O85</f>
        <v>0</v>
      </c>
      <c r="Q85" s="15"/>
    </row>
    <row r="86" spans="1:17" x14ac:dyDescent="0.25">
      <c r="A86" s="64">
        <f>CD0!A86</f>
        <v>0</v>
      </c>
      <c r="B86" s="64">
        <f>CD0!B86</f>
        <v>0</v>
      </c>
      <c r="C86" s="64">
        <f>CD0!C86</f>
        <v>0</v>
      </c>
      <c r="D86" s="64">
        <f>CD0!D86</f>
        <v>0</v>
      </c>
      <c r="E86" s="64">
        <f>CD0!E86</f>
        <v>0</v>
      </c>
      <c r="F86" s="64">
        <f>CD0!F86</f>
        <v>0</v>
      </c>
      <c r="G86" s="64">
        <f>CD0!G86</f>
        <v>0</v>
      </c>
      <c r="H86" s="64">
        <f>CD0!H86</f>
        <v>0</v>
      </c>
      <c r="I86" s="64">
        <f>CD0!I86</f>
        <v>0</v>
      </c>
      <c r="J86" s="64">
        <f>CD0!J86</f>
        <v>0</v>
      </c>
      <c r="K86" s="64">
        <f>CD0!K86</f>
        <v>0</v>
      </c>
      <c r="L86" s="64">
        <f>CD0!L86</f>
        <v>0</v>
      </c>
      <c r="M86" s="64">
        <f>CD0!M86</f>
        <v>0</v>
      </c>
      <c r="N86" s="64">
        <f>CD0!N86</f>
        <v>0</v>
      </c>
      <c r="O86" s="64">
        <f>CD0!O86</f>
        <v>0</v>
      </c>
      <c r="Q86" s="15"/>
    </row>
    <row r="87" spans="1:17" x14ac:dyDescent="0.25">
      <c r="A87" s="64">
        <f>CD0!A87</f>
        <v>0</v>
      </c>
      <c r="B87" s="64">
        <f>CD0!B87</f>
        <v>0</v>
      </c>
      <c r="C87" s="64">
        <f>CD0!C87</f>
        <v>0</v>
      </c>
      <c r="D87" s="64">
        <f>CD0!D87</f>
        <v>0</v>
      </c>
      <c r="E87" s="64">
        <f>CD0!E87</f>
        <v>0</v>
      </c>
      <c r="F87" s="64">
        <f>CD0!F87</f>
        <v>0</v>
      </c>
      <c r="G87" s="64">
        <f>CD0!G87</f>
        <v>0</v>
      </c>
      <c r="H87" s="64">
        <f>CD0!H87</f>
        <v>0</v>
      </c>
      <c r="I87" s="64">
        <f>CD0!I87</f>
        <v>0</v>
      </c>
      <c r="J87" s="64">
        <f>CD0!J87</f>
        <v>0</v>
      </c>
      <c r="K87" s="64">
        <f>CD0!K87</f>
        <v>0</v>
      </c>
      <c r="L87" s="64">
        <f>CD0!L87</f>
        <v>0</v>
      </c>
      <c r="M87" s="64">
        <f>CD0!M87</f>
        <v>0</v>
      </c>
      <c r="N87" s="64">
        <f>CD0!N87</f>
        <v>0</v>
      </c>
      <c r="O87" s="64">
        <f>CD0!O87</f>
        <v>0</v>
      </c>
      <c r="Q87" s="15"/>
    </row>
    <row r="88" spans="1:17" x14ac:dyDescent="0.25">
      <c r="A88" s="64">
        <f>CD0!A88</f>
        <v>0</v>
      </c>
      <c r="B88" s="64">
        <f>CD0!B88</f>
        <v>0</v>
      </c>
      <c r="C88" s="64">
        <f>CD0!C88</f>
        <v>0</v>
      </c>
      <c r="D88" s="64">
        <f>CD0!D88</f>
        <v>0</v>
      </c>
      <c r="E88" s="64">
        <f>CD0!E88</f>
        <v>0</v>
      </c>
      <c r="F88" s="64">
        <f>CD0!F88</f>
        <v>0</v>
      </c>
      <c r="G88" s="64">
        <f>CD0!G88</f>
        <v>0</v>
      </c>
      <c r="H88" s="64">
        <f>CD0!H88</f>
        <v>0</v>
      </c>
      <c r="I88" s="64">
        <f>CD0!I88</f>
        <v>0</v>
      </c>
      <c r="J88" s="64">
        <f>CD0!J88</f>
        <v>0</v>
      </c>
      <c r="K88" s="64">
        <f>CD0!K88</f>
        <v>0</v>
      </c>
      <c r="L88" s="64">
        <f>CD0!L88</f>
        <v>0</v>
      </c>
      <c r="M88" s="64">
        <f>CD0!M88</f>
        <v>0</v>
      </c>
      <c r="N88" s="64">
        <f>CD0!N88</f>
        <v>0</v>
      </c>
      <c r="O88" s="64">
        <f>CD0!O88</f>
        <v>0</v>
      </c>
      <c r="Q88" s="15"/>
    </row>
    <row r="89" spans="1:17" x14ac:dyDescent="0.25">
      <c r="A89" s="64">
        <f>CD0!A89</f>
        <v>0</v>
      </c>
      <c r="B89" s="64">
        <f>CD0!B89</f>
        <v>0</v>
      </c>
      <c r="C89" s="64">
        <f>CD0!C89</f>
        <v>0</v>
      </c>
      <c r="D89" s="64">
        <f>CD0!D89</f>
        <v>0</v>
      </c>
      <c r="E89" s="64">
        <f>CD0!E89</f>
        <v>0</v>
      </c>
      <c r="F89" s="64">
        <f>CD0!F89</f>
        <v>0</v>
      </c>
      <c r="G89" s="64">
        <f>CD0!G89</f>
        <v>0</v>
      </c>
      <c r="H89" s="64">
        <f>CD0!H89</f>
        <v>0</v>
      </c>
      <c r="I89" s="64">
        <f>CD0!I89</f>
        <v>0</v>
      </c>
      <c r="J89" s="64">
        <f>CD0!J89</f>
        <v>0</v>
      </c>
      <c r="K89" s="64">
        <f>CD0!K89</f>
        <v>0</v>
      </c>
      <c r="L89" s="64">
        <f>CD0!L89</f>
        <v>0</v>
      </c>
      <c r="M89" s="64">
        <f>CD0!M89</f>
        <v>0</v>
      </c>
      <c r="N89" s="64">
        <f>CD0!N89</f>
        <v>0</v>
      </c>
      <c r="O89" s="64">
        <f>CD0!O89</f>
        <v>0</v>
      </c>
      <c r="Q89" s="15"/>
    </row>
    <row r="90" spans="1:17" x14ac:dyDescent="0.25">
      <c r="A90" s="64">
        <f>CD0!A90</f>
        <v>0</v>
      </c>
      <c r="B90" s="64">
        <f>CD0!B90</f>
        <v>0</v>
      </c>
      <c r="C90" s="64">
        <f>CD0!C90</f>
        <v>0</v>
      </c>
      <c r="D90" s="64">
        <f>CD0!D90</f>
        <v>0</v>
      </c>
      <c r="E90" s="64">
        <f>CD0!E90</f>
        <v>0</v>
      </c>
      <c r="F90" s="64">
        <f>CD0!F90</f>
        <v>0</v>
      </c>
      <c r="G90" s="64">
        <f>CD0!G90</f>
        <v>0</v>
      </c>
      <c r="H90" s="64">
        <f>CD0!H90</f>
        <v>0</v>
      </c>
      <c r="I90" s="64">
        <f>CD0!I90</f>
        <v>0</v>
      </c>
      <c r="J90" s="64">
        <f>CD0!J90</f>
        <v>0</v>
      </c>
      <c r="K90" s="64">
        <f>CD0!K90</f>
        <v>0</v>
      </c>
      <c r="L90" s="64">
        <f>CD0!L90</f>
        <v>0</v>
      </c>
      <c r="M90" s="64">
        <f>CD0!M90</f>
        <v>0</v>
      </c>
      <c r="N90" s="64">
        <f>CD0!N90</f>
        <v>0</v>
      </c>
      <c r="O90" s="64">
        <f>CD0!O90</f>
        <v>0</v>
      </c>
      <c r="Q90" s="15"/>
    </row>
    <row r="91" spans="1:17" x14ac:dyDescent="0.25">
      <c r="A91" s="64">
        <f>CD0!A91</f>
        <v>0</v>
      </c>
      <c r="B91" s="64">
        <f>CD0!B91</f>
        <v>0</v>
      </c>
      <c r="C91" s="64">
        <f>CD0!C91</f>
        <v>0</v>
      </c>
      <c r="D91" s="64">
        <f>CD0!D91</f>
        <v>0</v>
      </c>
      <c r="E91" s="64">
        <f>CD0!E91</f>
        <v>0</v>
      </c>
      <c r="F91" s="64">
        <f>CD0!F91</f>
        <v>0</v>
      </c>
      <c r="G91" s="64">
        <f>CD0!G91</f>
        <v>0</v>
      </c>
      <c r="H91" s="64">
        <f>CD0!H91</f>
        <v>0</v>
      </c>
      <c r="I91" s="64">
        <f>CD0!I91</f>
        <v>0</v>
      </c>
      <c r="J91" s="64">
        <f>CD0!J91</f>
        <v>0</v>
      </c>
      <c r="K91" s="64">
        <f>CD0!K91</f>
        <v>0</v>
      </c>
      <c r="L91" s="64">
        <f>CD0!L91</f>
        <v>0</v>
      </c>
      <c r="M91" s="64">
        <f>CD0!M91</f>
        <v>0</v>
      </c>
      <c r="N91" s="64">
        <f>CD0!N91</f>
        <v>0</v>
      </c>
      <c r="O91" s="64">
        <f>CD0!O91</f>
        <v>0</v>
      </c>
      <c r="Q91" s="15"/>
    </row>
    <row r="92" spans="1:17" x14ac:dyDescent="0.25">
      <c r="A92" s="64">
        <f>CD0!A92</f>
        <v>0</v>
      </c>
      <c r="B92" s="64">
        <f>CD0!B92</f>
        <v>0</v>
      </c>
      <c r="C92" s="64">
        <f>CD0!C92</f>
        <v>0</v>
      </c>
      <c r="D92" s="64">
        <f>CD0!D92</f>
        <v>0</v>
      </c>
      <c r="E92" s="64">
        <f>CD0!E92</f>
        <v>0</v>
      </c>
      <c r="F92" s="64">
        <f>CD0!F92</f>
        <v>0</v>
      </c>
      <c r="G92" s="64">
        <f>CD0!G92</f>
        <v>0</v>
      </c>
      <c r="H92" s="64">
        <f>CD0!H92</f>
        <v>0</v>
      </c>
      <c r="I92" s="64">
        <f>CD0!I92</f>
        <v>0</v>
      </c>
      <c r="J92" s="64">
        <f>CD0!J92</f>
        <v>0</v>
      </c>
      <c r="K92" s="64">
        <f>CD0!K92</f>
        <v>0</v>
      </c>
      <c r="L92" s="64">
        <f>CD0!L92</f>
        <v>0</v>
      </c>
      <c r="M92" s="64">
        <f>CD0!M92</f>
        <v>0</v>
      </c>
      <c r="N92" s="64">
        <f>CD0!N92</f>
        <v>0</v>
      </c>
      <c r="O92" s="64">
        <f>CD0!O92</f>
        <v>0</v>
      </c>
      <c r="Q92" s="15"/>
    </row>
    <row r="93" spans="1:17" x14ac:dyDescent="0.25">
      <c r="A93" s="64">
        <f>CD0!A93</f>
        <v>0</v>
      </c>
      <c r="B93" s="64">
        <f>CD0!B93</f>
        <v>0</v>
      </c>
      <c r="C93" s="64">
        <f>CD0!C93</f>
        <v>0</v>
      </c>
      <c r="D93" s="64">
        <f>CD0!D93</f>
        <v>0</v>
      </c>
      <c r="E93" s="64">
        <f>CD0!E93</f>
        <v>0</v>
      </c>
      <c r="F93" s="64">
        <f>CD0!F93</f>
        <v>0</v>
      </c>
      <c r="G93" s="64">
        <f>CD0!G93</f>
        <v>0</v>
      </c>
      <c r="H93" s="64">
        <f>CD0!H93</f>
        <v>0</v>
      </c>
      <c r="I93" s="64">
        <f>CD0!I93</f>
        <v>0</v>
      </c>
      <c r="J93" s="64">
        <f>CD0!J93</f>
        <v>0</v>
      </c>
      <c r="K93" s="64">
        <f>CD0!K93</f>
        <v>0</v>
      </c>
      <c r="L93" s="64">
        <f>CD0!L93</f>
        <v>0</v>
      </c>
      <c r="M93" s="64">
        <f>CD0!M93</f>
        <v>0</v>
      </c>
      <c r="N93" s="64">
        <f>CD0!N93</f>
        <v>0</v>
      </c>
      <c r="O93" s="64">
        <f>CD0!O93</f>
        <v>0</v>
      </c>
      <c r="Q93" s="15"/>
    </row>
    <row r="94" spans="1:17" x14ac:dyDescent="0.25">
      <c r="A94" s="64">
        <f>CD0!A94</f>
        <v>0</v>
      </c>
      <c r="B94" s="64">
        <f>CD0!B94</f>
        <v>0</v>
      </c>
      <c r="C94" s="64">
        <f>CD0!C94</f>
        <v>0</v>
      </c>
      <c r="D94" s="64">
        <f>CD0!D94</f>
        <v>0</v>
      </c>
      <c r="E94" s="64">
        <f>CD0!E94</f>
        <v>0</v>
      </c>
      <c r="F94" s="64">
        <f>CD0!F94</f>
        <v>0</v>
      </c>
      <c r="G94" s="64">
        <f>CD0!G94</f>
        <v>0</v>
      </c>
      <c r="H94" s="64">
        <f>CD0!H94</f>
        <v>0</v>
      </c>
      <c r="I94" s="64">
        <f>CD0!I94</f>
        <v>0</v>
      </c>
      <c r="J94" s="64">
        <f>CD0!J94</f>
        <v>0</v>
      </c>
      <c r="K94" s="64">
        <f>CD0!K94</f>
        <v>0</v>
      </c>
      <c r="L94" s="64">
        <f>CD0!L94</f>
        <v>0</v>
      </c>
      <c r="M94" s="64">
        <f>CD0!M94</f>
        <v>0</v>
      </c>
      <c r="N94" s="64">
        <f>CD0!N94</f>
        <v>0</v>
      </c>
      <c r="O94" s="64">
        <f>CD0!O94</f>
        <v>0</v>
      </c>
      <c r="Q94" s="15"/>
    </row>
    <row r="95" spans="1:17" x14ac:dyDescent="0.25">
      <c r="A95" s="64"/>
      <c r="B95" s="15"/>
      <c r="C95" s="15"/>
      <c r="D95" s="15"/>
      <c r="E95" s="15"/>
      <c r="F95" s="15"/>
      <c r="G95" s="15"/>
      <c r="H95" s="15"/>
      <c r="I95" s="15"/>
      <c r="J95" s="15"/>
      <c r="K95" s="15"/>
      <c r="L95" s="15"/>
      <c r="M95" s="15"/>
      <c r="N95" s="15"/>
      <c r="O95" s="15"/>
      <c r="P95" s="15"/>
      <c r="Q95" s="15"/>
    </row>
    <row r="96" spans="1:17" x14ac:dyDescent="0.25">
      <c r="A96" s="64"/>
      <c r="B96" s="15"/>
      <c r="C96" s="15"/>
      <c r="D96" s="15"/>
      <c r="E96" s="15"/>
      <c r="F96" s="15"/>
      <c r="G96" s="15"/>
      <c r="H96" s="15"/>
      <c r="I96" s="15"/>
      <c r="J96" s="15"/>
      <c r="K96" s="15"/>
      <c r="L96" s="15"/>
      <c r="M96" s="15"/>
      <c r="N96" s="15"/>
      <c r="O96" s="15"/>
      <c r="P96" s="15"/>
      <c r="Q96" s="15"/>
    </row>
    <row r="97" spans="2:17" x14ac:dyDescent="0.25">
      <c r="B97" s="15"/>
      <c r="C97" s="15"/>
      <c r="D97" s="15"/>
      <c r="E97" s="15"/>
      <c r="F97" s="15"/>
      <c r="G97" s="15"/>
      <c r="H97" s="15"/>
      <c r="I97" s="15"/>
      <c r="J97" s="15"/>
      <c r="K97" s="15"/>
      <c r="L97" s="15"/>
      <c r="M97" s="15"/>
      <c r="N97" s="15"/>
      <c r="O97" s="15"/>
      <c r="P97" s="15"/>
      <c r="Q97" s="15"/>
    </row>
    <row r="98" spans="2:17" x14ac:dyDescent="0.25">
      <c r="B98" s="15"/>
      <c r="C98" s="15"/>
      <c r="D98" s="15"/>
      <c r="E98" s="15"/>
      <c r="F98" s="15"/>
      <c r="G98" s="15"/>
      <c r="H98" s="15"/>
      <c r="I98" s="15"/>
      <c r="J98" s="15"/>
      <c r="K98" s="15"/>
      <c r="L98" s="15"/>
      <c r="M98" s="15"/>
      <c r="N98" s="15"/>
      <c r="O98" s="15"/>
      <c r="P98" s="15"/>
      <c r="Q98" s="15"/>
    </row>
    <row r="99" spans="2:17" x14ac:dyDescent="0.25">
      <c r="B99" s="15"/>
      <c r="C99" s="15"/>
      <c r="D99" s="15"/>
      <c r="E99" s="15"/>
      <c r="F99" s="15"/>
      <c r="G99" s="15"/>
      <c r="H99" s="15"/>
      <c r="I99" s="15"/>
      <c r="J99" s="15"/>
      <c r="K99" s="15"/>
      <c r="L99" s="15"/>
      <c r="M99" s="15"/>
      <c r="N99" s="15"/>
      <c r="O99" s="15"/>
      <c r="P99" s="15"/>
      <c r="Q99" s="15"/>
    </row>
    <row r="100" spans="2:17" x14ac:dyDescent="0.25">
      <c r="B100" s="15"/>
      <c r="C100" s="15"/>
      <c r="D100" s="15"/>
      <c r="E100" s="15"/>
      <c r="F100" s="15"/>
      <c r="G100" s="15"/>
      <c r="H100" s="15"/>
      <c r="I100" s="15"/>
      <c r="J100" s="15"/>
      <c r="K100" s="15"/>
      <c r="L100" s="15"/>
      <c r="M100" s="15"/>
      <c r="N100" s="15"/>
      <c r="O100" s="15"/>
      <c r="P100" s="15"/>
      <c r="Q100" s="15"/>
    </row>
    <row r="101" spans="2:17" x14ac:dyDescent="0.25">
      <c r="B101" s="15"/>
      <c r="C101" s="15"/>
      <c r="D101" s="15"/>
      <c r="E101" s="15"/>
      <c r="F101" s="15"/>
      <c r="G101" s="15"/>
      <c r="H101" s="15"/>
      <c r="I101" s="15"/>
      <c r="J101" s="15"/>
      <c r="K101" s="15"/>
      <c r="L101" s="15"/>
      <c r="M101" s="15"/>
      <c r="N101" s="15"/>
      <c r="O101" s="15"/>
      <c r="P101" s="15"/>
      <c r="Q101" s="15"/>
    </row>
    <row r="102" spans="2:17" x14ac:dyDescent="0.25">
      <c r="B102" s="15"/>
      <c r="C102" s="15"/>
      <c r="D102" s="15"/>
      <c r="E102" s="15"/>
      <c r="F102" s="15"/>
      <c r="G102" s="15"/>
      <c r="H102" s="15"/>
      <c r="I102" s="15"/>
      <c r="J102" s="15"/>
      <c r="K102" s="15"/>
      <c r="L102" s="15"/>
      <c r="M102" s="15"/>
      <c r="N102" s="15"/>
      <c r="O102" s="15"/>
      <c r="P102" s="15"/>
      <c r="Q102" s="15"/>
    </row>
    <row r="103" spans="2:17" x14ac:dyDescent="0.25">
      <c r="B103" s="15"/>
      <c r="C103" s="15"/>
      <c r="D103" s="15"/>
      <c r="E103" s="15"/>
      <c r="F103" s="15"/>
      <c r="G103" s="15"/>
      <c r="H103" s="15"/>
      <c r="I103" s="15"/>
      <c r="J103" s="15"/>
      <c r="K103" s="15"/>
      <c r="L103" s="15"/>
      <c r="M103" s="15"/>
      <c r="N103" s="15"/>
      <c r="O103" s="15"/>
      <c r="P103" s="15"/>
      <c r="Q103" s="15"/>
    </row>
    <row r="104" spans="2:17" x14ac:dyDescent="0.25">
      <c r="B104" s="15"/>
      <c r="C104" s="15"/>
      <c r="D104" s="15"/>
      <c r="E104" s="15"/>
      <c r="F104" s="15"/>
      <c r="G104" s="15"/>
      <c r="H104" s="15"/>
      <c r="I104" s="15"/>
      <c r="J104" s="15"/>
      <c r="K104" s="15"/>
      <c r="L104" s="15"/>
      <c r="M104" s="15"/>
      <c r="N104" s="15"/>
      <c r="O104" s="15"/>
      <c r="P104" s="15"/>
      <c r="Q104" s="15"/>
    </row>
    <row r="105" spans="2:17" x14ac:dyDescent="0.25">
      <c r="B105" s="15"/>
      <c r="C105" s="15"/>
      <c r="D105" s="15"/>
      <c r="E105" s="15"/>
      <c r="F105" s="15"/>
      <c r="G105" s="15"/>
      <c r="H105" s="15"/>
      <c r="I105" s="15"/>
      <c r="J105" s="15"/>
      <c r="K105" s="15"/>
      <c r="L105" s="15"/>
      <c r="M105" s="15"/>
      <c r="N105" s="15"/>
      <c r="O105" s="15"/>
      <c r="P105" s="15"/>
      <c r="Q105" s="15"/>
    </row>
    <row r="106" spans="2:17" x14ac:dyDescent="0.25">
      <c r="B106" s="15"/>
      <c r="C106" s="15"/>
      <c r="D106" s="15"/>
      <c r="E106" s="15"/>
      <c r="F106" s="15"/>
      <c r="G106" s="15"/>
      <c r="H106" s="15"/>
      <c r="I106" s="15"/>
      <c r="J106" s="15"/>
      <c r="K106" s="15"/>
      <c r="L106" s="15"/>
      <c r="M106" s="15"/>
      <c r="N106" s="15"/>
      <c r="O106" s="15"/>
      <c r="P106" s="15"/>
      <c r="Q106" s="15"/>
    </row>
    <row r="107" spans="2:17" x14ac:dyDescent="0.25">
      <c r="B107" s="15"/>
      <c r="C107" s="15"/>
      <c r="D107" s="15"/>
      <c r="E107" s="15"/>
      <c r="F107" s="15"/>
      <c r="G107" s="15"/>
      <c r="H107" s="15"/>
      <c r="I107" s="15"/>
      <c r="J107" s="15"/>
      <c r="K107" s="15"/>
      <c r="L107" s="15"/>
      <c r="M107" s="15"/>
      <c r="N107" s="15"/>
      <c r="O107" s="15"/>
      <c r="P107" s="15"/>
      <c r="Q107" s="15"/>
    </row>
    <row r="108" spans="2:17" x14ac:dyDescent="0.25">
      <c r="B108" s="15"/>
      <c r="C108" s="15"/>
      <c r="D108" s="15"/>
      <c r="E108" s="15"/>
      <c r="F108" s="15"/>
      <c r="G108" s="15"/>
      <c r="H108" s="15"/>
      <c r="I108" s="15"/>
      <c r="J108" s="15"/>
      <c r="K108" s="15"/>
      <c r="L108" s="15"/>
      <c r="M108" s="15"/>
      <c r="N108" s="15"/>
      <c r="O108" s="15"/>
      <c r="P108" s="15"/>
      <c r="Q108" s="15"/>
    </row>
    <row r="109" spans="2:17" x14ac:dyDescent="0.25">
      <c r="B109" s="15"/>
      <c r="C109" s="15"/>
      <c r="D109" s="15"/>
      <c r="E109" s="15"/>
      <c r="F109" s="15"/>
      <c r="G109" s="15"/>
      <c r="H109" s="15"/>
      <c r="I109" s="15"/>
      <c r="J109" s="15"/>
      <c r="K109" s="15"/>
      <c r="L109" s="15"/>
      <c r="M109" s="15"/>
      <c r="N109" s="15"/>
      <c r="O109" s="15"/>
      <c r="P109" s="15"/>
      <c r="Q109" s="15"/>
    </row>
    <row r="110" spans="2:17" x14ac:dyDescent="0.25">
      <c r="B110" s="15"/>
      <c r="C110" s="15"/>
      <c r="D110" s="15"/>
      <c r="E110" s="15"/>
      <c r="F110" s="15"/>
      <c r="G110" s="15"/>
      <c r="H110" s="15"/>
      <c r="I110" s="15"/>
      <c r="J110" s="15"/>
      <c r="K110" s="15"/>
      <c r="L110" s="15"/>
      <c r="M110" s="15"/>
      <c r="N110" s="15"/>
      <c r="O110" s="15"/>
      <c r="P110" s="15"/>
      <c r="Q110" s="15"/>
    </row>
    <row r="111" spans="2:17" x14ac:dyDescent="0.25">
      <c r="B111" s="15"/>
      <c r="C111" s="15"/>
      <c r="D111" s="15"/>
      <c r="E111" s="15"/>
      <c r="F111" s="15"/>
      <c r="G111" s="15"/>
      <c r="H111" s="15"/>
      <c r="I111" s="15"/>
      <c r="J111" s="15"/>
      <c r="K111" s="15"/>
      <c r="L111" s="15"/>
      <c r="M111" s="15"/>
      <c r="N111" s="15"/>
      <c r="O111" s="15"/>
      <c r="P111" s="15"/>
      <c r="Q111" s="15"/>
    </row>
    <row r="112" spans="2:17" x14ac:dyDescent="0.25">
      <c r="B112" s="15"/>
      <c r="C112" s="15"/>
      <c r="D112" s="15"/>
      <c r="E112" s="15"/>
      <c r="F112" s="15"/>
      <c r="G112" s="15"/>
      <c r="H112" s="15"/>
      <c r="I112" s="15"/>
      <c r="J112" s="15"/>
      <c r="K112" s="15"/>
      <c r="L112" s="15"/>
      <c r="M112" s="15"/>
      <c r="N112" s="15"/>
      <c r="O112" s="15"/>
      <c r="P112" s="15"/>
      <c r="Q112" s="15"/>
    </row>
    <row r="113" spans="2:17" x14ac:dyDescent="0.25">
      <c r="B113" s="15"/>
      <c r="C113" s="15"/>
      <c r="D113" s="15"/>
      <c r="E113" s="15"/>
      <c r="F113" s="15"/>
      <c r="G113" s="15"/>
      <c r="H113" s="15"/>
      <c r="I113" s="15"/>
      <c r="J113" s="15"/>
      <c r="K113" s="15"/>
      <c r="L113" s="15"/>
      <c r="M113" s="15"/>
      <c r="N113" s="15"/>
      <c r="O113" s="15"/>
      <c r="P113" s="15"/>
      <c r="Q113" s="15"/>
    </row>
    <row r="114" spans="2:17" x14ac:dyDescent="0.25">
      <c r="B114" s="15"/>
      <c r="C114" s="15"/>
      <c r="D114" s="15"/>
      <c r="E114" s="15"/>
      <c r="F114" s="15"/>
      <c r="G114" s="15"/>
      <c r="H114" s="15"/>
      <c r="I114" s="15"/>
      <c r="J114" s="15"/>
      <c r="K114" s="15"/>
      <c r="L114" s="15"/>
      <c r="M114" s="15"/>
      <c r="N114" s="15"/>
      <c r="O114" s="15"/>
      <c r="P114" s="15"/>
      <c r="Q114" s="15"/>
    </row>
    <row r="115" spans="2:17" x14ac:dyDescent="0.25">
      <c r="B115" s="15"/>
      <c r="C115" s="15"/>
      <c r="D115" s="15"/>
      <c r="E115" s="15"/>
      <c r="F115" s="15"/>
      <c r="G115" s="15"/>
      <c r="H115" s="15"/>
      <c r="I115" s="15"/>
      <c r="J115" s="15"/>
      <c r="K115" s="15"/>
      <c r="L115" s="15"/>
      <c r="M115" s="15"/>
      <c r="N115" s="15"/>
      <c r="O115" s="15"/>
      <c r="P115" s="15"/>
      <c r="Q115" s="15"/>
    </row>
    <row r="116" spans="2:17" x14ac:dyDescent="0.25">
      <c r="B116" s="15"/>
      <c r="C116" s="15"/>
      <c r="D116" s="15"/>
      <c r="E116" s="15"/>
      <c r="F116" s="15"/>
      <c r="G116" s="15"/>
      <c r="H116" s="15"/>
      <c r="I116" s="15"/>
      <c r="J116" s="15"/>
      <c r="K116" s="15"/>
      <c r="L116" s="15"/>
      <c r="M116" s="15"/>
      <c r="N116" s="15"/>
      <c r="O116" s="15"/>
      <c r="P116" s="15"/>
      <c r="Q116" s="15"/>
    </row>
    <row r="117" spans="2:17" x14ac:dyDescent="0.25">
      <c r="B117" s="15"/>
      <c r="C117" s="15"/>
      <c r="D117" s="15"/>
      <c r="E117" s="15"/>
      <c r="F117" s="15"/>
      <c r="G117" s="15"/>
      <c r="H117" s="15"/>
      <c r="I117" s="15"/>
      <c r="J117" s="15"/>
      <c r="K117" s="15"/>
      <c r="L117" s="15"/>
      <c r="M117" s="15"/>
      <c r="N117" s="15"/>
      <c r="O117" s="15"/>
      <c r="P117" s="15"/>
      <c r="Q117" s="15"/>
    </row>
    <row r="118" spans="2:17" x14ac:dyDescent="0.25">
      <c r="B118" s="15"/>
      <c r="C118" s="15"/>
      <c r="D118" s="15"/>
      <c r="E118" s="15"/>
      <c r="F118" s="15"/>
      <c r="G118" s="15"/>
      <c r="H118" s="15"/>
      <c r="I118" s="15"/>
      <c r="J118" s="15"/>
      <c r="K118" s="15"/>
      <c r="L118" s="15"/>
      <c r="M118" s="15"/>
      <c r="N118" s="15"/>
      <c r="O118" s="15"/>
      <c r="P118" s="15"/>
      <c r="Q118" s="15"/>
    </row>
    <row r="119" spans="2:17" x14ac:dyDescent="0.25">
      <c r="B119" s="15"/>
      <c r="C119" s="15"/>
      <c r="D119" s="15"/>
      <c r="E119" s="15"/>
      <c r="F119" s="15"/>
      <c r="G119" s="15"/>
      <c r="H119" s="15"/>
      <c r="I119" s="15"/>
      <c r="J119" s="15"/>
      <c r="K119" s="15"/>
      <c r="L119" s="15"/>
      <c r="M119" s="15"/>
      <c r="N119" s="15"/>
      <c r="O119" s="15"/>
      <c r="P119" s="15"/>
      <c r="Q119" s="15"/>
    </row>
    <row r="120" spans="2:17" x14ac:dyDescent="0.25">
      <c r="B120" s="15"/>
      <c r="C120" s="15"/>
      <c r="D120" s="15"/>
      <c r="E120" s="15"/>
      <c r="F120" s="15"/>
      <c r="G120" s="15"/>
      <c r="H120" s="15"/>
      <c r="I120" s="15"/>
      <c r="J120" s="15"/>
      <c r="K120" s="15"/>
      <c r="L120" s="15"/>
      <c r="M120" s="15"/>
      <c r="N120" s="15"/>
      <c r="O120" s="15"/>
      <c r="P120" s="15"/>
      <c r="Q120" s="15"/>
    </row>
    <row r="121" spans="2:17" x14ac:dyDescent="0.25">
      <c r="B121" s="15"/>
      <c r="C121" s="15"/>
      <c r="D121" s="15"/>
      <c r="E121" s="15"/>
      <c r="F121" s="15"/>
      <c r="G121" s="15"/>
      <c r="H121" s="15"/>
      <c r="I121" s="15"/>
      <c r="J121" s="15"/>
      <c r="K121" s="15"/>
      <c r="L121" s="15"/>
      <c r="M121" s="15"/>
      <c r="N121" s="15"/>
      <c r="O121" s="15"/>
      <c r="P121" s="15"/>
      <c r="Q121" s="15"/>
    </row>
    <row r="122" spans="2:17" x14ac:dyDescent="0.25">
      <c r="B122" s="15"/>
      <c r="C122" s="15"/>
      <c r="D122" s="15"/>
      <c r="E122" s="15"/>
      <c r="F122" s="15"/>
      <c r="G122" s="15"/>
      <c r="H122" s="15"/>
      <c r="I122" s="15"/>
      <c r="J122" s="15"/>
      <c r="K122" s="15"/>
      <c r="L122" s="15"/>
      <c r="M122" s="15"/>
      <c r="N122" s="15"/>
      <c r="O122" s="15"/>
      <c r="P122" s="15"/>
      <c r="Q122" s="15"/>
    </row>
    <row r="123" spans="2:17" x14ac:dyDescent="0.25">
      <c r="B123" s="15"/>
      <c r="C123" s="15"/>
      <c r="D123" s="15"/>
      <c r="E123" s="15"/>
      <c r="F123" s="15"/>
      <c r="G123" s="15"/>
      <c r="H123" s="15"/>
      <c r="I123" s="15"/>
      <c r="J123" s="15"/>
      <c r="K123" s="15"/>
      <c r="L123" s="15"/>
      <c r="M123" s="15"/>
      <c r="N123" s="15"/>
      <c r="O123" s="15"/>
      <c r="P123" s="15"/>
      <c r="Q123" s="15"/>
    </row>
    <row r="124" spans="2:17" x14ac:dyDescent="0.25">
      <c r="B124" s="15"/>
      <c r="C124" s="15"/>
      <c r="D124" s="15"/>
      <c r="E124" s="15"/>
      <c r="F124" s="15"/>
      <c r="G124" s="15"/>
      <c r="H124" s="15"/>
      <c r="I124" s="15"/>
      <c r="J124" s="15"/>
      <c r="K124" s="15"/>
      <c r="L124" s="15"/>
      <c r="M124" s="15"/>
      <c r="N124" s="15"/>
      <c r="O124" s="15"/>
      <c r="P124" s="15"/>
      <c r="Q124" s="15"/>
    </row>
    <row r="125" spans="2:17" x14ac:dyDescent="0.25">
      <c r="B125" s="15"/>
      <c r="C125" s="15"/>
      <c r="D125" s="15"/>
      <c r="E125" s="15"/>
      <c r="F125" s="15"/>
      <c r="G125" s="15"/>
      <c r="H125" s="15"/>
      <c r="I125" s="15"/>
      <c r="J125" s="15"/>
      <c r="K125" s="15"/>
      <c r="L125" s="15"/>
      <c r="M125" s="15"/>
      <c r="N125" s="15"/>
      <c r="O125" s="15"/>
      <c r="P125" s="15"/>
      <c r="Q125" s="15"/>
    </row>
    <row r="126" spans="2:17" x14ac:dyDescent="0.25">
      <c r="B126" s="15"/>
      <c r="C126" s="15"/>
      <c r="D126" s="15"/>
      <c r="E126" s="15"/>
      <c r="F126" s="15"/>
      <c r="G126" s="15"/>
      <c r="H126" s="15"/>
      <c r="I126" s="15"/>
      <c r="J126" s="15"/>
      <c r="K126" s="15"/>
      <c r="L126" s="15"/>
      <c r="M126" s="15"/>
      <c r="N126" s="15"/>
      <c r="O126" s="15"/>
      <c r="P126" s="15"/>
      <c r="Q126" s="15"/>
    </row>
    <row r="127" spans="2:17" x14ac:dyDescent="0.25">
      <c r="B127" s="15"/>
      <c r="C127" s="15"/>
      <c r="D127" s="15"/>
      <c r="E127" s="15"/>
      <c r="F127" s="15"/>
      <c r="G127" s="15"/>
      <c r="H127" s="15"/>
      <c r="I127" s="15"/>
      <c r="J127" s="15"/>
      <c r="K127" s="15"/>
      <c r="L127" s="15"/>
      <c r="M127" s="15"/>
      <c r="N127" s="15"/>
      <c r="O127" s="15"/>
      <c r="P127" s="15"/>
      <c r="Q127" s="15"/>
    </row>
    <row r="128" spans="2:17" x14ac:dyDescent="0.25">
      <c r="B128" s="15"/>
      <c r="C128" s="15"/>
      <c r="D128" s="15"/>
      <c r="E128" s="15"/>
      <c r="F128" s="15"/>
      <c r="G128" s="15"/>
      <c r="H128" s="15"/>
      <c r="I128" s="15"/>
      <c r="J128" s="15"/>
      <c r="K128" s="15"/>
      <c r="L128" s="15"/>
      <c r="M128" s="15"/>
      <c r="N128" s="15"/>
      <c r="O128" s="15"/>
      <c r="P128" s="15"/>
      <c r="Q128" s="15"/>
    </row>
    <row r="129" spans="2:17" x14ac:dyDescent="0.25">
      <c r="B129" s="15"/>
      <c r="C129" s="15"/>
      <c r="D129" s="15"/>
      <c r="E129" s="15"/>
      <c r="F129" s="15"/>
      <c r="G129" s="15"/>
      <c r="H129" s="15"/>
      <c r="I129" s="15"/>
      <c r="J129" s="15"/>
      <c r="K129" s="15"/>
      <c r="L129" s="15"/>
      <c r="M129" s="15"/>
      <c r="N129" s="15"/>
      <c r="O129" s="15"/>
      <c r="P129" s="15"/>
      <c r="Q129" s="15"/>
    </row>
    <row r="130" spans="2:17" x14ac:dyDescent="0.25">
      <c r="B130" s="15"/>
      <c r="C130" s="15"/>
      <c r="D130" s="15"/>
      <c r="E130" s="15"/>
      <c r="F130" s="15"/>
      <c r="G130" s="15"/>
      <c r="H130" s="15"/>
      <c r="I130" s="15"/>
      <c r="J130" s="15"/>
      <c r="K130" s="15"/>
      <c r="L130" s="15"/>
      <c r="M130" s="15"/>
      <c r="N130" s="15"/>
      <c r="O130" s="15"/>
      <c r="P130" s="15"/>
      <c r="Q130" s="15"/>
    </row>
    <row r="131" spans="2:17" x14ac:dyDescent="0.25">
      <c r="B131" s="15"/>
      <c r="C131" s="15"/>
      <c r="D131" s="15"/>
      <c r="E131" s="15"/>
      <c r="F131" s="15"/>
      <c r="G131" s="15"/>
      <c r="H131" s="15"/>
      <c r="I131" s="15"/>
      <c r="J131" s="15"/>
      <c r="K131" s="15"/>
      <c r="L131" s="15"/>
      <c r="M131" s="15"/>
      <c r="N131" s="15"/>
      <c r="O131" s="15"/>
      <c r="P131" s="15"/>
      <c r="Q131" s="15"/>
    </row>
    <row r="132" spans="2:17" x14ac:dyDescent="0.25">
      <c r="B132" s="15"/>
      <c r="C132" s="15"/>
      <c r="D132" s="15"/>
      <c r="E132" s="15"/>
      <c r="F132" s="15"/>
      <c r="G132" s="15"/>
      <c r="H132" s="15"/>
      <c r="I132" s="15"/>
      <c r="J132" s="15"/>
      <c r="K132" s="15"/>
      <c r="L132" s="15"/>
      <c r="M132" s="15"/>
      <c r="N132" s="15"/>
      <c r="O132" s="15"/>
      <c r="P132" s="15"/>
      <c r="Q132" s="15"/>
    </row>
    <row r="133" spans="2:17" x14ac:dyDescent="0.25">
      <c r="B133" s="15"/>
      <c r="C133" s="15"/>
      <c r="D133" s="15"/>
      <c r="E133" s="15"/>
      <c r="F133" s="15"/>
      <c r="G133" s="15"/>
      <c r="H133" s="15"/>
      <c r="I133" s="15"/>
      <c r="J133" s="15"/>
      <c r="K133" s="15"/>
      <c r="L133" s="15"/>
      <c r="M133" s="15"/>
      <c r="N133" s="15"/>
      <c r="O133" s="15"/>
      <c r="P133" s="15"/>
      <c r="Q133" s="15"/>
    </row>
    <row r="134" spans="2:17" x14ac:dyDescent="0.25">
      <c r="B134" s="15"/>
      <c r="C134" s="15"/>
      <c r="D134" s="15"/>
      <c r="E134" s="15"/>
      <c r="F134" s="15"/>
      <c r="G134" s="15"/>
      <c r="H134" s="15"/>
      <c r="I134" s="15"/>
      <c r="J134" s="15"/>
      <c r="K134" s="15"/>
      <c r="L134" s="15"/>
      <c r="M134" s="15"/>
      <c r="N134" s="15"/>
      <c r="O134" s="15"/>
      <c r="P134" s="15"/>
      <c r="Q134" s="15"/>
    </row>
    <row r="135" spans="2:17" x14ac:dyDescent="0.25">
      <c r="B135" s="15"/>
      <c r="C135" s="15"/>
      <c r="D135" s="15"/>
      <c r="E135" s="15"/>
      <c r="F135" s="15"/>
      <c r="G135" s="15"/>
      <c r="H135" s="15"/>
      <c r="I135" s="15"/>
      <c r="J135" s="15"/>
      <c r="K135" s="15"/>
      <c r="L135" s="15"/>
      <c r="M135" s="15"/>
      <c r="N135" s="15"/>
      <c r="O135" s="15"/>
      <c r="P135" s="15"/>
      <c r="Q135" s="15"/>
    </row>
    <row r="136" spans="2:17" x14ac:dyDescent="0.25">
      <c r="B136" s="15"/>
      <c r="C136" s="15"/>
      <c r="D136" s="15"/>
      <c r="E136" s="15"/>
      <c r="F136" s="15"/>
      <c r="G136" s="15"/>
      <c r="H136" s="15"/>
      <c r="I136" s="15"/>
      <c r="J136" s="15"/>
      <c r="K136" s="15"/>
      <c r="L136" s="15"/>
      <c r="M136" s="15"/>
      <c r="N136" s="15"/>
      <c r="O136" s="15"/>
      <c r="P136" s="15"/>
      <c r="Q136" s="15"/>
    </row>
    <row r="137" spans="2:17" x14ac:dyDescent="0.25">
      <c r="B137" s="15"/>
      <c r="C137" s="15"/>
      <c r="D137" s="15"/>
      <c r="E137" s="15"/>
      <c r="F137" s="15"/>
      <c r="G137" s="15"/>
      <c r="H137" s="15"/>
      <c r="I137" s="15"/>
      <c r="J137" s="15"/>
      <c r="K137" s="15"/>
      <c r="L137" s="15"/>
      <c r="M137" s="15"/>
      <c r="N137" s="15"/>
      <c r="O137" s="15"/>
      <c r="P137" s="15"/>
      <c r="Q137" s="15"/>
    </row>
    <row r="138" spans="2:17" x14ac:dyDescent="0.25">
      <c r="B138" s="15"/>
      <c r="C138" s="15"/>
      <c r="D138" s="15"/>
      <c r="E138" s="15"/>
      <c r="F138" s="15"/>
      <c r="G138" s="15"/>
      <c r="H138" s="15"/>
      <c r="I138" s="15"/>
      <c r="J138" s="15"/>
      <c r="K138" s="15"/>
      <c r="L138" s="15"/>
      <c r="M138" s="15"/>
      <c r="N138" s="15"/>
      <c r="O138" s="15"/>
      <c r="P138" s="15"/>
      <c r="Q138" s="15"/>
    </row>
    <row r="139" spans="2:17" x14ac:dyDescent="0.25">
      <c r="B139" s="15"/>
      <c r="C139" s="15"/>
      <c r="D139" s="15"/>
      <c r="E139" s="15"/>
      <c r="F139" s="15"/>
      <c r="G139" s="15"/>
      <c r="H139" s="15"/>
      <c r="I139" s="15"/>
      <c r="J139" s="15"/>
      <c r="K139" s="15"/>
      <c r="L139" s="15"/>
      <c r="M139" s="15"/>
      <c r="N139" s="15"/>
      <c r="O139" s="15"/>
      <c r="P139" s="15"/>
      <c r="Q139" s="15"/>
    </row>
    <row r="140" spans="2:17" x14ac:dyDescent="0.25">
      <c r="B140" s="15"/>
      <c r="C140" s="15"/>
      <c r="D140" s="15"/>
      <c r="E140" s="15"/>
      <c r="F140" s="15"/>
      <c r="G140" s="15"/>
      <c r="H140" s="15"/>
      <c r="I140" s="15"/>
      <c r="J140" s="15"/>
      <c r="K140" s="15"/>
      <c r="L140" s="15"/>
      <c r="M140" s="15"/>
      <c r="N140" s="15"/>
      <c r="O140" s="15"/>
      <c r="P140" s="15"/>
      <c r="Q140" s="15"/>
    </row>
    <row r="141" spans="2:17" x14ac:dyDescent="0.25">
      <c r="B141" s="15"/>
      <c r="C141" s="15"/>
      <c r="D141" s="15"/>
      <c r="E141" s="15"/>
      <c r="F141" s="15"/>
      <c r="G141" s="15"/>
      <c r="H141" s="15"/>
      <c r="I141" s="15"/>
      <c r="J141" s="15"/>
      <c r="K141" s="15"/>
      <c r="L141" s="15"/>
      <c r="M141" s="15"/>
      <c r="N141" s="15"/>
      <c r="O141" s="15"/>
      <c r="P141" s="15"/>
      <c r="Q141" s="15"/>
    </row>
    <row r="142" spans="2:17" x14ac:dyDescent="0.25">
      <c r="B142" s="15"/>
      <c r="C142" s="15"/>
      <c r="D142" s="15"/>
      <c r="E142" s="15"/>
      <c r="F142" s="15"/>
      <c r="G142" s="15"/>
      <c r="H142" s="15"/>
      <c r="I142" s="15"/>
      <c r="J142" s="15"/>
      <c r="K142" s="15"/>
      <c r="L142" s="15"/>
      <c r="M142" s="15"/>
      <c r="N142" s="15"/>
      <c r="O142" s="15"/>
      <c r="P142" s="15"/>
      <c r="Q142" s="15"/>
    </row>
    <row r="143" spans="2:17" x14ac:dyDescent="0.25">
      <c r="B143" s="15"/>
      <c r="C143" s="15"/>
      <c r="D143" s="15"/>
      <c r="E143" s="15"/>
      <c r="F143" s="15"/>
      <c r="G143" s="15"/>
      <c r="H143" s="15"/>
      <c r="I143" s="15"/>
      <c r="J143" s="15"/>
      <c r="K143" s="15"/>
      <c r="L143" s="15"/>
      <c r="M143" s="15"/>
      <c r="N143" s="15"/>
      <c r="O143" s="15"/>
      <c r="P143" s="15"/>
      <c r="Q143" s="15"/>
    </row>
    <row r="144" spans="2:17" x14ac:dyDescent="0.25">
      <c r="B144" s="15"/>
      <c r="C144" s="15"/>
      <c r="D144" s="15"/>
      <c r="E144" s="15"/>
      <c r="F144" s="15"/>
      <c r="G144" s="15"/>
      <c r="H144" s="15"/>
      <c r="I144" s="15"/>
      <c r="J144" s="15"/>
      <c r="K144" s="15"/>
      <c r="L144" s="15"/>
      <c r="M144" s="15"/>
      <c r="N144" s="15"/>
      <c r="O144" s="15"/>
      <c r="P144" s="15"/>
      <c r="Q144" s="15"/>
    </row>
    <row r="145" spans="2:17" x14ac:dyDescent="0.25">
      <c r="B145" s="15"/>
      <c r="C145" s="15"/>
      <c r="D145" s="15"/>
      <c r="E145" s="15"/>
      <c r="F145" s="15"/>
      <c r="G145" s="15"/>
      <c r="H145" s="15"/>
      <c r="I145" s="15"/>
      <c r="J145" s="15"/>
      <c r="K145" s="15"/>
      <c r="L145" s="15"/>
      <c r="M145" s="15"/>
      <c r="N145" s="15"/>
      <c r="O145" s="15"/>
      <c r="P145" s="15"/>
      <c r="Q145" s="15"/>
    </row>
    <row r="146" spans="2:17" x14ac:dyDescent="0.25">
      <c r="B146" s="15"/>
      <c r="C146" s="15"/>
      <c r="D146" s="15"/>
      <c r="E146" s="15"/>
      <c r="F146" s="15"/>
      <c r="G146" s="15"/>
      <c r="H146" s="15"/>
      <c r="I146" s="15"/>
      <c r="J146" s="15"/>
      <c r="K146" s="15"/>
      <c r="L146" s="15"/>
      <c r="M146" s="15"/>
      <c r="N146" s="15"/>
      <c r="O146" s="15"/>
      <c r="P146" s="15"/>
      <c r="Q146" s="15"/>
    </row>
    <row r="147" spans="2:17" x14ac:dyDescent="0.25">
      <c r="B147" s="15"/>
      <c r="C147" s="15"/>
      <c r="D147" s="15"/>
      <c r="E147" s="15"/>
      <c r="F147" s="15"/>
      <c r="G147" s="15"/>
      <c r="H147" s="15"/>
      <c r="I147" s="15"/>
      <c r="J147" s="15"/>
      <c r="K147" s="15"/>
      <c r="L147" s="15"/>
      <c r="M147" s="15"/>
      <c r="N147" s="15"/>
      <c r="O147" s="15"/>
      <c r="P147" s="15"/>
      <c r="Q147" s="15"/>
    </row>
    <row r="148" spans="2:17" x14ac:dyDescent="0.25">
      <c r="B148" s="15"/>
      <c r="C148" s="15"/>
      <c r="D148" s="15"/>
      <c r="E148" s="15"/>
      <c r="F148" s="15"/>
      <c r="G148" s="15"/>
      <c r="H148" s="15"/>
      <c r="I148" s="15"/>
      <c r="J148" s="15"/>
      <c r="K148" s="15"/>
      <c r="L148" s="15"/>
      <c r="M148" s="15"/>
      <c r="N148" s="15"/>
      <c r="O148" s="15"/>
      <c r="P148" s="15"/>
      <c r="Q148" s="15"/>
    </row>
    <row r="149" spans="2:17" x14ac:dyDescent="0.25">
      <c r="B149" s="15"/>
      <c r="C149" s="15"/>
      <c r="D149" s="15"/>
      <c r="E149" s="15"/>
      <c r="F149" s="15"/>
      <c r="G149" s="15"/>
      <c r="H149" s="15"/>
      <c r="I149" s="15"/>
      <c r="J149" s="15"/>
      <c r="K149" s="15"/>
      <c r="L149" s="15"/>
      <c r="M149" s="15"/>
      <c r="N149" s="15"/>
      <c r="O149" s="15"/>
      <c r="P149" s="15"/>
      <c r="Q149" s="15"/>
    </row>
    <row r="150" spans="2:17" x14ac:dyDescent="0.25">
      <c r="B150" s="15"/>
      <c r="C150" s="15"/>
      <c r="D150" s="15"/>
      <c r="E150" s="15"/>
      <c r="F150" s="15"/>
      <c r="G150" s="15"/>
      <c r="H150" s="15"/>
      <c r="I150" s="15"/>
      <c r="J150" s="15"/>
      <c r="K150" s="15"/>
      <c r="L150" s="15"/>
      <c r="M150" s="15"/>
      <c r="N150" s="15"/>
      <c r="O150" s="15"/>
      <c r="P150" s="15"/>
      <c r="Q150" s="15"/>
    </row>
    <row r="151" spans="2:17" x14ac:dyDescent="0.25">
      <c r="B151" s="15"/>
      <c r="C151" s="15"/>
      <c r="D151" s="15"/>
      <c r="E151" s="15"/>
      <c r="F151" s="15"/>
      <c r="G151" s="15"/>
      <c r="H151" s="15"/>
      <c r="I151" s="15"/>
      <c r="J151" s="15"/>
      <c r="K151" s="15"/>
      <c r="L151" s="15"/>
      <c r="M151" s="15"/>
      <c r="N151" s="15"/>
      <c r="O151" s="15"/>
      <c r="P151" s="15"/>
      <c r="Q151" s="15"/>
    </row>
    <row r="152" spans="2:17" x14ac:dyDescent="0.25">
      <c r="B152" s="15"/>
      <c r="C152" s="15"/>
      <c r="D152" s="15"/>
      <c r="E152" s="15"/>
      <c r="F152" s="15"/>
      <c r="G152" s="15"/>
      <c r="H152" s="15"/>
      <c r="I152" s="15"/>
      <c r="J152" s="15"/>
      <c r="K152" s="15"/>
      <c r="L152" s="15"/>
      <c r="M152" s="15"/>
      <c r="N152" s="15"/>
      <c r="O152" s="15"/>
      <c r="P152" s="15"/>
      <c r="Q152" s="15"/>
    </row>
    <row r="153" spans="2:17" x14ac:dyDescent="0.25">
      <c r="B153" s="15"/>
      <c r="C153" s="15"/>
      <c r="D153" s="15"/>
      <c r="E153" s="15"/>
      <c r="F153" s="15"/>
      <c r="G153" s="15"/>
      <c r="H153" s="15"/>
      <c r="I153" s="15"/>
      <c r="J153" s="15"/>
      <c r="K153" s="15"/>
      <c r="L153" s="15"/>
      <c r="M153" s="15"/>
      <c r="N153" s="15"/>
      <c r="O153" s="15"/>
      <c r="P153" s="15"/>
      <c r="Q153" s="15"/>
    </row>
    <row r="154" spans="2:17" x14ac:dyDescent="0.25">
      <c r="B154" s="15"/>
      <c r="C154" s="15"/>
      <c r="D154" s="15"/>
      <c r="E154" s="15"/>
      <c r="F154" s="15"/>
      <c r="G154" s="15"/>
      <c r="H154" s="15"/>
      <c r="I154" s="15"/>
      <c r="J154" s="15"/>
      <c r="K154" s="15"/>
      <c r="L154" s="15"/>
      <c r="M154" s="15"/>
      <c r="N154" s="15"/>
      <c r="O154" s="15"/>
      <c r="P154" s="15"/>
      <c r="Q154" s="15"/>
    </row>
    <row r="155" spans="2:17" x14ac:dyDescent="0.25">
      <c r="B155" s="15"/>
      <c r="C155" s="15"/>
      <c r="D155" s="15"/>
      <c r="E155" s="15"/>
      <c r="F155" s="15"/>
      <c r="G155" s="15"/>
      <c r="H155" s="15"/>
      <c r="I155" s="15"/>
      <c r="J155" s="15"/>
      <c r="K155" s="15"/>
      <c r="L155" s="15"/>
      <c r="M155" s="15"/>
      <c r="N155" s="15"/>
      <c r="O155" s="15"/>
      <c r="P155" s="15"/>
      <c r="Q155" s="15"/>
    </row>
    <row r="156" spans="2:17" x14ac:dyDescent="0.25">
      <c r="B156" s="15"/>
      <c r="C156" s="15"/>
      <c r="D156" s="15"/>
      <c r="E156" s="15"/>
      <c r="F156" s="15"/>
      <c r="G156" s="15"/>
      <c r="H156" s="15"/>
      <c r="I156" s="15"/>
      <c r="J156" s="15"/>
      <c r="K156" s="15"/>
      <c r="L156" s="15"/>
      <c r="M156" s="15"/>
      <c r="N156" s="15"/>
      <c r="O156" s="15"/>
      <c r="P156" s="15"/>
      <c r="Q156" s="15"/>
    </row>
    <row r="157" spans="2:17" x14ac:dyDescent="0.25">
      <c r="B157" s="15"/>
      <c r="C157" s="15"/>
      <c r="D157" s="15"/>
      <c r="E157" s="15"/>
      <c r="F157" s="15"/>
      <c r="G157" s="15"/>
      <c r="H157" s="15"/>
      <c r="I157" s="15"/>
      <c r="J157" s="15"/>
      <c r="K157" s="15"/>
      <c r="L157" s="15"/>
      <c r="M157" s="15"/>
      <c r="N157" s="15"/>
      <c r="O157" s="15"/>
      <c r="P157" s="15"/>
      <c r="Q157" s="15"/>
    </row>
    <row r="158" spans="2:17" x14ac:dyDescent="0.25">
      <c r="B158" s="15"/>
      <c r="C158" s="15"/>
      <c r="D158" s="15"/>
      <c r="E158" s="15"/>
      <c r="F158" s="15"/>
      <c r="G158" s="15"/>
      <c r="H158" s="15"/>
      <c r="I158" s="15"/>
      <c r="J158" s="15"/>
      <c r="K158" s="15"/>
      <c r="L158" s="15"/>
      <c r="M158" s="15"/>
      <c r="N158" s="15"/>
      <c r="O158" s="15"/>
      <c r="P158" s="15"/>
      <c r="Q158" s="15"/>
    </row>
    <row r="159" spans="2:17" x14ac:dyDescent="0.25">
      <c r="B159" s="15"/>
      <c r="C159" s="15"/>
      <c r="D159" s="15"/>
      <c r="E159" s="15"/>
      <c r="F159" s="15"/>
      <c r="G159" s="15"/>
      <c r="H159" s="15"/>
      <c r="I159" s="15"/>
      <c r="J159" s="15"/>
      <c r="K159" s="15"/>
      <c r="L159" s="15"/>
      <c r="M159" s="15"/>
      <c r="N159" s="15"/>
      <c r="O159" s="15"/>
      <c r="P159" s="15"/>
      <c r="Q159" s="15"/>
    </row>
    <row r="160" spans="2:17" x14ac:dyDescent="0.25">
      <c r="B160" s="15"/>
      <c r="C160" s="15"/>
      <c r="D160" s="15"/>
      <c r="E160" s="15"/>
      <c r="F160" s="15"/>
      <c r="G160" s="15"/>
      <c r="H160" s="15"/>
      <c r="I160" s="15"/>
      <c r="J160" s="15"/>
      <c r="K160" s="15"/>
      <c r="L160" s="15"/>
      <c r="M160" s="15"/>
      <c r="N160" s="15"/>
      <c r="O160" s="15"/>
      <c r="P160" s="15"/>
      <c r="Q160" s="15"/>
    </row>
    <row r="161" spans="2:17" x14ac:dyDescent="0.25">
      <c r="B161" s="15"/>
      <c r="C161" s="15"/>
      <c r="D161" s="15"/>
      <c r="E161" s="15"/>
      <c r="F161" s="15"/>
      <c r="G161" s="15"/>
      <c r="H161" s="15"/>
      <c r="I161" s="15"/>
      <c r="J161" s="15"/>
      <c r="K161" s="15"/>
      <c r="L161" s="15"/>
      <c r="M161" s="15"/>
      <c r="N161" s="15"/>
      <c r="O161" s="15"/>
      <c r="P161" s="15"/>
      <c r="Q161" s="15"/>
    </row>
    <row r="162" spans="2:17" x14ac:dyDescent="0.25">
      <c r="B162" s="15"/>
      <c r="C162" s="15"/>
      <c r="D162" s="15"/>
      <c r="E162" s="15"/>
      <c r="F162" s="15"/>
      <c r="G162" s="15"/>
      <c r="H162" s="15"/>
      <c r="I162" s="15"/>
      <c r="J162" s="15"/>
      <c r="K162" s="15"/>
      <c r="L162" s="15"/>
      <c r="M162" s="15"/>
      <c r="N162" s="15"/>
      <c r="O162" s="15"/>
      <c r="P162" s="15"/>
      <c r="Q162" s="15"/>
    </row>
    <row r="163" spans="2:17" x14ac:dyDescent="0.25">
      <c r="B163" s="15"/>
      <c r="C163" s="15"/>
      <c r="D163" s="15"/>
      <c r="E163" s="15"/>
      <c r="F163" s="15"/>
      <c r="G163" s="15"/>
      <c r="H163" s="15"/>
      <c r="I163" s="15"/>
      <c r="J163" s="15"/>
      <c r="K163" s="15"/>
      <c r="L163" s="15"/>
      <c r="M163" s="15"/>
      <c r="N163" s="15"/>
      <c r="O163" s="15"/>
      <c r="P163" s="15"/>
      <c r="Q163" s="15"/>
    </row>
    <row r="164" spans="2:17" x14ac:dyDescent="0.25">
      <c r="B164" s="15"/>
      <c r="C164" s="15"/>
      <c r="D164" s="15"/>
      <c r="E164" s="15"/>
      <c r="F164" s="15"/>
      <c r="G164" s="15"/>
      <c r="H164" s="15"/>
      <c r="I164" s="15"/>
      <c r="J164" s="15"/>
      <c r="K164" s="15"/>
      <c r="L164" s="15"/>
      <c r="M164" s="15"/>
      <c r="N164" s="15"/>
      <c r="O164" s="15"/>
      <c r="P164" s="15"/>
      <c r="Q164" s="15"/>
    </row>
    <row r="165" spans="2:17" x14ac:dyDescent="0.25">
      <c r="B165" s="15"/>
      <c r="C165" s="15"/>
      <c r="D165" s="15"/>
      <c r="E165" s="15"/>
      <c r="F165" s="15"/>
      <c r="G165" s="15"/>
      <c r="H165" s="15"/>
      <c r="I165" s="15"/>
      <c r="J165" s="15"/>
      <c r="K165" s="15"/>
      <c r="L165" s="15"/>
      <c r="M165" s="15"/>
      <c r="N165" s="15"/>
      <c r="O165" s="15"/>
      <c r="P165" s="15"/>
      <c r="Q165" s="15"/>
    </row>
    <row r="166" spans="2:17" x14ac:dyDescent="0.25">
      <c r="B166" s="15"/>
      <c r="C166" s="15"/>
      <c r="D166" s="15"/>
      <c r="E166" s="15"/>
      <c r="F166" s="15"/>
      <c r="G166" s="15"/>
      <c r="H166" s="15"/>
      <c r="I166" s="15"/>
      <c r="J166" s="15"/>
      <c r="K166" s="15"/>
      <c r="L166" s="15"/>
      <c r="M166" s="15"/>
      <c r="N166" s="15"/>
      <c r="O166" s="15"/>
      <c r="P166" s="15"/>
      <c r="Q166" s="15"/>
    </row>
    <row r="167" spans="2:17" x14ac:dyDescent="0.25">
      <c r="B167" s="15"/>
      <c r="C167" s="15"/>
      <c r="D167" s="15"/>
      <c r="E167" s="15"/>
      <c r="F167" s="15"/>
      <c r="G167" s="15"/>
      <c r="H167" s="15"/>
      <c r="I167" s="15"/>
      <c r="J167" s="15"/>
      <c r="K167" s="15"/>
      <c r="L167" s="15"/>
      <c r="M167" s="15"/>
      <c r="N167" s="15"/>
      <c r="O167" s="15"/>
      <c r="P167" s="15"/>
      <c r="Q167" s="15"/>
    </row>
    <row r="168" spans="2:17" x14ac:dyDescent="0.25">
      <c r="B168" s="15"/>
      <c r="C168" s="15"/>
      <c r="D168" s="15"/>
      <c r="E168" s="15"/>
      <c r="F168" s="15"/>
      <c r="G168" s="15"/>
      <c r="H168" s="15"/>
      <c r="I168" s="15"/>
      <c r="J168" s="15"/>
      <c r="K168" s="15"/>
      <c r="L168" s="15"/>
      <c r="M168" s="15"/>
      <c r="N168" s="15"/>
      <c r="O168" s="15"/>
      <c r="P168" s="15"/>
      <c r="Q168" s="15"/>
    </row>
    <row r="169" spans="2:17" x14ac:dyDescent="0.25">
      <c r="B169" s="15"/>
      <c r="C169" s="15"/>
      <c r="D169" s="15"/>
      <c r="E169" s="15"/>
      <c r="F169" s="15"/>
      <c r="G169" s="15"/>
      <c r="H169" s="15"/>
      <c r="I169" s="15"/>
      <c r="J169" s="15"/>
      <c r="K169" s="15"/>
      <c r="L169" s="15"/>
      <c r="M169" s="15"/>
      <c r="N169" s="15"/>
      <c r="O169" s="15"/>
      <c r="P169" s="15"/>
      <c r="Q169" s="15"/>
    </row>
    <row r="170" spans="2:17" x14ac:dyDescent="0.25">
      <c r="B170" s="15"/>
      <c r="C170" s="15"/>
      <c r="D170" s="15"/>
      <c r="E170" s="15"/>
      <c r="F170" s="15"/>
      <c r="G170" s="15"/>
      <c r="H170" s="15"/>
      <c r="I170" s="15"/>
      <c r="J170" s="15"/>
      <c r="K170" s="15"/>
      <c r="L170" s="15"/>
      <c r="M170" s="15"/>
      <c r="N170" s="15"/>
      <c r="O170" s="15"/>
      <c r="P170" s="15"/>
      <c r="Q170" s="15"/>
    </row>
    <row r="171" spans="2:17" x14ac:dyDescent="0.25">
      <c r="B171" s="15"/>
      <c r="C171" s="15"/>
      <c r="D171" s="15"/>
      <c r="E171" s="15"/>
      <c r="F171" s="15"/>
      <c r="G171" s="15"/>
      <c r="H171" s="15"/>
      <c r="I171" s="15"/>
      <c r="J171" s="15"/>
      <c r="K171" s="15"/>
      <c r="L171" s="15"/>
      <c r="M171" s="15"/>
      <c r="N171" s="15"/>
      <c r="O171" s="15"/>
      <c r="P171" s="15"/>
      <c r="Q171" s="15"/>
    </row>
    <row r="172" spans="2:17" x14ac:dyDescent="0.25">
      <c r="B172" s="15"/>
      <c r="C172" s="15"/>
      <c r="D172" s="15"/>
      <c r="E172" s="15"/>
      <c r="F172" s="15"/>
      <c r="G172" s="15"/>
      <c r="H172" s="15"/>
      <c r="I172" s="15"/>
      <c r="J172" s="15"/>
      <c r="K172" s="15"/>
      <c r="L172" s="15"/>
      <c r="M172" s="15"/>
      <c r="N172" s="15"/>
      <c r="O172" s="15"/>
      <c r="P172" s="15"/>
      <c r="Q172" s="15"/>
    </row>
    <row r="173" spans="2:17" x14ac:dyDescent="0.25">
      <c r="B173" s="15"/>
      <c r="C173" s="15"/>
      <c r="D173" s="15"/>
      <c r="E173" s="15"/>
      <c r="F173" s="15"/>
      <c r="G173" s="15"/>
      <c r="H173" s="15"/>
      <c r="I173" s="15"/>
      <c r="J173" s="15"/>
      <c r="K173" s="15"/>
      <c r="L173" s="15"/>
      <c r="M173" s="15"/>
      <c r="N173" s="15"/>
      <c r="O173" s="15"/>
      <c r="P173" s="15"/>
      <c r="Q173" s="15"/>
    </row>
    <row r="174" spans="2:17" x14ac:dyDescent="0.25">
      <c r="B174" s="15"/>
      <c r="C174" s="15"/>
      <c r="D174" s="15"/>
      <c r="E174" s="15"/>
      <c r="F174" s="15"/>
      <c r="G174" s="15"/>
      <c r="H174" s="15"/>
      <c r="I174" s="15"/>
      <c r="J174" s="15"/>
      <c r="K174" s="15"/>
      <c r="L174" s="15"/>
      <c r="M174" s="15"/>
      <c r="N174" s="15"/>
      <c r="O174" s="15"/>
      <c r="P174" s="15"/>
      <c r="Q174" s="15"/>
    </row>
    <row r="175" spans="2:17" x14ac:dyDescent="0.25">
      <c r="B175" s="15"/>
      <c r="C175" s="15"/>
      <c r="D175" s="15"/>
      <c r="E175" s="15"/>
      <c r="F175" s="15"/>
      <c r="G175" s="15"/>
      <c r="H175" s="15"/>
      <c r="I175" s="15"/>
      <c r="J175" s="15"/>
      <c r="K175" s="15"/>
      <c r="L175" s="15"/>
      <c r="M175" s="15"/>
      <c r="N175" s="15"/>
      <c r="O175" s="15"/>
      <c r="P175" s="15"/>
      <c r="Q175" s="15"/>
    </row>
    <row r="176" spans="2:17" x14ac:dyDescent="0.25">
      <c r="B176" s="15"/>
      <c r="C176" s="15"/>
      <c r="D176" s="15"/>
      <c r="E176" s="15"/>
      <c r="F176" s="15"/>
      <c r="G176" s="15"/>
      <c r="H176" s="15"/>
      <c r="I176" s="15"/>
      <c r="J176" s="15"/>
      <c r="K176" s="15"/>
      <c r="L176" s="15"/>
      <c r="M176" s="15"/>
      <c r="N176" s="15"/>
      <c r="O176" s="15"/>
      <c r="P176" s="15"/>
      <c r="Q176" s="15"/>
    </row>
    <row r="177" spans="2:17" x14ac:dyDescent="0.25">
      <c r="B177" s="15"/>
      <c r="C177" s="15"/>
      <c r="D177" s="15"/>
      <c r="E177" s="15"/>
      <c r="F177" s="15"/>
      <c r="G177" s="15"/>
      <c r="H177" s="15"/>
      <c r="I177" s="15"/>
      <c r="J177" s="15"/>
      <c r="K177" s="15"/>
      <c r="L177" s="15"/>
      <c r="M177" s="15"/>
      <c r="N177" s="15"/>
      <c r="O177" s="15"/>
      <c r="P177" s="15"/>
      <c r="Q177" s="15"/>
    </row>
    <row r="178" spans="2:17" x14ac:dyDescent="0.25">
      <c r="B178" s="15"/>
      <c r="C178" s="15"/>
      <c r="D178" s="15"/>
      <c r="E178" s="15"/>
      <c r="F178" s="15"/>
      <c r="G178" s="15"/>
      <c r="H178" s="15"/>
      <c r="I178" s="15"/>
      <c r="J178" s="15"/>
      <c r="K178" s="15"/>
      <c r="L178" s="15"/>
      <c r="M178" s="15"/>
      <c r="N178" s="15"/>
      <c r="O178" s="15"/>
      <c r="P178" s="15"/>
      <c r="Q178" s="15"/>
    </row>
    <row r="179" spans="2:17" x14ac:dyDescent="0.25">
      <c r="B179" s="15"/>
      <c r="C179" s="15"/>
      <c r="D179" s="15"/>
      <c r="E179" s="15"/>
      <c r="F179" s="15"/>
      <c r="G179" s="15"/>
      <c r="H179" s="15"/>
      <c r="I179" s="15"/>
      <c r="J179" s="15"/>
      <c r="K179" s="15"/>
      <c r="L179" s="15"/>
      <c r="M179" s="15"/>
      <c r="N179" s="15"/>
      <c r="O179" s="15"/>
      <c r="P179" s="15"/>
      <c r="Q179" s="15"/>
    </row>
    <row r="180" spans="2:17" x14ac:dyDescent="0.25">
      <c r="B180" s="15"/>
      <c r="C180" s="15"/>
      <c r="D180" s="15"/>
      <c r="E180" s="15"/>
      <c r="F180" s="15"/>
      <c r="G180" s="15"/>
      <c r="H180" s="15"/>
      <c r="I180" s="15"/>
      <c r="J180" s="15"/>
      <c r="K180" s="15"/>
      <c r="L180" s="15"/>
      <c r="M180" s="15"/>
      <c r="N180" s="15"/>
      <c r="O180" s="15"/>
      <c r="P180" s="15"/>
      <c r="Q180" s="15"/>
    </row>
    <row r="181" spans="2:17" x14ac:dyDescent="0.25">
      <c r="B181" s="15"/>
      <c r="C181" s="15"/>
      <c r="D181" s="15"/>
      <c r="E181" s="15"/>
      <c r="F181" s="15"/>
      <c r="G181" s="15"/>
      <c r="H181" s="15"/>
      <c r="I181" s="15"/>
      <c r="J181" s="15"/>
      <c r="K181" s="15"/>
      <c r="L181" s="15"/>
      <c r="M181" s="15"/>
      <c r="N181" s="15"/>
      <c r="O181" s="15"/>
      <c r="P181" s="15"/>
      <c r="Q181" s="15"/>
    </row>
    <row r="182" spans="2:17" x14ac:dyDescent="0.25">
      <c r="B182" s="15"/>
      <c r="C182" s="15"/>
      <c r="D182" s="15"/>
      <c r="E182" s="15"/>
      <c r="F182" s="15"/>
      <c r="G182" s="15"/>
      <c r="H182" s="15"/>
      <c r="I182" s="15"/>
      <c r="J182" s="15"/>
      <c r="K182" s="15"/>
      <c r="L182" s="15"/>
      <c r="M182" s="15"/>
      <c r="N182" s="15"/>
      <c r="O182" s="15"/>
      <c r="P182" s="15"/>
      <c r="Q182" s="15"/>
    </row>
    <row r="183" spans="2:17" x14ac:dyDescent="0.25">
      <c r="B183" s="15"/>
      <c r="C183" s="15"/>
      <c r="D183" s="15"/>
      <c r="E183" s="15"/>
      <c r="F183" s="15"/>
      <c r="G183" s="15"/>
      <c r="H183" s="15"/>
      <c r="I183" s="15"/>
      <c r="J183" s="15"/>
      <c r="K183" s="15"/>
      <c r="L183" s="15"/>
      <c r="M183" s="15"/>
      <c r="N183" s="15"/>
      <c r="O183" s="15"/>
      <c r="P183" s="15"/>
      <c r="Q183" s="15"/>
    </row>
    <row r="184" spans="2:17" x14ac:dyDescent="0.25">
      <c r="B184" s="15"/>
      <c r="C184" s="15"/>
      <c r="D184" s="15"/>
      <c r="E184" s="15"/>
      <c r="F184" s="15"/>
      <c r="G184" s="15"/>
      <c r="H184" s="15"/>
      <c r="I184" s="15"/>
      <c r="J184" s="15"/>
      <c r="K184" s="15"/>
      <c r="L184" s="15"/>
      <c r="M184" s="15"/>
      <c r="N184" s="15"/>
      <c r="O184" s="15"/>
      <c r="P184" s="15"/>
      <c r="Q184" s="15"/>
    </row>
    <row r="185" spans="2:17" x14ac:dyDescent="0.25">
      <c r="B185" s="15"/>
      <c r="C185" s="15"/>
      <c r="D185" s="15"/>
      <c r="E185" s="15"/>
      <c r="F185" s="15"/>
      <c r="G185" s="15"/>
      <c r="H185" s="15"/>
      <c r="I185" s="15"/>
      <c r="J185" s="15"/>
      <c r="K185" s="15"/>
      <c r="L185" s="15"/>
      <c r="M185" s="15"/>
      <c r="N185" s="15"/>
      <c r="O185" s="15"/>
      <c r="P185" s="15"/>
      <c r="Q185" s="15"/>
    </row>
    <row r="186" spans="2:17" x14ac:dyDescent="0.25">
      <c r="B186" s="15"/>
      <c r="C186" s="15"/>
      <c r="D186" s="15"/>
      <c r="E186" s="15"/>
      <c r="F186" s="15"/>
      <c r="G186" s="15"/>
      <c r="H186" s="15"/>
      <c r="I186" s="15"/>
      <c r="J186" s="15"/>
      <c r="K186" s="15"/>
      <c r="L186" s="15"/>
      <c r="M186" s="15"/>
      <c r="N186" s="15"/>
      <c r="O186" s="15"/>
      <c r="P186" s="15"/>
      <c r="Q186" s="15"/>
    </row>
    <row r="187" spans="2:17" x14ac:dyDescent="0.25">
      <c r="B187" s="15"/>
      <c r="C187" s="15"/>
      <c r="D187" s="15"/>
      <c r="E187" s="15"/>
      <c r="F187" s="15"/>
      <c r="G187" s="15"/>
      <c r="H187" s="15"/>
      <c r="I187" s="15"/>
      <c r="J187" s="15"/>
      <c r="K187" s="15"/>
      <c r="L187" s="15"/>
      <c r="M187" s="15"/>
      <c r="N187" s="15"/>
      <c r="O187" s="15"/>
      <c r="P187" s="15"/>
      <c r="Q187" s="15"/>
    </row>
    <row r="188" spans="2:17" x14ac:dyDescent="0.25">
      <c r="B188" s="15"/>
      <c r="C188" s="15"/>
      <c r="D188" s="15"/>
      <c r="E188" s="15"/>
      <c r="F188" s="15"/>
      <c r="G188" s="15"/>
      <c r="H188" s="15"/>
      <c r="I188" s="15"/>
      <c r="J188" s="15"/>
      <c r="K188" s="15"/>
      <c r="L188" s="15"/>
      <c r="M188" s="15"/>
      <c r="N188" s="15"/>
      <c r="O188" s="15"/>
      <c r="P188" s="15"/>
      <c r="Q188" s="15"/>
    </row>
    <row r="189" spans="2:17" x14ac:dyDescent="0.25">
      <c r="B189" s="15"/>
      <c r="C189" s="15"/>
      <c r="D189" s="15"/>
      <c r="E189" s="15"/>
      <c r="F189" s="15"/>
      <c r="G189" s="15"/>
      <c r="H189" s="15"/>
      <c r="I189" s="15"/>
      <c r="J189" s="15"/>
      <c r="K189" s="15"/>
      <c r="L189" s="15"/>
      <c r="M189" s="15"/>
      <c r="N189" s="15"/>
      <c r="O189" s="15"/>
      <c r="P189" s="15"/>
      <c r="Q189" s="15"/>
    </row>
    <row r="190" spans="2:17" x14ac:dyDescent="0.25">
      <c r="B190" s="15"/>
      <c r="C190" s="15"/>
      <c r="D190" s="15"/>
      <c r="E190" s="15"/>
      <c r="F190" s="15"/>
      <c r="G190" s="15"/>
      <c r="H190" s="15"/>
      <c r="I190" s="15"/>
      <c r="J190" s="15"/>
      <c r="K190" s="15"/>
      <c r="L190" s="15"/>
      <c r="M190" s="15"/>
      <c r="N190" s="15"/>
      <c r="O190" s="15"/>
      <c r="P190" s="15"/>
      <c r="Q190" s="15"/>
    </row>
    <row r="191" spans="2:17" x14ac:dyDescent="0.25">
      <c r="B191" s="15"/>
      <c r="C191" s="15"/>
      <c r="D191" s="15"/>
      <c r="E191" s="15"/>
      <c r="F191" s="15"/>
      <c r="G191" s="15"/>
      <c r="H191" s="15"/>
      <c r="I191" s="15"/>
      <c r="J191" s="15"/>
      <c r="K191" s="15"/>
      <c r="L191" s="15"/>
      <c r="M191" s="15"/>
      <c r="N191" s="15"/>
      <c r="O191" s="15"/>
      <c r="P191" s="15"/>
      <c r="Q191" s="15"/>
    </row>
    <row r="192" spans="2:17" x14ac:dyDescent="0.25">
      <c r="B192" s="15"/>
      <c r="C192" s="15"/>
      <c r="D192" s="15"/>
      <c r="E192" s="15"/>
      <c r="F192" s="15"/>
      <c r="G192" s="15"/>
      <c r="H192" s="15"/>
      <c r="I192" s="15"/>
      <c r="J192" s="15"/>
      <c r="K192" s="15"/>
      <c r="L192" s="15"/>
      <c r="M192" s="15"/>
      <c r="N192" s="15"/>
      <c r="O192" s="15"/>
      <c r="P192" s="15"/>
      <c r="Q192" s="15"/>
    </row>
    <row r="193" spans="2:17" x14ac:dyDescent="0.25">
      <c r="B193" s="15"/>
      <c r="C193" s="15"/>
      <c r="D193" s="15"/>
      <c r="E193" s="15"/>
      <c r="F193" s="15"/>
      <c r="G193" s="15"/>
      <c r="H193" s="15"/>
      <c r="I193" s="15"/>
      <c r="J193" s="15"/>
      <c r="K193" s="15"/>
      <c r="L193" s="15"/>
      <c r="M193" s="15"/>
      <c r="N193" s="15"/>
      <c r="O193" s="15"/>
      <c r="P193" s="15"/>
      <c r="Q193" s="15"/>
    </row>
    <row r="194" spans="2:17" x14ac:dyDescent="0.25">
      <c r="B194" s="15"/>
      <c r="C194" s="15"/>
      <c r="D194" s="15"/>
      <c r="E194" s="15"/>
      <c r="F194" s="15"/>
      <c r="G194" s="15"/>
      <c r="H194" s="15"/>
      <c r="I194" s="15"/>
      <c r="J194" s="15"/>
      <c r="K194" s="15"/>
      <c r="L194" s="15"/>
      <c r="M194" s="15"/>
      <c r="N194" s="15"/>
      <c r="O194" s="15"/>
      <c r="P194" s="15"/>
      <c r="Q194" s="15"/>
    </row>
    <row r="195" spans="2:17" x14ac:dyDescent="0.25">
      <c r="B195" s="15"/>
      <c r="C195" s="15"/>
      <c r="D195" s="15"/>
      <c r="E195" s="15"/>
      <c r="F195" s="15"/>
      <c r="G195" s="15"/>
      <c r="H195" s="15"/>
      <c r="I195" s="15"/>
      <c r="J195" s="15"/>
      <c r="K195" s="15"/>
      <c r="L195" s="15"/>
      <c r="M195" s="15"/>
      <c r="N195" s="15"/>
      <c r="O195" s="15"/>
      <c r="P195" s="15"/>
      <c r="Q195" s="15"/>
    </row>
    <row r="196" spans="2:17" x14ac:dyDescent="0.25">
      <c r="B196" s="15"/>
      <c r="C196" s="15"/>
      <c r="D196" s="15"/>
      <c r="E196" s="15"/>
      <c r="F196" s="15"/>
      <c r="G196" s="15"/>
      <c r="H196" s="15"/>
      <c r="I196" s="15"/>
      <c r="J196" s="15"/>
      <c r="K196" s="15"/>
      <c r="L196" s="15"/>
      <c r="M196" s="15"/>
      <c r="N196" s="15"/>
      <c r="O196" s="15"/>
      <c r="P196" s="15"/>
      <c r="Q196" s="15"/>
    </row>
    <row r="197" spans="2:17" x14ac:dyDescent="0.25">
      <c r="B197" s="15"/>
      <c r="C197" s="15"/>
      <c r="D197" s="15"/>
      <c r="E197" s="15"/>
      <c r="F197" s="15"/>
      <c r="G197" s="15"/>
      <c r="H197" s="15"/>
      <c r="I197" s="15"/>
      <c r="J197" s="15"/>
      <c r="K197" s="15"/>
      <c r="L197" s="15"/>
      <c r="M197" s="15"/>
      <c r="N197" s="15"/>
      <c r="O197" s="15"/>
      <c r="P197" s="15"/>
      <c r="Q197" s="15"/>
    </row>
    <row r="198" spans="2:17" x14ac:dyDescent="0.25">
      <c r="B198" s="15"/>
      <c r="C198" s="15"/>
      <c r="D198" s="15"/>
      <c r="E198" s="15"/>
      <c r="F198" s="15"/>
      <c r="G198" s="15"/>
      <c r="H198" s="15"/>
      <c r="I198" s="15"/>
      <c r="J198" s="15"/>
      <c r="K198" s="15"/>
      <c r="L198" s="15"/>
      <c r="M198" s="15"/>
      <c r="N198" s="15"/>
      <c r="O198" s="15"/>
      <c r="P198" s="15"/>
      <c r="Q198" s="15"/>
    </row>
    <row r="199" spans="2:17" x14ac:dyDescent="0.25">
      <c r="B199" s="15"/>
      <c r="C199" s="15"/>
      <c r="D199" s="15"/>
      <c r="E199" s="15"/>
      <c r="F199" s="15"/>
      <c r="G199" s="15"/>
      <c r="H199" s="15"/>
      <c r="I199" s="15"/>
      <c r="J199" s="15"/>
      <c r="K199" s="15"/>
      <c r="L199" s="15"/>
      <c r="M199" s="15"/>
      <c r="N199" s="15"/>
      <c r="O199" s="15"/>
      <c r="P199" s="15"/>
      <c r="Q199" s="15"/>
    </row>
    <row r="200" spans="2:17" x14ac:dyDescent="0.25">
      <c r="B200" s="15"/>
      <c r="C200" s="15"/>
      <c r="D200" s="15"/>
      <c r="E200" s="15"/>
      <c r="F200" s="15"/>
      <c r="G200" s="15"/>
      <c r="H200" s="15"/>
      <c r="I200" s="15"/>
      <c r="J200" s="15"/>
      <c r="K200" s="15"/>
      <c r="L200" s="15"/>
      <c r="M200" s="15"/>
      <c r="N200" s="15"/>
      <c r="O200" s="15"/>
      <c r="P200" s="15"/>
      <c r="Q200" s="15"/>
    </row>
    <row r="201" spans="2:17" x14ac:dyDescent="0.25">
      <c r="B201" s="15"/>
      <c r="C201" s="15"/>
      <c r="D201" s="15"/>
      <c r="E201" s="15"/>
      <c r="F201" s="15"/>
      <c r="G201" s="15"/>
      <c r="H201" s="15"/>
      <c r="I201" s="15"/>
      <c r="J201" s="15"/>
      <c r="K201" s="15"/>
      <c r="L201" s="15"/>
      <c r="M201" s="15"/>
      <c r="N201" s="15"/>
      <c r="O201" s="15"/>
      <c r="P201" s="15"/>
      <c r="Q201" s="15"/>
    </row>
    <row r="202" spans="2:17" x14ac:dyDescent="0.25">
      <c r="B202" s="15"/>
      <c r="C202" s="15"/>
      <c r="D202" s="15"/>
      <c r="E202" s="15"/>
      <c r="F202" s="15"/>
      <c r="G202" s="15"/>
      <c r="H202" s="15"/>
      <c r="I202" s="15"/>
      <c r="J202" s="15"/>
      <c r="K202" s="15"/>
      <c r="L202" s="15"/>
      <c r="M202" s="15"/>
      <c r="N202" s="15"/>
      <c r="O202" s="15"/>
      <c r="P202" s="15"/>
      <c r="Q202" s="15"/>
    </row>
    <row r="203" spans="2:17" x14ac:dyDescent="0.25">
      <c r="B203" s="15"/>
      <c r="C203" s="15"/>
      <c r="D203" s="15"/>
      <c r="E203" s="15"/>
      <c r="F203" s="15"/>
      <c r="G203" s="15"/>
      <c r="H203" s="15"/>
      <c r="I203" s="15"/>
      <c r="J203" s="15"/>
      <c r="K203" s="15"/>
      <c r="L203" s="15"/>
      <c r="M203" s="15"/>
      <c r="N203" s="15"/>
      <c r="O203" s="15"/>
      <c r="P203" s="15"/>
      <c r="Q203" s="15"/>
    </row>
    <row r="204" spans="2:17" x14ac:dyDescent="0.25">
      <c r="B204" s="15"/>
      <c r="C204" s="15"/>
      <c r="D204" s="15"/>
      <c r="E204" s="15"/>
      <c r="F204" s="15"/>
      <c r="G204" s="15"/>
      <c r="H204" s="15"/>
      <c r="I204" s="15"/>
      <c r="J204" s="15"/>
      <c r="K204" s="15"/>
      <c r="L204" s="15"/>
      <c r="M204" s="15"/>
      <c r="N204" s="15"/>
      <c r="O204" s="15"/>
      <c r="P204" s="15"/>
      <c r="Q204" s="15"/>
    </row>
    <row r="205" spans="2:17" x14ac:dyDescent="0.25">
      <c r="B205" s="15"/>
      <c r="C205" s="15"/>
      <c r="D205" s="15"/>
      <c r="E205" s="15"/>
      <c r="F205" s="15"/>
      <c r="G205" s="15"/>
      <c r="H205" s="15"/>
      <c r="I205" s="15"/>
      <c r="J205" s="15"/>
      <c r="K205" s="15"/>
      <c r="L205" s="15"/>
      <c r="M205" s="15"/>
      <c r="N205" s="15"/>
      <c r="O205" s="15"/>
      <c r="P205" s="15"/>
      <c r="Q205" s="15"/>
    </row>
    <row r="206" spans="2:17" x14ac:dyDescent="0.25">
      <c r="B206" s="15"/>
      <c r="C206" s="15"/>
      <c r="D206" s="15"/>
      <c r="E206" s="15"/>
      <c r="F206" s="15"/>
      <c r="G206" s="15"/>
      <c r="H206" s="15"/>
      <c r="I206" s="15"/>
      <c r="J206" s="15"/>
      <c r="K206" s="15"/>
      <c r="L206" s="15"/>
      <c r="M206" s="15"/>
      <c r="N206" s="15"/>
      <c r="O206" s="15"/>
      <c r="P206" s="15"/>
      <c r="Q206" s="15"/>
    </row>
    <row r="207" spans="2:17" x14ac:dyDescent="0.25">
      <c r="B207" s="15"/>
      <c r="C207" s="15"/>
      <c r="D207" s="15"/>
      <c r="E207" s="15"/>
      <c r="F207" s="15"/>
      <c r="G207" s="15"/>
      <c r="H207" s="15"/>
      <c r="I207" s="15"/>
      <c r="J207" s="15"/>
      <c r="K207" s="15"/>
      <c r="L207" s="15"/>
      <c r="M207" s="15"/>
      <c r="N207" s="15"/>
      <c r="O207" s="15"/>
      <c r="P207" s="15"/>
      <c r="Q207" s="15"/>
    </row>
    <row r="208" spans="2:17" x14ac:dyDescent="0.25">
      <c r="B208" s="15"/>
      <c r="C208" s="15"/>
      <c r="D208" s="15"/>
      <c r="E208" s="15"/>
      <c r="F208" s="15"/>
      <c r="G208" s="15"/>
      <c r="H208" s="15"/>
      <c r="I208" s="15"/>
      <c r="J208" s="15"/>
      <c r="K208" s="15"/>
      <c r="L208" s="15"/>
      <c r="M208" s="15"/>
      <c r="N208" s="15"/>
      <c r="O208" s="15"/>
      <c r="P208" s="15"/>
      <c r="Q208" s="15"/>
    </row>
    <row r="209" spans="2:17" x14ac:dyDescent="0.25">
      <c r="B209" s="15"/>
      <c r="C209" s="15"/>
      <c r="D209" s="15"/>
      <c r="E209" s="15"/>
      <c r="F209" s="15"/>
      <c r="G209" s="15"/>
      <c r="H209" s="15"/>
      <c r="I209" s="15"/>
      <c r="J209" s="15"/>
      <c r="K209" s="15"/>
      <c r="L209" s="15"/>
      <c r="M209" s="15"/>
      <c r="N209" s="15"/>
      <c r="O209" s="15"/>
      <c r="P209" s="15"/>
      <c r="Q209" s="15"/>
    </row>
    <row r="210" spans="2:17" x14ac:dyDescent="0.25">
      <c r="B210" s="15"/>
      <c r="C210" s="15"/>
      <c r="D210" s="15"/>
      <c r="E210" s="15"/>
      <c r="F210" s="15"/>
      <c r="G210" s="15"/>
      <c r="H210" s="15"/>
      <c r="I210" s="15"/>
      <c r="J210" s="15"/>
      <c r="K210" s="15"/>
      <c r="L210" s="15"/>
      <c r="M210" s="15"/>
      <c r="N210" s="15"/>
      <c r="O210" s="15"/>
      <c r="P210" s="15"/>
      <c r="Q210" s="15"/>
    </row>
    <row r="211" spans="2:17" x14ac:dyDescent="0.25">
      <c r="B211" s="15"/>
      <c r="C211" s="15"/>
      <c r="D211" s="15"/>
      <c r="E211" s="15"/>
      <c r="F211" s="15"/>
      <c r="G211" s="15"/>
      <c r="H211" s="15"/>
      <c r="I211" s="15"/>
      <c r="J211" s="15"/>
      <c r="K211" s="15"/>
      <c r="L211" s="15"/>
      <c r="M211" s="15"/>
      <c r="N211" s="15"/>
      <c r="O211" s="15"/>
      <c r="P211" s="15"/>
      <c r="Q211" s="15"/>
    </row>
    <row r="212" spans="2:17" x14ac:dyDescent="0.25">
      <c r="B212" s="15"/>
      <c r="C212" s="15"/>
      <c r="D212" s="15"/>
      <c r="E212" s="15"/>
      <c r="F212" s="15"/>
      <c r="G212" s="15"/>
      <c r="H212" s="15"/>
      <c r="I212" s="15"/>
      <c r="J212" s="15"/>
      <c r="K212" s="15"/>
      <c r="L212" s="15"/>
      <c r="M212" s="15"/>
      <c r="N212" s="15"/>
      <c r="O212" s="15"/>
      <c r="P212" s="15"/>
      <c r="Q212" s="15"/>
    </row>
    <row r="213" spans="2:17" x14ac:dyDescent="0.25">
      <c r="B213" s="15"/>
      <c r="C213" s="15"/>
      <c r="D213" s="15"/>
      <c r="E213" s="15"/>
      <c r="F213" s="15"/>
      <c r="G213" s="15"/>
      <c r="H213" s="15"/>
      <c r="I213" s="15"/>
      <c r="J213" s="15"/>
      <c r="K213" s="15"/>
      <c r="L213" s="15"/>
      <c r="M213" s="15"/>
      <c r="N213" s="15"/>
      <c r="O213" s="15"/>
      <c r="P213" s="15"/>
      <c r="Q213" s="15"/>
    </row>
    <row r="214" spans="2:17" x14ac:dyDescent="0.25">
      <c r="B214" s="15"/>
      <c r="C214" s="15"/>
      <c r="D214" s="15"/>
      <c r="E214" s="15"/>
      <c r="F214" s="15"/>
      <c r="G214" s="15"/>
      <c r="H214" s="15"/>
      <c r="I214" s="15"/>
      <c r="J214" s="15"/>
      <c r="K214" s="15"/>
      <c r="L214" s="15"/>
      <c r="M214" s="15"/>
      <c r="N214" s="15"/>
      <c r="O214" s="15"/>
      <c r="P214" s="15"/>
      <c r="Q214" s="15"/>
    </row>
    <row r="215" spans="2:17" x14ac:dyDescent="0.25">
      <c r="B215" s="15"/>
      <c r="C215" s="15"/>
      <c r="D215" s="15"/>
      <c r="E215" s="15"/>
      <c r="F215" s="15"/>
      <c r="G215" s="15"/>
      <c r="H215" s="15"/>
      <c r="I215" s="15"/>
      <c r="J215" s="15"/>
      <c r="K215" s="15"/>
      <c r="L215" s="15"/>
      <c r="M215" s="15"/>
      <c r="N215" s="15"/>
      <c r="O215" s="15"/>
      <c r="P215" s="15"/>
      <c r="Q215" s="15"/>
    </row>
    <row r="216" spans="2:17" x14ac:dyDescent="0.25">
      <c r="B216" s="15"/>
      <c r="C216" s="15"/>
      <c r="D216" s="15"/>
      <c r="E216" s="15"/>
      <c r="F216" s="15"/>
      <c r="G216" s="15"/>
      <c r="H216" s="15"/>
      <c r="I216" s="15"/>
      <c r="J216" s="15"/>
      <c r="K216" s="15"/>
      <c r="L216" s="15"/>
      <c r="M216" s="15"/>
      <c r="N216" s="15"/>
      <c r="O216" s="15"/>
      <c r="P216" s="15"/>
      <c r="Q216" s="15"/>
    </row>
    <row r="217" spans="2:17" x14ac:dyDescent="0.25">
      <c r="B217" s="15"/>
      <c r="C217" s="15"/>
      <c r="D217" s="15"/>
      <c r="E217" s="15"/>
      <c r="F217" s="15"/>
      <c r="G217" s="15"/>
      <c r="H217" s="15"/>
      <c r="I217" s="15"/>
      <c r="J217" s="15"/>
      <c r="K217" s="15"/>
      <c r="L217" s="15"/>
      <c r="M217" s="15"/>
      <c r="N217" s="15"/>
      <c r="O217" s="15"/>
      <c r="P217" s="15"/>
      <c r="Q217" s="15"/>
    </row>
    <row r="218" spans="2:17" x14ac:dyDescent="0.25">
      <c r="B218" s="15"/>
      <c r="C218" s="15"/>
      <c r="D218" s="15"/>
      <c r="E218" s="15"/>
      <c r="F218" s="15"/>
      <c r="G218" s="15"/>
      <c r="H218" s="15"/>
      <c r="I218" s="15"/>
      <c r="J218" s="15"/>
      <c r="K218" s="15"/>
      <c r="L218" s="15"/>
      <c r="M218" s="15"/>
      <c r="N218" s="15"/>
      <c r="O218" s="15"/>
      <c r="P218" s="15"/>
      <c r="Q218" s="15"/>
    </row>
    <row r="219" spans="2:17" x14ac:dyDescent="0.25">
      <c r="B219" s="15"/>
      <c r="C219" s="15"/>
      <c r="D219" s="15"/>
      <c r="E219" s="15"/>
      <c r="F219" s="15"/>
      <c r="G219" s="15"/>
      <c r="H219" s="15"/>
      <c r="I219" s="15"/>
      <c r="J219" s="15"/>
      <c r="K219" s="15"/>
      <c r="L219" s="15"/>
      <c r="M219" s="15"/>
      <c r="N219" s="15"/>
      <c r="O219" s="15"/>
      <c r="P219" s="15"/>
      <c r="Q219" s="15"/>
    </row>
    <row r="220" spans="2:17" x14ac:dyDescent="0.25">
      <c r="B220" s="15"/>
      <c r="C220" s="15"/>
      <c r="D220" s="15"/>
      <c r="E220" s="15"/>
      <c r="F220" s="15"/>
      <c r="G220" s="15"/>
      <c r="H220" s="15"/>
      <c r="I220" s="15"/>
      <c r="J220" s="15"/>
      <c r="K220" s="15"/>
      <c r="L220" s="15"/>
      <c r="M220" s="15"/>
      <c r="N220" s="15"/>
      <c r="O220" s="15"/>
      <c r="P220" s="15"/>
      <c r="Q220" s="15"/>
    </row>
    <row r="221" spans="2:17" x14ac:dyDescent="0.25">
      <c r="B221" s="15"/>
      <c r="C221" s="15"/>
      <c r="D221" s="15"/>
      <c r="E221" s="15"/>
      <c r="F221" s="15"/>
      <c r="G221" s="15"/>
      <c r="H221" s="15"/>
      <c r="I221" s="15"/>
      <c r="J221" s="15"/>
      <c r="K221" s="15"/>
      <c r="L221" s="15"/>
      <c r="M221" s="15"/>
      <c r="N221" s="15"/>
      <c r="O221" s="15"/>
      <c r="P221" s="15"/>
      <c r="Q221" s="15"/>
    </row>
    <row r="222" spans="2:17" x14ac:dyDescent="0.25">
      <c r="B222" s="15"/>
      <c r="C222" s="15"/>
      <c r="D222" s="15"/>
      <c r="E222" s="15"/>
      <c r="F222" s="15"/>
      <c r="G222" s="15"/>
      <c r="H222" s="15"/>
      <c r="I222" s="15"/>
      <c r="J222" s="15"/>
      <c r="K222" s="15"/>
      <c r="L222" s="15"/>
      <c r="M222" s="15"/>
      <c r="N222" s="15"/>
      <c r="O222" s="15"/>
      <c r="P222" s="15"/>
      <c r="Q222" s="15"/>
    </row>
    <row r="223" spans="2:17" x14ac:dyDescent="0.25">
      <c r="B223" s="15"/>
      <c r="C223" s="15"/>
      <c r="D223" s="15"/>
      <c r="E223" s="15"/>
      <c r="F223" s="15"/>
      <c r="G223" s="15"/>
      <c r="H223" s="15"/>
      <c r="I223" s="15"/>
      <c r="J223" s="15"/>
      <c r="K223" s="15"/>
      <c r="L223" s="15"/>
      <c r="M223" s="15"/>
      <c r="N223" s="15"/>
      <c r="O223" s="15"/>
      <c r="P223" s="15"/>
      <c r="Q223" s="15"/>
    </row>
    <row r="224" spans="2:17" x14ac:dyDescent="0.25">
      <c r="B224" s="15"/>
      <c r="C224" s="15"/>
      <c r="D224" s="15"/>
      <c r="E224" s="15"/>
      <c r="F224" s="15"/>
      <c r="G224" s="15"/>
      <c r="H224" s="15"/>
      <c r="I224" s="15"/>
      <c r="J224" s="15"/>
      <c r="K224" s="15"/>
      <c r="L224" s="15"/>
      <c r="M224" s="15"/>
      <c r="N224" s="15"/>
      <c r="O224" s="15"/>
      <c r="P224" s="15"/>
      <c r="Q224" s="15"/>
    </row>
    <row r="225" spans="2:17" x14ac:dyDescent="0.25">
      <c r="B225" s="15"/>
      <c r="C225" s="15"/>
      <c r="D225" s="15"/>
      <c r="E225" s="15"/>
      <c r="F225" s="15"/>
      <c r="G225" s="15"/>
      <c r="H225" s="15"/>
      <c r="I225" s="15"/>
      <c r="J225" s="15"/>
      <c r="K225" s="15"/>
      <c r="L225" s="15"/>
      <c r="M225" s="15"/>
      <c r="N225" s="15"/>
      <c r="O225" s="15"/>
      <c r="P225" s="15"/>
      <c r="Q225" s="15"/>
    </row>
    <row r="226" spans="2:17" x14ac:dyDescent="0.25">
      <c r="B226" s="15"/>
      <c r="C226" s="15"/>
      <c r="D226" s="15"/>
      <c r="E226" s="15"/>
      <c r="F226" s="15"/>
      <c r="G226" s="15"/>
      <c r="H226" s="15"/>
      <c r="I226" s="15"/>
      <c r="J226" s="15"/>
      <c r="K226" s="15"/>
      <c r="L226" s="15"/>
      <c r="M226" s="15"/>
      <c r="N226" s="15"/>
      <c r="O226" s="15"/>
      <c r="P226" s="15"/>
      <c r="Q226" s="15"/>
    </row>
    <row r="227" spans="2:17" x14ac:dyDescent="0.25">
      <c r="B227" s="15"/>
      <c r="C227" s="15"/>
      <c r="D227" s="15"/>
      <c r="E227" s="15"/>
      <c r="F227" s="15"/>
      <c r="G227" s="15"/>
      <c r="H227" s="15"/>
      <c r="I227" s="15"/>
      <c r="J227" s="15"/>
      <c r="K227" s="15"/>
      <c r="L227" s="15"/>
      <c r="M227" s="15"/>
      <c r="N227" s="15"/>
      <c r="O227" s="15"/>
      <c r="P227" s="15"/>
      <c r="Q227" s="15"/>
    </row>
    <row r="228" spans="2:17" x14ac:dyDescent="0.25">
      <c r="B228" s="15"/>
      <c r="C228" s="15"/>
      <c r="D228" s="15"/>
      <c r="E228" s="15"/>
      <c r="F228" s="15"/>
      <c r="G228" s="15"/>
      <c r="H228" s="15"/>
      <c r="I228" s="15"/>
      <c r="J228" s="15"/>
      <c r="K228" s="15"/>
      <c r="L228" s="15"/>
      <c r="M228" s="15"/>
      <c r="N228" s="15"/>
      <c r="O228" s="15"/>
      <c r="P228" s="15"/>
      <c r="Q228" s="15"/>
    </row>
    <row r="229" spans="2:17" x14ac:dyDescent="0.25">
      <c r="B229" s="15"/>
      <c r="C229" s="15"/>
      <c r="D229" s="15"/>
      <c r="E229" s="15"/>
      <c r="F229" s="15"/>
      <c r="G229" s="15"/>
      <c r="H229" s="15"/>
      <c r="I229" s="15"/>
      <c r="J229" s="15"/>
      <c r="K229" s="15"/>
      <c r="L229" s="15"/>
      <c r="M229" s="15"/>
      <c r="N229" s="15"/>
      <c r="O229" s="15"/>
      <c r="P229" s="15"/>
      <c r="Q229" s="15"/>
    </row>
    <row r="230" spans="2:17" x14ac:dyDescent="0.25">
      <c r="B230" s="15"/>
      <c r="C230" s="15"/>
      <c r="D230" s="15"/>
      <c r="E230" s="15"/>
      <c r="F230" s="15"/>
      <c r="G230" s="15"/>
      <c r="H230" s="15"/>
      <c r="I230" s="15"/>
      <c r="J230" s="15"/>
      <c r="K230" s="15"/>
      <c r="L230" s="15"/>
      <c r="M230" s="15"/>
      <c r="N230" s="15"/>
      <c r="O230" s="15"/>
      <c r="P230" s="15"/>
      <c r="Q230" s="15"/>
    </row>
    <row r="231" spans="2:17" x14ac:dyDescent="0.25">
      <c r="B231" s="15"/>
      <c r="C231" s="15"/>
      <c r="D231" s="15"/>
      <c r="E231" s="15"/>
      <c r="F231" s="15"/>
      <c r="G231" s="15"/>
      <c r="H231" s="15"/>
      <c r="I231" s="15"/>
      <c r="J231" s="15"/>
      <c r="K231" s="15"/>
      <c r="L231" s="15"/>
      <c r="M231" s="15"/>
      <c r="N231" s="15"/>
      <c r="O231" s="15"/>
      <c r="P231" s="15"/>
      <c r="Q231" s="15"/>
    </row>
    <row r="232" spans="2:17" x14ac:dyDescent="0.25">
      <c r="B232" s="15"/>
      <c r="C232" s="15"/>
      <c r="D232" s="15"/>
      <c r="E232" s="15"/>
      <c r="F232" s="15"/>
      <c r="G232" s="15"/>
      <c r="H232" s="15"/>
      <c r="I232" s="15"/>
      <c r="J232" s="15"/>
      <c r="K232" s="15"/>
      <c r="L232" s="15"/>
      <c r="M232" s="15"/>
      <c r="N232" s="15"/>
      <c r="O232" s="15"/>
      <c r="P232" s="15"/>
      <c r="Q232" s="15"/>
    </row>
    <row r="233" spans="2:17" x14ac:dyDescent="0.25">
      <c r="B233" s="15"/>
      <c r="C233" s="15"/>
      <c r="D233" s="15"/>
      <c r="E233" s="15"/>
      <c r="F233" s="15"/>
      <c r="G233" s="15"/>
      <c r="H233" s="15"/>
      <c r="I233" s="15"/>
      <c r="J233" s="15"/>
      <c r="K233" s="15"/>
      <c r="L233" s="15"/>
      <c r="M233" s="15"/>
      <c r="N233" s="15"/>
      <c r="O233" s="15"/>
      <c r="P233" s="15"/>
      <c r="Q233" s="15"/>
    </row>
    <row r="234" spans="2:17" x14ac:dyDescent="0.25">
      <c r="B234" s="15"/>
      <c r="C234" s="15"/>
      <c r="D234" s="15"/>
      <c r="E234" s="15"/>
      <c r="F234" s="15"/>
      <c r="G234" s="15"/>
      <c r="H234" s="15"/>
      <c r="I234" s="15"/>
      <c r="J234" s="15"/>
      <c r="K234" s="15"/>
      <c r="L234" s="15"/>
      <c r="M234" s="15"/>
      <c r="N234" s="15"/>
      <c r="O234" s="15"/>
      <c r="P234" s="15"/>
      <c r="Q234" s="15"/>
    </row>
    <row r="235" spans="2:17" x14ac:dyDescent="0.25">
      <c r="B235" s="15"/>
      <c r="C235" s="15"/>
      <c r="D235" s="15"/>
      <c r="E235" s="15"/>
      <c r="F235" s="15"/>
      <c r="G235" s="15"/>
      <c r="H235" s="15"/>
      <c r="I235" s="15"/>
      <c r="J235" s="15"/>
      <c r="K235" s="15"/>
      <c r="L235" s="15"/>
      <c r="M235" s="15"/>
      <c r="N235" s="15"/>
      <c r="O235" s="15"/>
      <c r="P235" s="15"/>
      <c r="Q235" s="15"/>
    </row>
    <row r="236" spans="2:17" x14ac:dyDescent="0.25">
      <c r="B236" s="15"/>
      <c r="C236" s="15"/>
      <c r="D236" s="15"/>
      <c r="E236" s="15"/>
      <c r="F236" s="15"/>
      <c r="G236" s="15"/>
      <c r="H236" s="15"/>
      <c r="I236" s="15"/>
      <c r="J236" s="15"/>
      <c r="K236" s="15"/>
      <c r="L236" s="15"/>
      <c r="M236" s="15"/>
      <c r="N236" s="15"/>
      <c r="O236" s="15"/>
      <c r="P236" s="15"/>
      <c r="Q236" s="15"/>
    </row>
    <row r="237" spans="2:17" x14ac:dyDescent="0.25">
      <c r="B237" s="15"/>
      <c r="C237" s="15"/>
      <c r="D237" s="15"/>
      <c r="E237" s="15"/>
      <c r="F237" s="15"/>
      <c r="G237" s="15"/>
      <c r="H237" s="15"/>
      <c r="I237" s="15"/>
      <c r="J237" s="15"/>
      <c r="K237" s="15"/>
      <c r="L237" s="15"/>
      <c r="M237" s="15"/>
      <c r="N237" s="15"/>
      <c r="O237" s="15"/>
      <c r="P237" s="15"/>
      <c r="Q237" s="15"/>
    </row>
    <row r="238" spans="2:17" x14ac:dyDescent="0.25">
      <c r="B238" s="15"/>
      <c r="C238" s="15"/>
      <c r="D238" s="15"/>
      <c r="E238" s="15"/>
      <c r="F238" s="15"/>
      <c r="G238" s="15"/>
      <c r="H238" s="15"/>
      <c r="I238" s="15"/>
      <c r="J238" s="15"/>
      <c r="K238" s="15"/>
      <c r="L238" s="15"/>
      <c r="M238" s="15"/>
      <c r="N238" s="15"/>
      <c r="O238" s="15"/>
      <c r="P238" s="15"/>
      <c r="Q238" s="15"/>
    </row>
    <row r="239" spans="2:17" x14ac:dyDescent="0.25">
      <c r="B239" s="15"/>
      <c r="C239" s="15"/>
      <c r="D239" s="15"/>
      <c r="E239" s="15"/>
      <c r="F239" s="15"/>
      <c r="G239" s="15"/>
      <c r="H239" s="15"/>
      <c r="I239" s="15"/>
      <c r="J239" s="15"/>
      <c r="K239" s="15"/>
      <c r="L239" s="15"/>
      <c r="M239" s="15"/>
      <c r="N239" s="15"/>
      <c r="O239" s="15"/>
      <c r="P239" s="15"/>
      <c r="Q239" s="15"/>
    </row>
    <row r="240" spans="2:17" x14ac:dyDescent="0.25">
      <c r="B240" s="15"/>
      <c r="C240" s="15"/>
      <c r="D240" s="15"/>
      <c r="E240" s="15"/>
      <c r="F240" s="15"/>
      <c r="G240" s="15"/>
      <c r="H240" s="15"/>
      <c r="I240" s="15"/>
      <c r="J240" s="15"/>
      <c r="K240" s="15"/>
      <c r="L240" s="15"/>
      <c r="M240" s="15"/>
      <c r="N240" s="15"/>
      <c r="O240" s="15"/>
      <c r="P240" s="15"/>
      <c r="Q240" s="15"/>
    </row>
    <row r="241" spans="2:17" x14ac:dyDescent="0.25">
      <c r="B241" s="15"/>
      <c r="C241" s="15"/>
      <c r="D241" s="15"/>
      <c r="E241" s="15"/>
      <c r="F241" s="15"/>
      <c r="G241" s="15"/>
      <c r="H241" s="15"/>
      <c r="I241" s="15"/>
      <c r="J241" s="15"/>
      <c r="K241" s="15"/>
      <c r="L241" s="15"/>
      <c r="M241" s="15"/>
      <c r="N241" s="15"/>
      <c r="O241" s="15"/>
      <c r="P241" s="15"/>
      <c r="Q241" s="15"/>
    </row>
    <row r="242" spans="2:17" x14ac:dyDescent="0.25">
      <c r="B242" s="15"/>
      <c r="C242" s="15"/>
      <c r="D242" s="15"/>
      <c r="E242" s="15"/>
      <c r="F242" s="15"/>
      <c r="G242" s="15"/>
      <c r="H242" s="15"/>
      <c r="I242" s="15"/>
      <c r="J242" s="15"/>
      <c r="K242" s="15"/>
      <c r="L242" s="15"/>
      <c r="M242" s="15"/>
      <c r="N242" s="15"/>
      <c r="O242" s="15"/>
      <c r="P242" s="15"/>
      <c r="Q242" s="15"/>
    </row>
    <row r="243" spans="2:17" x14ac:dyDescent="0.25">
      <c r="B243" s="15"/>
      <c r="C243" s="15"/>
      <c r="D243" s="15"/>
      <c r="E243" s="15"/>
      <c r="F243" s="15"/>
      <c r="G243" s="15"/>
      <c r="H243" s="15"/>
      <c r="I243" s="15"/>
      <c r="J243" s="15"/>
      <c r="K243" s="15"/>
      <c r="L243" s="15"/>
      <c r="M243" s="15"/>
      <c r="N243" s="15"/>
      <c r="O243" s="15"/>
      <c r="P243" s="15"/>
      <c r="Q243" s="15"/>
    </row>
    <row r="244" spans="2:17" x14ac:dyDescent="0.25">
      <c r="B244" s="15"/>
      <c r="C244" s="15"/>
      <c r="D244" s="15"/>
      <c r="E244" s="15"/>
      <c r="F244" s="15"/>
      <c r="G244" s="15"/>
      <c r="H244" s="15"/>
      <c r="I244" s="15"/>
      <c r="J244" s="15"/>
      <c r="K244" s="15"/>
      <c r="L244" s="15"/>
      <c r="M244" s="15"/>
      <c r="N244" s="15"/>
      <c r="O244" s="15"/>
      <c r="P244" s="15"/>
      <c r="Q244" s="15"/>
    </row>
    <row r="245" spans="2:17" x14ac:dyDescent="0.25">
      <c r="B245" s="15"/>
      <c r="C245" s="15"/>
      <c r="D245" s="15"/>
      <c r="E245" s="15"/>
      <c r="F245" s="15"/>
      <c r="G245" s="15"/>
      <c r="H245" s="15"/>
      <c r="I245" s="15"/>
      <c r="J245" s="15"/>
      <c r="K245" s="15"/>
      <c r="L245" s="15"/>
      <c r="M245" s="15"/>
      <c r="N245" s="15"/>
      <c r="O245" s="15"/>
      <c r="P245" s="15"/>
      <c r="Q245" s="15"/>
    </row>
    <row r="246" spans="2:17" x14ac:dyDescent="0.25">
      <c r="B246" s="15"/>
      <c r="C246" s="15"/>
      <c r="D246" s="15"/>
      <c r="E246" s="15"/>
      <c r="F246" s="15"/>
      <c r="G246" s="15"/>
      <c r="H246" s="15"/>
      <c r="I246" s="15"/>
      <c r="J246" s="15"/>
      <c r="K246" s="15"/>
      <c r="L246" s="15"/>
      <c r="M246" s="15"/>
      <c r="N246" s="15"/>
      <c r="O246" s="15"/>
      <c r="P246" s="15"/>
      <c r="Q246" s="15"/>
    </row>
    <row r="247" spans="2:17" x14ac:dyDescent="0.25">
      <c r="B247" s="15"/>
      <c r="C247" s="15"/>
      <c r="D247" s="15"/>
      <c r="E247" s="15"/>
      <c r="F247" s="15"/>
      <c r="G247" s="15"/>
      <c r="H247" s="15"/>
      <c r="I247" s="15"/>
      <c r="J247" s="15"/>
      <c r="K247" s="15"/>
      <c r="L247" s="15"/>
      <c r="M247" s="15"/>
      <c r="N247" s="15"/>
      <c r="O247" s="15"/>
      <c r="P247" s="15"/>
      <c r="Q247" s="15"/>
    </row>
    <row r="248" spans="2:17" x14ac:dyDescent="0.25">
      <c r="B248" s="15"/>
      <c r="C248" s="15"/>
      <c r="D248" s="15"/>
      <c r="E248" s="15"/>
      <c r="F248" s="15"/>
      <c r="G248" s="15"/>
      <c r="H248" s="15"/>
      <c r="I248" s="15"/>
      <c r="J248" s="15"/>
      <c r="K248" s="15"/>
      <c r="L248" s="15"/>
      <c r="M248" s="15"/>
      <c r="N248" s="15"/>
      <c r="O248" s="15"/>
      <c r="P248" s="15"/>
      <c r="Q248" s="15"/>
    </row>
    <row r="249" spans="2:17" x14ac:dyDescent="0.25">
      <c r="B249" s="15"/>
      <c r="C249" s="15"/>
      <c r="D249" s="15"/>
      <c r="E249" s="15"/>
      <c r="F249" s="15"/>
      <c r="G249" s="15"/>
      <c r="H249" s="15"/>
      <c r="I249" s="15"/>
      <c r="J249" s="15"/>
      <c r="K249" s="15"/>
      <c r="L249" s="15"/>
      <c r="M249" s="15"/>
      <c r="N249" s="15"/>
      <c r="O249" s="15"/>
      <c r="P249" s="15"/>
      <c r="Q249" s="15"/>
    </row>
    <row r="250" spans="2:17" x14ac:dyDescent="0.25">
      <c r="B250" s="15"/>
      <c r="C250" s="15"/>
      <c r="D250" s="15"/>
      <c r="E250" s="15"/>
      <c r="F250" s="15"/>
      <c r="G250" s="15"/>
      <c r="H250" s="15"/>
      <c r="I250" s="15"/>
      <c r="J250" s="15"/>
      <c r="K250" s="15"/>
      <c r="L250" s="15"/>
      <c r="M250" s="15"/>
      <c r="N250" s="15"/>
      <c r="O250" s="15"/>
      <c r="P250" s="15"/>
      <c r="Q250" s="15"/>
    </row>
    <row r="251" spans="2:17" x14ac:dyDescent="0.25">
      <c r="B251" s="15"/>
      <c r="C251" s="15"/>
      <c r="D251" s="15"/>
      <c r="E251" s="15"/>
      <c r="F251" s="15"/>
      <c r="G251" s="15"/>
      <c r="H251" s="15"/>
      <c r="I251" s="15"/>
      <c r="J251" s="15"/>
      <c r="K251" s="15"/>
      <c r="L251" s="15"/>
      <c r="M251" s="15"/>
      <c r="N251" s="15"/>
      <c r="O251" s="15"/>
      <c r="P251" s="15"/>
      <c r="Q251" s="15"/>
    </row>
    <row r="252" spans="2:17" x14ac:dyDescent="0.25">
      <c r="B252" s="15"/>
      <c r="C252" s="15"/>
      <c r="D252" s="15"/>
      <c r="E252" s="15"/>
      <c r="F252" s="15"/>
      <c r="G252" s="15"/>
      <c r="H252" s="15"/>
      <c r="I252" s="15"/>
      <c r="J252" s="15"/>
      <c r="K252" s="15"/>
      <c r="L252" s="15"/>
      <c r="M252" s="15"/>
      <c r="N252" s="15"/>
      <c r="O252" s="15"/>
      <c r="P252" s="15"/>
      <c r="Q252" s="15"/>
    </row>
    <row r="253" spans="2:17" x14ac:dyDescent="0.25">
      <c r="B253" s="15"/>
      <c r="C253" s="15"/>
      <c r="D253" s="15"/>
      <c r="E253" s="15"/>
      <c r="F253" s="15"/>
      <c r="G253" s="15"/>
      <c r="H253" s="15"/>
      <c r="I253" s="15"/>
      <c r="J253" s="15"/>
      <c r="K253" s="15"/>
      <c r="L253" s="15"/>
      <c r="M253" s="15"/>
      <c r="N253" s="15"/>
      <c r="O253" s="15"/>
      <c r="P253" s="15"/>
      <c r="Q253" s="15"/>
    </row>
    <row r="254" spans="2:17" x14ac:dyDescent="0.25">
      <c r="B254" s="15"/>
      <c r="C254" s="15"/>
      <c r="D254" s="15"/>
      <c r="E254" s="15"/>
      <c r="F254" s="15"/>
      <c r="G254" s="15"/>
      <c r="H254" s="15"/>
      <c r="I254" s="15"/>
      <c r="J254" s="15"/>
      <c r="K254" s="15"/>
      <c r="L254" s="15"/>
      <c r="M254" s="15"/>
      <c r="N254" s="15"/>
      <c r="O254" s="15"/>
      <c r="P254" s="15"/>
      <c r="Q254" s="15"/>
    </row>
    <row r="255" spans="2:17" x14ac:dyDescent="0.25">
      <c r="B255" s="15"/>
      <c r="C255" s="15"/>
      <c r="D255" s="15"/>
      <c r="E255" s="15"/>
      <c r="F255" s="15"/>
      <c r="G255" s="15"/>
      <c r="H255" s="15"/>
      <c r="I255" s="15"/>
      <c r="J255" s="15"/>
      <c r="K255" s="15"/>
      <c r="L255" s="15"/>
      <c r="M255" s="15"/>
      <c r="N255" s="15"/>
      <c r="O255" s="15"/>
      <c r="P255" s="15"/>
      <c r="Q255" s="15"/>
    </row>
    <row r="256" spans="2:17" x14ac:dyDescent="0.25">
      <c r="B256" s="15"/>
      <c r="C256" s="15"/>
      <c r="D256" s="15"/>
      <c r="E256" s="15"/>
      <c r="F256" s="15"/>
      <c r="G256" s="15"/>
      <c r="H256" s="15"/>
      <c r="I256" s="15"/>
      <c r="J256" s="15"/>
      <c r="K256" s="15"/>
      <c r="L256" s="15"/>
      <c r="M256" s="15"/>
      <c r="N256" s="15"/>
      <c r="O256" s="15"/>
      <c r="P256" s="15"/>
      <c r="Q256" s="15"/>
    </row>
    <row r="257" spans="2:17" x14ac:dyDescent="0.25">
      <c r="B257" s="15"/>
      <c r="C257" s="15"/>
      <c r="D257" s="15"/>
      <c r="E257" s="15"/>
      <c r="F257" s="15"/>
      <c r="G257" s="15"/>
      <c r="H257" s="15"/>
      <c r="I257" s="15"/>
      <c r="J257" s="15"/>
      <c r="K257" s="15"/>
      <c r="L257" s="15"/>
      <c r="M257" s="15"/>
      <c r="N257" s="15"/>
      <c r="O257" s="15"/>
      <c r="P257" s="15"/>
      <c r="Q257" s="15"/>
    </row>
    <row r="258" spans="2:17" x14ac:dyDescent="0.25">
      <c r="B258" s="15"/>
      <c r="C258" s="15"/>
      <c r="D258" s="15"/>
      <c r="E258" s="15"/>
      <c r="F258" s="15"/>
      <c r="G258" s="15"/>
      <c r="H258" s="15"/>
      <c r="I258" s="15"/>
      <c r="J258" s="15"/>
      <c r="K258" s="15"/>
      <c r="L258" s="15"/>
      <c r="M258" s="15"/>
      <c r="N258" s="15"/>
      <c r="O258" s="15"/>
      <c r="P258" s="15"/>
      <c r="Q258" s="15"/>
    </row>
    <row r="259" spans="2:17" x14ac:dyDescent="0.25">
      <c r="B259" s="15"/>
      <c r="C259" s="15"/>
      <c r="D259" s="15"/>
      <c r="E259" s="15"/>
      <c r="F259" s="15"/>
      <c r="G259" s="15"/>
      <c r="H259" s="15"/>
      <c r="I259" s="15"/>
      <c r="J259" s="15"/>
      <c r="K259" s="15"/>
      <c r="L259" s="15"/>
      <c r="M259" s="15"/>
      <c r="N259" s="15"/>
      <c r="O259" s="15"/>
      <c r="P259" s="15"/>
      <c r="Q259" s="15"/>
    </row>
    <row r="260" spans="2:17" x14ac:dyDescent="0.25">
      <c r="B260" s="15"/>
      <c r="C260" s="15"/>
      <c r="D260" s="15"/>
      <c r="E260" s="15"/>
      <c r="F260" s="15"/>
      <c r="G260" s="15"/>
      <c r="H260" s="15"/>
      <c r="I260" s="15"/>
      <c r="J260" s="15"/>
      <c r="K260" s="15"/>
      <c r="L260" s="15"/>
      <c r="M260" s="15"/>
      <c r="N260" s="15"/>
      <c r="O260" s="15"/>
      <c r="P260" s="15"/>
      <c r="Q260" s="15"/>
    </row>
    <row r="261" spans="2:17" x14ac:dyDescent="0.25">
      <c r="B261" s="15"/>
      <c r="C261" s="15"/>
      <c r="D261" s="15"/>
      <c r="E261" s="15"/>
      <c r="F261" s="15"/>
      <c r="G261" s="15"/>
      <c r="H261" s="15"/>
      <c r="I261" s="15"/>
      <c r="J261" s="15"/>
      <c r="K261" s="15"/>
      <c r="L261" s="15"/>
      <c r="M261" s="15"/>
      <c r="N261" s="15"/>
      <c r="O261" s="15"/>
      <c r="P261" s="15"/>
      <c r="Q261" s="15"/>
    </row>
    <row r="262" spans="2:17" x14ac:dyDescent="0.25">
      <c r="B262" s="15"/>
      <c r="C262" s="15"/>
      <c r="D262" s="15"/>
      <c r="E262" s="15"/>
      <c r="F262" s="15"/>
      <c r="G262" s="15"/>
      <c r="H262" s="15"/>
      <c r="I262" s="15"/>
      <c r="J262" s="15"/>
      <c r="K262" s="15"/>
      <c r="L262" s="15"/>
      <c r="M262" s="15"/>
      <c r="N262" s="15"/>
      <c r="O262" s="15"/>
      <c r="P262" s="15"/>
      <c r="Q262" s="15"/>
    </row>
    <row r="263" spans="2:17" x14ac:dyDescent="0.25">
      <c r="B263" s="15"/>
      <c r="C263" s="15"/>
      <c r="D263" s="15"/>
      <c r="E263" s="15"/>
      <c r="F263" s="15"/>
      <c r="G263" s="15"/>
      <c r="H263" s="15"/>
      <c r="I263" s="15"/>
      <c r="J263" s="15"/>
      <c r="K263" s="15"/>
      <c r="L263" s="15"/>
      <c r="M263" s="15"/>
      <c r="N263" s="15"/>
      <c r="O263" s="15"/>
      <c r="P263" s="15"/>
      <c r="Q263" s="15"/>
    </row>
    <row r="264" spans="2:17" x14ac:dyDescent="0.25">
      <c r="B264" s="15"/>
      <c r="C264" s="15"/>
      <c r="D264" s="15"/>
      <c r="E264" s="15"/>
      <c r="F264" s="15"/>
      <c r="G264" s="15"/>
      <c r="H264" s="15"/>
      <c r="I264" s="15"/>
      <c r="J264" s="15"/>
      <c r="K264" s="15"/>
      <c r="L264" s="15"/>
      <c r="M264" s="15"/>
      <c r="N264" s="15"/>
      <c r="O264" s="15"/>
      <c r="P264" s="15"/>
      <c r="Q264" s="15"/>
    </row>
    <row r="265" spans="2:17" x14ac:dyDescent="0.25">
      <c r="B265" s="15"/>
      <c r="C265" s="15"/>
      <c r="D265" s="15"/>
      <c r="E265" s="15"/>
      <c r="F265" s="15"/>
      <c r="G265" s="15"/>
      <c r="H265" s="15"/>
      <c r="I265" s="15"/>
      <c r="J265" s="15"/>
      <c r="K265" s="15"/>
      <c r="L265" s="15"/>
      <c r="M265" s="15"/>
      <c r="N265" s="15"/>
      <c r="O265" s="15"/>
      <c r="P265" s="15"/>
      <c r="Q265" s="15"/>
    </row>
    <row r="266" spans="2:17" x14ac:dyDescent="0.25">
      <c r="B266" s="15"/>
      <c r="C266" s="15"/>
      <c r="D266" s="15"/>
      <c r="E266" s="15"/>
      <c r="F266" s="15"/>
      <c r="G266" s="15"/>
      <c r="H266" s="15"/>
      <c r="I266" s="15"/>
      <c r="J266" s="15"/>
      <c r="K266" s="15"/>
      <c r="L266" s="15"/>
      <c r="M266" s="15"/>
      <c r="N266" s="15"/>
      <c r="O266" s="15"/>
      <c r="P266" s="15"/>
      <c r="Q266" s="15"/>
    </row>
    <row r="267" spans="2:17" x14ac:dyDescent="0.25">
      <c r="B267" s="15"/>
      <c r="C267" s="15"/>
      <c r="D267" s="15"/>
      <c r="E267" s="15"/>
      <c r="F267" s="15"/>
      <c r="G267" s="15"/>
      <c r="H267" s="15"/>
      <c r="I267" s="15"/>
      <c r="J267" s="15"/>
      <c r="K267" s="15"/>
      <c r="L267" s="15"/>
      <c r="M267" s="15"/>
      <c r="N267" s="15"/>
      <c r="O267" s="15"/>
      <c r="P267" s="15"/>
      <c r="Q267" s="15"/>
    </row>
    <row r="268" spans="2:17" x14ac:dyDescent="0.25">
      <c r="B268" s="15"/>
      <c r="C268" s="15"/>
      <c r="D268" s="15"/>
      <c r="E268" s="15"/>
      <c r="F268" s="15"/>
      <c r="G268" s="15"/>
      <c r="H268" s="15"/>
      <c r="I268" s="15"/>
      <c r="J268" s="15"/>
      <c r="K268" s="15"/>
      <c r="L268" s="15"/>
      <c r="M268" s="15"/>
      <c r="N268" s="15"/>
      <c r="O268" s="15"/>
      <c r="P268" s="15"/>
      <c r="Q268" s="15"/>
    </row>
    <row r="269" spans="2:17" x14ac:dyDescent="0.25">
      <c r="B269" s="15"/>
      <c r="C269" s="15"/>
      <c r="D269" s="15"/>
      <c r="E269" s="15"/>
      <c r="F269" s="15"/>
      <c r="G269" s="15"/>
      <c r="H269" s="15"/>
      <c r="I269" s="15"/>
      <c r="J269" s="15"/>
      <c r="K269" s="15"/>
      <c r="L269" s="15"/>
      <c r="M269" s="15"/>
      <c r="N269" s="15"/>
      <c r="O269" s="15"/>
      <c r="P269" s="15"/>
      <c r="Q269" s="15"/>
    </row>
    <row r="270" spans="2:17" x14ac:dyDescent="0.25">
      <c r="B270" s="15"/>
      <c r="C270" s="15"/>
      <c r="D270" s="15"/>
      <c r="E270" s="15"/>
      <c r="F270" s="15"/>
      <c r="G270" s="15"/>
      <c r="H270" s="15"/>
      <c r="I270" s="15"/>
      <c r="J270" s="15"/>
      <c r="K270" s="15"/>
      <c r="L270" s="15"/>
      <c r="M270" s="15"/>
      <c r="N270" s="15"/>
      <c r="O270" s="15"/>
      <c r="P270" s="15"/>
      <c r="Q270" s="15"/>
    </row>
    <row r="271" spans="2:17" x14ac:dyDescent="0.25">
      <c r="B271" s="15"/>
      <c r="C271" s="15"/>
      <c r="D271" s="15"/>
      <c r="E271" s="15"/>
      <c r="F271" s="15"/>
      <c r="G271" s="15"/>
      <c r="H271" s="15"/>
      <c r="I271" s="15"/>
      <c r="J271" s="15"/>
      <c r="K271" s="15"/>
      <c r="L271" s="15"/>
      <c r="M271" s="15"/>
      <c r="N271" s="15"/>
      <c r="O271" s="15"/>
      <c r="P271" s="15"/>
      <c r="Q271" s="15"/>
    </row>
    <row r="272" spans="2:17" x14ac:dyDescent="0.25">
      <c r="B272" s="15"/>
      <c r="C272" s="15"/>
      <c r="D272" s="15"/>
      <c r="E272" s="15"/>
      <c r="F272" s="15"/>
      <c r="G272" s="15"/>
      <c r="H272" s="15"/>
      <c r="I272" s="15"/>
      <c r="J272" s="15"/>
      <c r="K272" s="15"/>
      <c r="L272" s="15"/>
      <c r="M272" s="15"/>
      <c r="N272" s="15"/>
      <c r="O272" s="15"/>
      <c r="P272" s="15"/>
      <c r="Q272" s="15"/>
    </row>
    <row r="273" spans="2:17" x14ac:dyDescent="0.25">
      <c r="B273" s="15"/>
      <c r="C273" s="15"/>
      <c r="D273" s="15"/>
      <c r="E273" s="15"/>
      <c r="F273" s="15"/>
      <c r="G273" s="15"/>
      <c r="H273" s="15"/>
      <c r="I273" s="15"/>
      <c r="J273" s="15"/>
      <c r="K273" s="15"/>
      <c r="L273" s="15"/>
      <c r="M273" s="15"/>
      <c r="N273" s="15"/>
      <c r="O273" s="15"/>
      <c r="P273" s="15"/>
      <c r="Q273" s="15"/>
    </row>
    <row r="274" spans="2:17" x14ac:dyDescent="0.25">
      <c r="B274" s="15"/>
      <c r="C274" s="15"/>
      <c r="D274" s="15"/>
      <c r="E274" s="15"/>
      <c r="F274" s="15"/>
      <c r="G274" s="15"/>
      <c r="H274" s="15"/>
      <c r="I274" s="15"/>
      <c r="J274" s="15"/>
      <c r="K274" s="15"/>
      <c r="L274" s="15"/>
      <c r="M274" s="15"/>
      <c r="N274" s="15"/>
      <c r="O274" s="15"/>
      <c r="P274" s="15"/>
      <c r="Q274" s="15"/>
    </row>
    <row r="275" spans="2:17" x14ac:dyDescent="0.25">
      <c r="B275" s="15"/>
      <c r="C275" s="15"/>
      <c r="D275" s="15"/>
      <c r="E275" s="15"/>
      <c r="F275" s="15"/>
      <c r="G275" s="15"/>
      <c r="H275" s="15"/>
      <c r="I275" s="15"/>
      <c r="J275" s="15"/>
      <c r="K275" s="15"/>
      <c r="L275" s="15"/>
      <c r="M275" s="15"/>
      <c r="N275" s="15"/>
      <c r="O275" s="15"/>
      <c r="P275" s="15"/>
      <c r="Q275" s="15"/>
    </row>
    <row r="276" spans="2:17" x14ac:dyDescent="0.25">
      <c r="B276" s="15"/>
      <c r="C276" s="15"/>
      <c r="D276" s="15"/>
      <c r="E276" s="15"/>
      <c r="F276" s="15"/>
      <c r="G276" s="15"/>
      <c r="H276" s="15"/>
      <c r="I276" s="15"/>
      <c r="J276" s="15"/>
      <c r="K276" s="15"/>
      <c r="L276" s="15"/>
      <c r="M276" s="15"/>
      <c r="N276" s="15"/>
      <c r="O276" s="15"/>
      <c r="P276" s="15"/>
      <c r="Q276" s="15"/>
    </row>
    <row r="277" spans="2:17" x14ac:dyDescent="0.25">
      <c r="B277" s="15"/>
      <c r="C277" s="15"/>
      <c r="D277" s="15"/>
      <c r="E277" s="15"/>
      <c r="F277" s="15"/>
      <c r="G277" s="15"/>
      <c r="H277" s="15"/>
      <c r="I277" s="15"/>
      <c r="J277" s="15"/>
      <c r="K277" s="15"/>
      <c r="L277" s="15"/>
      <c r="M277" s="15"/>
      <c r="N277" s="15"/>
      <c r="O277" s="15"/>
      <c r="P277" s="15"/>
      <c r="Q277" s="15"/>
    </row>
    <row r="278" spans="2:17" x14ac:dyDescent="0.25">
      <c r="B278" s="15"/>
      <c r="C278" s="15"/>
      <c r="D278" s="15"/>
      <c r="E278" s="15"/>
      <c r="F278" s="15"/>
      <c r="G278" s="15"/>
      <c r="H278" s="15"/>
      <c r="I278" s="15"/>
      <c r="J278" s="15"/>
      <c r="K278" s="15"/>
      <c r="L278" s="15"/>
      <c r="M278" s="15"/>
      <c r="N278" s="15"/>
      <c r="O278" s="15"/>
      <c r="P278" s="15"/>
      <c r="Q278" s="15"/>
    </row>
    <row r="279" spans="2:17" x14ac:dyDescent="0.25">
      <c r="B279" s="15"/>
      <c r="C279" s="15"/>
      <c r="D279" s="15"/>
      <c r="E279" s="15"/>
      <c r="F279" s="15"/>
      <c r="G279" s="15"/>
      <c r="H279" s="15"/>
      <c r="I279" s="15"/>
      <c r="J279" s="15"/>
      <c r="K279" s="15"/>
      <c r="L279" s="15"/>
      <c r="M279" s="15"/>
      <c r="N279" s="15"/>
      <c r="O279" s="15"/>
      <c r="P279" s="15"/>
      <c r="Q279" s="15"/>
    </row>
    <row r="280" spans="2:17" x14ac:dyDescent="0.25">
      <c r="B280" s="15"/>
      <c r="C280" s="15"/>
      <c r="D280" s="15"/>
      <c r="E280" s="15"/>
      <c r="F280" s="15"/>
      <c r="G280" s="15"/>
      <c r="H280" s="15"/>
      <c r="I280" s="15"/>
      <c r="J280" s="15"/>
      <c r="K280" s="15"/>
      <c r="L280" s="15"/>
      <c r="M280" s="15"/>
      <c r="N280" s="15"/>
      <c r="O280" s="15"/>
      <c r="P280" s="15"/>
      <c r="Q280" s="15"/>
    </row>
    <row r="281" spans="2:17" x14ac:dyDescent="0.25">
      <c r="B281" s="15"/>
      <c r="C281" s="15"/>
      <c r="D281" s="15"/>
      <c r="E281" s="15"/>
      <c r="F281" s="15"/>
      <c r="G281" s="15"/>
      <c r="H281" s="15"/>
      <c r="I281" s="15"/>
      <c r="J281" s="15"/>
      <c r="K281" s="15"/>
      <c r="L281" s="15"/>
      <c r="M281" s="15"/>
      <c r="N281" s="15"/>
      <c r="O281" s="15"/>
      <c r="P281" s="15"/>
      <c r="Q281" s="15"/>
    </row>
    <row r="282" spans="2:17" x14ac:dyDescent="0.25">
      <c r="B282" s="15"/>
      <c r="C282" s="15"/>
      <c r="D282" s="15"/>
      <c r="E282" s="15"/>
      <c r="F282" s="15"/>
      <c r="G282" s="15"/>
      <c r="H282" s="15"/>
      <c r="I282" s="15"/>
      <c r="J282" s="15"/>
      <c r="K282" s="15"/>
      <c r="L282" s="15"/>
      <c r="M282" s="15"/>
      <c r="N282" s="15"/>
      <c r="O282" s="15"/>
      <c r="P282" s="15"/>
      <c r="Q282" s="15"/>
    </row>
    <row r="283" spans="2:17" x14ac:dyDescent="0.25">
      <c r="B283" s="15"/>
      <c r="C283" s="15"/>
      <c r="D283" s="15"/>
      <c r="E283" s="15"/>
      <c r="F283" s="15"/>
      <c r="G283" s="15"/>
      <c r="H283" s="15"/>
      <c r="I283" s="15"/>
      <c r="J283" s="15"/>
      <c r="K283" s="15"/>
      <c r="L283" s="15"/>
      <c r="M283" s="15"/>
      <c r="N283" s="15"/>
      <c r="O283" s="15"/>
      <c r="P283" s="15"/>
      <c r="Q283" s="15"/>
    </row>
    <row r="284" spans="2:17" x14ac:dyDescent="0.25">
      <c r="B284" s="15"/>
      <c r="C284" s="15"/>
      <c r="D284" s="15"/>
      <c r="E284" s="15"/>
      <c r="F284" s="15"/>
      <c r="G284" s="15"/>
      <c r="H284" s="15"/>
      <c r="I284" s="15"/>
      <c r="J284" s="15"/>
      <c r="K284" s="15"/>
      <c r="L284" s="15"/>
      <c r="M284" s="15"/>
      <c r="N284" s="15"/>
      <c r="O284" s="15"/>
      <c r="P284" s="15"/>
      <c r="Q284" s="15"/>
    </row>
    <row r="285" spans="2:17" x14ac:dyDescent="0.25">
      <c r="B285" s="15"/>
      <c r="C285" s="15"/>
      <c r="D285" s="15"/>
      <c r="E285" s="15"/>
      <c r="F285" s="15"/>
      <c r="G285" s="15"/>
      <c r="H285" s="15"/>
      <c r="I285" s="15"/>
      <c r="J285" s="15"/>
      <c r="K285" s="15"/>
      <c r="L285" s="15"/>
      <c r="M285" s="15"/>
      <c r="N285" s="15"/>
      <c r="O285" s="15"/>
      <c r="P285" s="15"/>
      <c r="Q285" s="15"/>
    </row>
    <row r="286" spans="2:17" x14ac:dyDescent="0.25">
      <c r="B286" s="15"/>
      <c r="C286" s="15"/>
      <c r="D286" s="15"/>
      <c r="E286" s="15"/>
      <c r="F286" s="15"/>
      <c r="G286" s="15"/>
      <c r="H286" s="15"/>
      <c r="I286" s="15"/>
      <c r="J286" s="15"/>
      <c r="K286" s="15"/>
      <c r="L286" s="15"/>
      <c r="M286" s="15"/>
      <c r="N286" s="15"/>
      <c r="O286" s="15"/>
      <c r="P286" s="15"/>
      <c r="Q286" s="15"/>
    </row>
    <row r="287" spans="2:17" x14ac:dyDescent="0.25">
      <c r="B287" s="15"/>
      <c r="C287" s="15"/>
      <c r="D287" s="15"/>
      <c r="E287" s="15"/>
      <c r="F287" s="15"/>
      <c r="G287" s="15"/>
      <c r="H287" s="15"/>
      <c r="I287" s="15"/>
      <c r="J287" s="15"/>
      <c r="K287" s="15"/>
      <c r="L287" s="15"/>
      <c r="M287" s="15"/>
      <c r="N287" s="15"/>
      <c r="O287" s="15"/>
      <c r="P287" s="15"/>
      <c r="Q287" s="15"/>
    </row>
    <row r="288" spans="2:17" x14ac:dyDescent="0.25">
      <c r="B288" s="15"/>
      <c r="C288" s="15"/>
      <c r="D288" s="15"/>
      <c r="E288" s="15"/>
      <c r="F288" s="15"/>
      <c r="G288" s="15"/>
      <c r="H288" s="15"/>
      <c r="I288" s="15"/>
      <c r="J288" s="15"/>
      <c r="K288" s="15"/>
      <c r="L288" s="15"/>
      <c r="M288" s="15"/>
      <c r="N288" s="15"/>
      <c r="O288" s="15"/>
      <c r="P288" s="15"/>
      <c r="Q288" s="15"/>
    </row>
    <row r="289" spans="2:17" x14ac:dyDescent="0.25">
      <c r="B289" s="15"/>
      <c r="C289" s="15"/>
      <c r="D289" s="15"/>
      <c r="E289" s="15"/>
      <c r="F289" s="15"/>
      <c r="G289" s="15"/>
      <c r="H289" s="15"/>
      <c r="I289" s="15"/>
      <c r="J289" s="15"/>
      <c r="K289" s="15"/>
      <c r="L289" s="15"/>
      <c r="M289" s="15"/>
      <c r="N289" s="15"/>
      <c r="O289" s="15"/>
      <c r="P289" s="15"/>
      <c r="Q289" s="15"/>
    </row>
    <row r="290" spans="2:17" x14ac:dyDescent="0.25">
      <c r="B290" s="15"/>
      <c r="C290" s="15"/>
      <c r="D290" s="15"/>
      <c r="E290" s="15"/>
      <c r="F290" s="15"/>
      <c r="G290" s="15"/>
      <c r="H290" s="15"/>
      <c r="I290" s="15"/>
      <c r="J290" s="15"/>
      <c r="K290" s="15"/>
      <c r="L290" s="15"/>
      <c r="M290" s="15"/>
      <c r="N290" s="15"/>
      <c r="O290" s="15"/>
      <c r="P290" s="15"/>
      <c r="Q290" s="15"/>
    </row>
    <row r="291" spans="2:17" x14ac:dyDescent="0.25">
      <c r="B291" s="15"/>
      <c r="C291" s="15"/>
      <c r="D291" s="15"/>
      <c r="E291" s="15"/>
      <c r="F291" s="15"/>
      <c r="G291" s="15"/>
      <c r="H291" s="15"/>
      <c r="I291" s="15"/>
      <c r="J291" s="15"/>
      <c r="K291" s="15"/>
      <c r="L291" s="15"/>
      <c r="M291" s="15"/>
      <c r="N291" s="15"/>
      <c r="O291" s="15"/>
      <c r="P291" s="15"/>
      <c r="Q291" s="15"/>
    </row>
    <row r="292" spans="2:17" x14ac:dyDescent="0.25">
      <c r="B292" s="15"/>
      <c r="C292" s="15"/>
      <c r="D292" s="15"/>
      <c r="E292" s="15"/>
      <c r="F292" s="15"/>
      <c r="G292" s="15"/>
      <c r="H292" s="15"/>
      <c r="I292" s="15"/>
      <c r="J292" s="15"/>
      <c r="K292" s="15"/>
      <c r="L292" s="15"/>
      <c r="M292" s="15"/>
      <c r="N292" s="15"/>
      <c r="O292" s="15"/>
      <c r="P292" s="15"/>
      <c r="Q292" s="15"/>
    </row>
    <row r="293" spans="2:17" x14ac:dyDescent="0.25">
      <c r="B293" s="15"/>
      <c r="C293" s="15"/>
      <c r="D293" s="15"/>
      <c r="E293" s="15"/>
      <c r="F293" s="15"/>
      <c r="G293" s="15"/>
      <c r="H293" s="15"/>
      <c r="I293" s="15"/>
      <c r="J293" s="15"/>
      <c r="K293" s="15"/>
      <c r="L293" s="15"/>
      <c r="M293" s="15"/>
      <c r="N293" s="15"/>
      <c r="O293" s="15"/>
      <c r="P293" s="15"/>
      <c r="Q293" s="15"/>
    </row>
    <row r="294" spans="2:17" x14ac:dyDescent="0.25">
      <c r="B294" s="15"/>
      <c r="C294" s="15"/>
      <c r="D294" s="15"/>
      <c r="E294" s="15"/>
      <c r="F294" s="15"/>
      <c r="G294" s="15"/>
      <c r="H294" s="15"/>
      <c r="I294" s="15"/>
      <c r="J294" s="15"/>
      <c r="K294" s="15"/>
      <c r="L294" s="15"/>
      <c r="M294" s="15"/>
      <c r="N294" s="15"/>
      <c r="O294" s="15"/>
      <c r="P294" s="15"/>
      <c r="Q294" s="15"/>
    </row>
    <row r="295" spans="2:17" x14ac:dyDescent="0.25">
      <c r="B295" s="15"/>
      <c r="C295" s="15"/>
      <c r="D295" s="15"/>
      <c r="E295" s="15"/>
      <c r="F295" s="15"/>
      <c r="G295" s="15"/>
      <c r="H295" s="15"/>
      <c r="I295" s="15"/>
      <c r="J295" s="15"/>
      <c r="K295" s="15"/>
      <c r="L295" s="15"/>
      <c r="M295" s="15"/>
      <c r="N295" s="15"/>
      <c r="O295" s="15"/>
      <c r="P295" s="15"/>
      <c r="Q295" s="15"/>
    </row>
    <row r="296" spans="2:17" x14ac:dyDescent="0.25">
      <c r="B296" s="15"/>
      <c r="C296" s="15"/>
      <c r="D296" s="15"/>
      <c r="E296" s="15"/>
      <c r="F296" s="15"/>
      <c r="G296" s="15"/>
      <c r="H296" s="15"/>
      <c r="I296" s="15"/>
      <c r="J296" s="15"/>
      <c r="K296" s="15"/>
      <c r="L296" s="15"/>
      <c r="M296" s="15"/>
      <c r="N296" s="15"/>
      <c r="O296" s="15"/>
      <c r="P296" s="15"/>
      <c r="Q296" s="15"/>
    </row>
    <row r="297" spans="2:17" x14ac:dyDescent="0.25">
      <c r="B297" s="15"/>
      <c r="C297" s="15"/>
      <c r="D297" s="15"/>
      <c r="E297" s="15"/>
      <c r="F297" s="15"/>
      <c r="G297" s="15"/>
      <c r="H297" s="15"/>
      <c r="I297" s="15"/>
      <c r="J297" s="15"/>
      <c r="K297" s="15"/>
      <c r="L297" s="15"/>
      <c r="M297" s="15"/>
      <c r="N297" s="15"/>
      <c r="O297" s="15"/>
      <c r="P297" s="15"/>
      <c r="Q297" s="15"/>
    </row>
    <row r="298" spans="2:17" x14ac:dyDescent="0.25">
      <c r="B298" s="15"/>
      <c r="C298" s="15"/>
      <c r="D298" s="15"/>
      <c r="E298" s="15"/>
      <c r="F298" s="15"/>
      <c r="G298" s="15"/>
      <c r="H298" s="15"/>
      <c r="I298" s="15"/>
      <c r="J298" s="15"/>
      <c r="K298" s="15"/>
      <c r="L298" s="15"/>
      <c r="M298" s="15"/>
      <c r="N298" s="15"/>
      <c r="O298" s="15"/>
      <c r="P298" s="15"/>
      <c r="Q298" s="15"/>
    </row>
    <row r="299" spans="2:17" x14ac:dyDescent="0.25">
      <c r="B299" s="15"/>
      <c r="C299" s="15"/>
      <c r="D299" s="15"/>
      <c r="E299" s="15"/>
      <c r="F299" s="15"/>
      <c r="G299" s="15"/>
      <c r="H299" s="15"/>
      <c r="I299" s="15"/>
      <c r="J299" s="15"/>
      <c r="K299" s="15"/>
      <c r="L299" s="15"/>
      <c r="M299" s="15"/>
      <c r="N299" s="15"/>
      <c r="O299" s="15"/>
      <c r="P299" s="15"/>
      <c r="Q299" s="15"/>
    </row>
    <row r="300" spans="2:17" x14ac:dyDescent="0.25">
      <c r="B300" s="15"/>
      <c r="C300" s="15"/>
      <c r="D300" s="15"/>
      <c r="E300" s="15"/>
      <c r="F300" s="15"/>
      <c r="G300" s="15"/>
      <c r="H300" s="15"/>
      <c r="I300" s="15"/>
      <c r="J300" s="15"/>
      <c r="K300" s="15"/>
      <c r="L300" s="15"/>
      <c r="M300" s="15"/>
      <c r="N300" s="15"/>
      <c r="O300" s="15"/>
      <c r="P300" s="15"/>
      <c r="Q300" s="15"/>
    </row>
    <row r="301" spans="2:17" x14ac:dyDescent="0.25">
      <c r="B301" s="15"/>
      <c r="C301" s="15"/>
      <c r="D301" s="15"/>
      <c r="E301" s="15"/>
      <c r="F301" s="15"/>
      <c r="G301" s="15"/>
      <c r="H301" s="15"/>
      <c r="I301" s="15"/>
      <c r="J301" s="15"/>
      <c r="K301" s="15"/>
      <c r="L301" s="15"/>
      <c r="M301" s="15"/>
      <c r="N301" s="15"/>
      <c r="O301" s="15"/>
      <c r="P301" s="15"/>
      <c r="Q301" s="15"/>
    </row>
    <row r="302" spans="2:17" x14ac:dyDescent="0.25">
      <c r="B302" s="15"/>
      <c r="C302" s="15"/>
      <c r="D302" s="15"/>
      <c r="E302" s="15"/>
      <c r="F302" s="15"/>
      <c r="G302" s="15"/>
      <c r="H302" s="15"/>
      <c r="I302" s="15"/>
      <c r="J302" s="15"/>
      <c r="K302" s="15"/>
      <c r="L302" s="15"/>
      <c r="M302" s="15"/>
      <c r="N302" s="15"/>
      <c r="O302" s="15"/>
      <c r="P302" s="15"/>
      <c r="Q302" s="15"/>
    </row>
    <row r="303" spans="2:17" x14ac:dyDescent="0.25">
      <c r="B303" s="15"/>
      <c r="C303" s="15"/>
      <c r="D303" s="15"/>
      <c r="E303" s="15"/>
      <c r="F303" s="15"/>
      <c r="G303" s="15"/>
      <c r="H303" s="15"/>
      <c r="I303" s="15"/>
      <c r="J303" s="15"/>
      <c r="K303" s="15"/>
      <c r="L303" s="15"/>
      <c r="M303" s="15"/>
      <c r="N303" s="15"/>
      <c r="O303" s="15"/>
      <c r="P303" s="15"/>
      <c r="Q303" s="15"/>
    </row>
    <row r="304" spans="2:17" x14ac:dyDescent="0.25">
      <c r="B304" s="15"/>
      <c r="C304" s="15"/>
      <c r="D304" s="15"/>
      <c r="E304" s="15"/>
      <c r="F304" s="15"/>
      <c r="G304" s="15"/>
      <c r="H304" s="15"/>
      <c r="I304" s="15"/>
      <c r="J304" s="15"/>
      <c r="K304" s="15"/>
      <c r="L304" s="15"/>
      <c r="M304" s="15"/>
      <c r="N304" s="15"/>
      <c r="O304" s="15"/>
      <c r="P304" s="15"/>
      <c r="Q304" s="15"/>
    </row>
    <row r="305" spans="2:17" x14ac:dyDescent="0.25">
      <c r="B305" s="15"/>
      <c r="C305" s="15"/>
      <c r="D305" s="15"/>
      <c r="E305" s="15"/>
      <c r="F305" s="15"/>
      <c r="G305" s="15"/>
      <c r="H305" s="15"/>
      <c r="I305" s="15"/>
      <c r="J305" s="15"/>
      <c r="K305" s="15"/>
      <c r="L305" s="15"/>
      <c r="M305" s="15"/>
      <c r="N305" s="15"/>
      <c r="O305" s="15"/>
      <c r="P305" s="15"/>
      <c r="Q305" s="15"/>
    </row>
    <row r="306" spans="2:17" x14ac:dyDescent="0.25">
      <c r="B306" s="15"/>
      <c r="C306" s="15"/>
      <c r="D306" s="15"/>
      <c r="E306" s="15"/>
      <c r="F306" s="15"/>
      <c r="G306" s="15"/>
      <c r="H306" s="15"/>
      <c r="I306" s="15"/>
      <c r="J306" s="15"/>
      <c r="K306" s="15"/>
      <c r="L306" s="15"/>
      <c r="M306" s="15"/>
      <c r="N306" s="15"/>
      <c r="O306" s="15"/>
      <c r="P306" s="15"/>
      <c r="Q306" s="15"/>
    </row>
    <row r="307" spans="2:17" x14ac:dyDescent="0.25">
      <c r="B307" s="15"/>
      <c r="C307" s="15"/>
      <c r="D307" s="15"/>
      <c r="E307" s="15"/>
      <c r="F307" s="15"/>
      <c r="G307" s="15"/>
      <c r="H307" s="15"/>
      <c r="I307" s="15"/>
      <c r="J307" s="15"/>
      <c r="K307" s="15"/>
      <c r="L307" s="15"/>
      <c r="M307" s="15"/>
      <c r="N307" s="15"/>
      <c r="O307" s="15"/>
      <c r="P307" s="15"/>
      <c r="Q307" s="15"/>
    </row>
    <row r="308" spans="2:17" x14ac:dyDescent="0.25">
      <c r="B308" s="15"/>
      <c r="C308" s="15"/>
      <c r="D308" s="15"/>
      <c r="E308" s="15"/>
      <c r="F308" s="15"/>
      <c r="G308" s="15"/>
      <c r="H308" s="15"/>
      <c r="I308" s="15"/>
      <c r="J308" s="15"/>
      <c r="K308" s="15"/>
      <c r="L308" s="15"/>
      <c r="M308" s="15"/>
      <c r="N308" s="15"/>
      <c r="O308" s="15"/>
      <c r="P308" s="15"/>
      <c r="Q308" s="15"/>
    </row>
    <row r="309" spans="2:17" x14ac:dyDescent="0.25">
      <c r="B309" s="15"/>
      <c r="C309" s="15"/>
      <c r="D309" s="15"/>
      <c r="E309" s="15"/>
      <c r="F309" s="15"/>
      <c r="G309" s="15"/>
      <c r="H309" s="15"/>
      <c r="I309" s="15"/>
      <c r="J309" s="15"/>
      <c r="K309" s="15"/>
      <c r="L309" s="15"/>
      <c r="M309" s="15"/>
      <c r="N309" s="15"/>
      <c r="O309" s="15"/>
      <c r="P309" s="15"/>
      <c r="Q309" s="15"/>
    </row>
    <row r="310" spans="2:17" x14ac:dyDescent="0.25">
      <c r="B310" s="15"/>
      <c r="C310" s="15"/>
      <c r="D310" s="15"/>
      <c r="E310" s="15"/>
      <c r="F310" s="15"/>
      <c r="G310" s="15"/>
      <c r="H310" s="15"/>
      <c r="I310" s="15"/>
      <c r="J310" s="15"/>
      <c r="K310" s="15"/>
      <c r="L310" s="15"/>
      <c r="M310" s="15"/>
      <c r="N310" s="15"/>
      <c r="O310" s="15"/>
      <c r="P310" s="15"/>
      <c r="Q310" s="15"/>
    </row>
    <row r="311" spans="2:17" x14ac:dyDescent="0.25">
      <c r="B311" s="15"/>
      <c r="C311" s="15"/>
      <c r="D311" s="15"/>
      <c r="E311" s="15"/>
      <c r="F311" s="15"/>
      <c r="G311" s="15"/>
      <c r="H311" s="15"/>
      <c r="I311" s="15"/>
      <c r="J311" s="15"/>
      <c r="K311" s="15"/>
      <c r="L311" s="15"/>
      <c r="M311" s="15"/>
      <c r="N311" s="15"/>
      <c r="O311" s="15"/>
      <c r="P311" s="15"/>
      <c r="Q311" s="15"/>
    </row>
    <row r="312" spans="2:17" x14ac:dyDescent="0.25">
      <c r="B312" s="15"/>
      <c r="C312" s="15"/>
      <c r="D312" s="15"/>
      <c r="E312" s="15"/>
      <c r="F312" s="15"/>
      <c r="G312" s="15"/>
      <c r="H312" s="15"/>
      <c r="I312" s="15"/>
      <c r="J312" s="15"/>
      <c r="K312" s="15"/>
      <c r="L312" s="15"/>
      <c r="M312" s="15"/>
      <c r="N312" s="15"/>
      <c r="O312" s="15"/>
      <c r="P312" s="15"/>
      <c r="Q312" s="15"/>
    </row>
    <row r="313" spans="2:17" x14ac:dyDescent="0.25">
      <c r="B313" s="15"/>
      <c r="C313" s="15"/>
      <c r="D313" s="15"/>
      <c r="E313" s="15"/>
      <c r="F313" s="15"/>
      <c r="G313" s="15"/>
      <c r="H313" s="15"/>
      <c r="I313" s="15"/>
      <c r="J313" s="15"/>
      <c r="K313" s="15"/>
      <c r="L313" s="15"/>
      <c r="M313" s="15"/>
      <c r="N313" s="15"/>
      <c r="O313" s="15"/>
      <c r="P313" s="15"/>
      <c r="Q313" s="15"/>
    </row>
    <row r="314" spans="2:17" x14ac:dyDescent="0.25">
      <c r="B314" s="15"/>
      <c r="C314" s="15"/>
      <c r="D314" s="15"/>
      <c r="E314" s="15"/>
      <c r="F314" s="15"/>
      <c r="G314" s="15"/>
      <c r="H314" s="15"/>
      <c r="I314" s="15"/>
      <c r="J314" s="15"/>
      <c r="K314" s="15"/>
      <c r="L314" s="15"/>
      <c r="M314" s="15"/>
      <c r="N314" s="15"/>
      <c r="O314" s="15"/>
      <c r="P314" s="15"/>
      <c r="Q314" s="15"/>
    </row>
    <row r="315" spans="2:17" x14ac:dyDescent="0.25">
      <c r="B315" s="15"/>
      <c r="C315" s="15"/>
      <c r="D315" s="15"/>
      <c r="E315" s="15"/>
      <c r="F315" s="15"/>
      <c r="G315" s="15"/>
      <c r="H315" s="15"/>
      <c r="I315" s="15"/>
      <c r="J315" s="15"/>
      <c r="K315" s="15"/>
      <c r="L315" s="15"/>
      <c r="M315" s="15"/>
      <c r="N315" s="15"/>
      <c r="O315" s="15"/>
      <c r="P315" s="15"/>
      <c r="Q315" s="15"/>
    </row>
    <row r="316" spans="2:17" x14ac:dyDescent="0.25">
      <c r="B316" s="15"/>
      <c r="C316" s="15"/>
      <c r="D316" s="15"/>
      <c r="E316" s="15"/>
      <c r="F316" s="15"/>
      <c r="G316" s="15"/>
      <c r="H316" s="15"/>
      <c r="I316" s="15"/>
      <c r="J316" s="15"/>
      <c r="K316" s="15"/>
      <c r="L316" s="15"/>
      <c r="M316" s="15"/>
      <c r="N316" s="15"/>
      <c r="O316" s="15"/>
      <c r="P316" s="15"/>
      <c r="Q316" s="15"/>
    </row>
    <row r="317" spans="2:17" x14ac:dyDescent="0.25">
      <c r="B317" s="15"/>
      <c r="C317" s="15"/>
      <c r="D317" s="15"/>
      <c r="E317" s="15"/>
      <c r="F317" s="15"/>
      <c r="G317" s="15"/>
      <c r="H317" s="15"/>
      <c r="I317" s="15"/>
      <c r="J317" s="15"/>
      <c r="K317" s="15"/>
      <c r="L317" s="15"/>
      <c r="M317" s="15"/>
      <c r="N317" s="15"/>
      <c r="O317" s="15"/>
      <c r="P317" s="15"/>
      <c r="Q317" s="15"/>
    </row>
    <row r="318" spans="2:17" x14ac:dyDescent="0.25">
      <c r="B318" s="15"/>
      <c r="C318" s="15"/>
      <c r="D318" s="15"/>
      <c r="E318" s="15"/>
      <c r="F318" s="15"/>
      <c r="G318" s="15"/>
      <c r="H318" s="15"/>
      <c r="I318" s="15"/>
      <c r="J318" s="15"/>
      <c r="K318" s="15"/>
      <c r="L318" s="15"/>
      <c r="M318" s="15"/>
      <c r="N318" s="15"/>
      <c r="O318" s="15"/>
      <c r="P318" s="15"/>
      <c r="Q318" s="15"/>
    </row>
    <row r="319" spans="2:17" x14ac:dyDescent="0.25">
      <c r="B319" s="15"/>
      <c r="C319" s="15"/>
      <c r="D319" s="15"/>
      <c r="E319" s="15"/>
      <c r="F319" s="15"/>
      <c r="G319" s="15"/>
      <c r="H319" s="15"/>
      <c r="I319" s="15"/>
      <c r="J319" s="15"/>
      <c r="K319" s="15"/>
      <c r="L319" s="15"/>
      <c r="M319" s="15"/>
      <c r="N319" s="15"/>
      <c r="O319" s="15"/>
      <c r="P319" s="15"/>
      <c r="Q319" s="15"/>
    </row>
    <row r="320" spans="2:17" x14ac:dyDescent="0.25">
      <c r="B320" s="15"/>
      <c r="C320" s="15"/>
      <c r="D320" s="15"/>
      <c r="E320" s="15"/>
      <c r="F320" s="15"/>
      <c r="G320" s="15"/>
      <c r="H320" s="15"/>
      <c r="I320" s="15"/>
      <c r="J320" s="15"/>
      <c r="K320" s="15"/>
      <c r="L320" s="15"/>
      <c r="M320" s="15"/>
      <c r="N320" s="15"/>
      <c r="O320" s="15"/>
      <c r="P320" s="15"/>
      <c r="Q320" s="15"/>
    </row>
    <row r="321" spans="2:17" x14ac:dyDescent="0.25">
      <c r="B321" s="15"/>
      <c r="C321" s="15"/>
      <c r="D321" s="15"/>
      <c r="E321" s="15"/>
      <c r="F321" s="15"/>
      <c r="G321" s="15"/>
      <c r="H321" s="15"/>
      <c r="I321" s="15"/>
      <c r="J321" s="15"/>
      <c r="K321" s="15"/>
      <c r="L321" s="15"/>
      <c r="M321" s="15"/>
      <c r="N321" s="15"/>
      <c r="O321" s="15"/>
      <c r="P321" s="15"/>
      <c r="Q321" s="15"/>
    </row>
    <row r="322" spans="2:17" x14ac:dyDescent="0.25">
      <c r="B322" s="15"/>
      <c r="C322" s="15"/>
      <c r="D322" s="15"/>
      <c r="E322" s="15"/>
      <c r="F322" s="15"/>
      <c r="G322" s="15"/>
      <c r="H322" s="15"/>
      <c r="I322" s="15"/>
      <c r="J322" s="15"/>
      <c r="K322" s="15"/>
      <c r="L322" s="15"/>
      <c r="M322" s="15"/>
      <c r="N322" s="15"/>
      <c r="O322" s="15"/>
      <c r="P322" s="15"/>
      <c r="Q322" s="15"/>
    </row>
    <row r="323" spans="2:17" x14ac:dyDescent="0.25">
      <c r="B323" s="15"/>
      <c r="C323" s="15"/>
      <c r="D323" s="15"/>
      <c r="E323" s="15"/>
      <c r="F323" s="15"/>
      <c r="G323" s="15"/>
      <c r="H323" s="15"/>
      <c r="I323" s="15"/>
      <c r="J323" s="15"/>
      <c r="K323" s="15"/>
      <c r="L323" s="15"/>
      <c r="M323" s="15"/>
      <c r="N323" s="15"/>
      <c r="O323" s="15"/>
      <c r="P323" s="15"/>
      <c r="Q323" s="15"/>
    </row>
    <row r="324" spans="2:17" x14ac:dyDescent="0.25">
      <c r="B324" s="15"/>
      <c r="C324" s="15"/>
      <c r="D324" s="15"/>
      <c r="E324" s="15"/>
      <c r="F324" s="15"/>
      <c r="G324" s="15"/>
      <c r="H324" s="15"/>
      <c r="I324" s="15"/>
      <c r="J324" s="15"/>
      <c r="K324" s="15"/>
      <c r="L324" s="15"/>
      <c r="M324" s="15"/>
      <c r="N324" s="15"/>
      <c r="O324" s="15"/>
      <c r="P324" s="15"/>
      <c r="Q324" s="15"/>
    </row>
    <row r="325" spans="2:17" x14ac:dyDescent="0.25">
      <c r="B325" s="15"/>
      <c r="C325" s="15"/>
      <c r="D325" s="15"/>
      <c r="E325" s="15"/>
      <c r="F325" s="15"/>
      <c r="G325" s="15"/>
      <c r="H325" s="15"/>
      <c r="I325" s="15"/>
      <c r="J325" s="15"/>
      <c r="K325" s="15"/>
      <c r="L325" s="15"/>
      <c r="M325" s="15"/>
      <c r="N325" s="15"/>
      <c r="O325" s="15"/>
      <c r="P325" s="15"/>
      <c r="Q325" s="15"/>
    </row>
    <row r="326" spans="2:17" x14ac:dyDescent="0.25">
      <c r="B326" s="15"/>
      <c r="C326" s="15"/>
      <c r="D326" s="15"/>
      <c r="E326" s="15"/>
      <c r="F326" s="15"/>
      <c r="G326" s="15"/>
      <c r="H326" s="15"/>
      <c r="I326" s="15"/>
      <c r="J326" s="15"/>
      <c r="K326" s="15"/>
      <c r="L326" s="15"/>
      <c r="M326" s="15"/>
      <c r="N326" s="15"/>
      <c r="O326" s="15"/>
      <c r="P326" s="15"/>
      <c r="Q326" s="15"/>
    </row>
    <row r="327" spans="2:17" x14ac:dyDescent="0.25">
      <c r="B327" s="15"/>
      <c r="C327" s="15"/>
      <c r="D327" s="15"/>
      <c r="E327" s="15"/>
      <c r="F327" s="15"/>
      <c r="G327" s="15"/>
      <c r="H327" s="15"/>
      <c r="I327" s="15"/>
      <c r="J327" s="15"/>
      <c r="K327" s="15"/>
      <c r="L327" s="15"/>
      <c r="M327" s="15"/>
      <c r="N327" s="15"/>
      <c r="O327" s="15"/>
      <c r="P327" s="15"/>
      <c r="Q327" s="15"/>
    </row>
    <row r="328" spans="2:17" x14ac:dyDescent="0.25">
      <c r="B328" s="15"/>
      <c r="C328" s="15"/>
      <c r="D328" s="15"/>
      <c r="E328" s="15"/>
      <c r="F328" s="15"/>
      <c r="G328" s="15"/>
      <c r="H328" s="15"/>
      <c r="I328" s="15"/>
      <c r="J328" s="15"/>
      <c r="K328" s="15"/>
      <c r="L328" s="15"/>
      <c r="M328" s="15"/>
      <c r="N328" s="15"/>
      <c r="O328" s="15"/>
      <c r="P328" s="15"/>
      <c r="Q328" s="15"/>
    </row>
    <row r="329" spans="2:17" x14ac:dyDescent="0.25">
      <c r="B329" s="15"/>
      <c r="C329" s="15"/>
      <c r="D329" s="15"/>
      <c r="E329" s="15"/>
      <c r="F329" s="15"/>
      <c r="G329" s="15"/>
      <c r="H329" s="15"/>
      <c r="I329" s="15"/>
      <c r="J329" s="15"/>
      <c r="K329" s="15"/>
      <c r="L329" s="15"/>
      <c r="M329" s="15"/>
      <c r="N329" s="15"/>
      <c r="O329" s="15"/>
      <c r="P329" s="15"/>
      <c r="Q329" s="15"/>
    </row>
    <row r="330" spans="2:17" x14ac:dyDescent="0.25">
      <c r="B330" s="15"/>
      <c r="C330" s="15"/>
      <c r="D330" s="15"/>
      <c r="E330" s="15"/>
      <c r="F330" s="15"/>
      <c r="G330" s="15"/>
      <c r="H330" s="15"/>
      <c r="I330" s="15"/>
      <c r="J330" s="15"/>
      <c r="K330" s="15"/>
      <c r="L330" s="15"/>
      <c r="M330" s="15"/>
      <c r="N330" s="15"/>
      <c r="O330" s="15"/>
      <c r="P330" s="15"/>
      <c r="Q330" s="15"/>
    </row>
    <row r="331" spans="2:17" x14ac:dyDescent="0.25">
      <c r="B331" s="15"/>
      <c r="C331" s="15"/>
      <c r="D331" s="15"/>
      <c r="E331" s="15"/>
      <c r="F331" s="15"/>
      <c r="G331" s="15"/>
      <c r="H331" s="15"/>
      <c r="I331" s="15"/>
      <c r="J331" s="15"/>
      <c r="K331" s="15"/>
      <c r="L331" s="15"/>
      <c r="M331" s="15"/>
      <c r="N331" s="15"/>
      <c r="O331" s="15"/>
      <c r="P331" s="15"/>
      <c r="Q331" s="15"/>
    </row>
    <row r="332" spans="2:17" x14ac:dyDescent="0.25">
      <c r="B332" s="15"/>
      <c r="C332" s="15"/>
      <c r="D332" s="15"/>
      <c r="E332" s="15"/>
      <c r="F332" s="15"/>
      <c r="G332" s="15"/>
      <c r="H332" s="15"/>
      <c r="I332" s="15"/>
      <c r="J332" s="15"/>
      <c r="K332" s="15"/>
      <c r="L332" s="15"/>
      <c r="M332" s="15"/>
      <c r="N332" s="15"/>
      <c r="O332" s="15"/>
      <c r="P332" s="15"/>
      <c r="Q332" s="15"/>
    </row>
    <row r="333" spans="2:17" x14ac:dyDescent="0.25">
      <c r="B333" s="15"/>
      <c r="C333" s="15"/>
      <c r="D333" s="15"/>
      <c r="E333" s="15"/>
      <c r="F333" s="15"/>
      <c r="G333" s="15"/>
      <c r="H333" s="15"/>
      <c r="I333" s="15"/>
      <c r="J333" s="15"/>
      <c r="K333" s="15"/>
      <c r="L333" s="15"/>
      <c r="M333" s="15"/>
      <c r="N333" s="15"/>
      <c r="O333" s="15"/>
      <c r="P333" s="15"/>
      <c r="Q333" s="15"/>
    </row>
    <row r="334" spans="2:17" x14ac:dyDescent="0.25">
      <c r="B334" s="15"/>
      <c r="C334" s="15"/>
      <c r="D334" s="15"/>
      <c r="E334" s="15"/>
      <c r="F334" s="15"/>
      <c r="G334" s="15"/>
      <c r="H334" s="15"/>
      <c r="I334" s="15"/>
      <c r="J334" s="15"/>
      <c r="K334" s="15"/>
      <c r="L334" s="15"/>
      <c r="M334" s="15"/>
      <c r="N334" s="15"/>
      <c r="O334" s="15"/>
      <c r="P334" s="15"/>
      <c r="Q334" s="15"/>
    </row>
    <row r="335" spans="2:17" x14ac:dyDescent="0.25">
      <c r="B335" s="15"/>
      <c r="C335" s="15"/>
      <c r="D335" s="15"/>
      <c r="E335" s="15"/>
      <c r="F335" s="15"/>
      <c r="G335" s="15"/>
      <c r="H335" s="15"/>
      <c r="I335" s="15"/>
      <c r="J335" s="15"/>
      <c r="K335" s="15"/>
      <c r="L335" s="15"/>
      <c r="M335" s="15"/>
      <c r="N335" s="15"/>
      <c r="O335" s="15"/>
      <c r="P335" s="15"/>
      <c r="Q335" s="15"/>
    </row>
    <row r="336" spans="2:17" x14ac:dyDescent="0.25">
      <c r="B336" s="15"/>
      <c r="C336" s="15"/>
      <c r="D336" s="15"/>
      <c r="E336" s="15"/>
      <c r="F336" s="15"/>
      <c r="G336" s="15"/>
      <c r="H336" s="15"/>
      <c r="I336" s="15"/>
      <c r="J336" s="15"/>
      <c r="K336" s="15"/>
      <c r="L336" s="15"/>
      <c r="M336" s="15"/>
      <c r="N336" s="15"/>
      <c r="O336" s="15"/>
      <c r="P336" s="15"/>
      <c r="Q336" s="15"/>
    </row>
    <row r="337" spans="2:17" x14ac:dyDescent="0.25">
      <c r="B337" s="15"/>
      <c r="C337" s="15"/>
      <c r="D337" s="15"/>
      <c r="E337" s="15"/>
      <c r="F337" s="15"/>
      <c r="G337" s="15"/>
      <c r="H337" s="15"/>
      <c r="I337" s="15"/>
      <c r="J337" s="15"/>
      <c r="K337" s="15"/>
      <c r="L337" s="15"/>
      <c r="M337" s="15"/>
      <c r="N337" s="15"/>
      <c r="O337" s="15"/>
      <c r="P337" s="15"/>
      <c r="Q337" s="15"/>
    </row>
    <row r="338" spans="2:17" x14ac:dyDescent="0.25">
      <c r="B338" s="15"/>
      <c r="C338" s="15"/>
      <c r="D338" s="15"/>
      <c r="E338" s="15"/>
      <c r="F338" s="15"/>
      <c r="G338" s="15"/>
      <c r="H338" s="15"/>
      <c r="I338" s="15"/>
      <c r="J338" s="15"/>
      <c r="K338" s="15"/>
      <c r="L338" s="15"/>
      <c r="M338" s="15"/>
      <c r="N338" s="15"/>
      <c r="O338" s="15"/>
      <c r="P338" s="15"/>
      <c r="Q338" s="15"/>
    </row>
    <row r="339" spans="2:17" x14ac:dyDescent="0.25">
      <c r="B339" s="15"/>
      <c r="C339" s="15"/>
      <c r="D339" s="15"/>
      <c r="E339" s="15"/>
      <c r="F339" s="15"/>
      <c r="G339" s="15"/>
      <c r="H339" s="15"/>
      <c r="I339" s="15"/>
      <c r="J339" s="15"/>
      <c r="K339" s="15"/>
      <c r="L339" s="15"/>
      <c r="M339" s="15"/>
      <c r="N339" s="15"/>
      <c r="O339" s="15"/>
      <c r="P339" s="15"/>
      <c r="Q339" s="15"/>
    </row>
    <row r="340" spans="2:17" x14ac:dyDescent="0.25">
      <c r="B340" s="15"/>
      <c r="C340" s="15"/>
      <c r="D340" s="15"/>
      <c r="E340" s="15"/>
      <c r="F340" s="15"/>
      <c r="G340" s="15"/>
      <c r="H340" s="15"/>
      <c r="I340" s="15"/>
      <c r="J340" s="15"/>
      <c r="K340" s="15"/>
      <c r="L340" s="15"/>
      <c r="M340" s="15"/>
      <c r="N340" s="15"/>
      <c r="O340" s="15"/>
      <c r="P340" s="15"/>
      <c r="Q340" s="15"/>
    </row>
    <row r="341" spans="2:17" x14ac:dyDescent="0.25">
      <c r="B341" s="15"/>
      <c r="C341" s="15"/>
      <c r="D341" s="15"/>
      <c r="E341" s="15"/>
      <c r="F341" s="15"/>
      <c r="G341" s="15"/>
      <c r="H341" s="15"/>
      <c r="I341" s="15"/>
      <c r="J341" s="15"/>
      <c r="K341" s="15"/>
      <c r="L341" s="15"/>
      <c r="M341" s="15"/>
      <c r="N341" s="15"/>
      <c r="O341" s="15"/>
      <c r="P341" s="15"/>
      <c r="Q341" s="15"/>
    </row>
    <row r="342" spans="2:17" x14ac:dyDescent="0.25">
      <c r="B342" s="15"/>
      <c r="C342" s="15"/>
      <c r="D342" s="15"/>
      <c r="E342" s="15"/>
      <c r="F342" s="15"/>
      <c r="G342" s="15"/>
      <c r="H342" s="15"/>
      <c r="I342" s="15"/>
      <c r="J342" s="15"/>
      <c r="K342" s="15"/>
      <c r="L342" s="15"/>
      <c r="M342" s="15"/>
      <c r="N342" s="15"/>
      <c r="O342" s="15"/>
      <c r="P342" s="15"/>
      <c r="Q342" s="15"/>
    </row>
    <row r="343" spans="2:17" x14ac:dyDescent="0.25">
      <c r="B343" s="15"/>
      <c r="C343" s="15"/>
      <c r="D343" s="15"/>
      <c r="E343" s="15"/>
      <c r="F343" s="15"/>
      <c r="G343" s="15"/>
      <c r="H343" s="15"/>
      <c r="I343" s="15"/>
      <c r="J343" s="15"/>
      <c r="K343" s="15"/>
      <c r="L343" s="15"/>
      <c r="M343" s="15"/>
      <c r="N343" s="15"/>
      <c r="O343" s="15"/>
      <c r="P343" s="15"/>
      <c r="Q343" s="15"/>
    </row>
    <row r="344" spans="2:17" x14ac:dyDescent="0.25">
      <c r="B344" s="15"/>
      <c r="C344" s="15"/>
      <c r="D344" s="15"/>
      <c r="E344" s="15"/>
      <c r="F344" s="15"/>
      <c r="G344" s="15"/>
      <c r="H344" s="15"/>
      <c r="I344" s="15"/>
      <c r="J344" s="15"/>
      <c r="K344" s="15"/>
      <c r="L344" s="15"/>
      <c r="M344" s="15"/>
      <c r="N344" s="15"/>
      <c r="O344" s="15"/>
      <c r="P344" s="15"/>
      <c r="Q344" s="15"/>
    </row>
    <row r="345" spans="2:17" x14ac:dyDescent="0.25">
      <c r="B345" s="15"/>
      <c r="C345" s="15"/>
      <c r="D345" s="15"/>
      <c r="E345" s="15"/>
      <c r="F345" s="15"/>
      <c r="G345" s="15"/>
      <c r="H345" s="15"/>
      <c r="I345" s="15"/>
      <c r="J345" s="15"/>
      <c r="K345" s="15"/>
      <c r="L345" s="15"/>
      <c r="M345" s="15"/>
      <c r="N345" s="15"/>
      <c r="O345" s="15"/>
      <c r="P345" s="15"/>
      <c r="Q345" s="15"/>
    </row>
    <row r="346" spans="2:17" x14ac:dyDescent="0.25">
      <c r="B346" s="15"/>
      <c r="C346" s="15"/>
      <c r="D346" s="15"/>
      <c r="E346" s="15"/>
      <c r="F346" s="15"/>
      <c r="G346" s="15"/>
      <c r="H346" s="15"/>
      <c r="I346" s="15"/>
      <c r="J346" s="15"/>
      <c r="K346" s="15"/>
      <c r="L346" s="15"/>
      <c r="M346" s="15"/>
      <c r="N346" s="15"/>
      <c r="O346" s="15"/>
      <c r="P346" s="15"/>
      <c r="Q346" s="15"/>
    </row>
    <row r="347" spans="2:17" x14ac:dyDescent="0.25">
      <c r="B347" s="15"/>
      <c r="C347" s="15"/>
      <c r="D347" s="15"/>
      <c r="E347" s="15"/>
      <c r="F347" s="15"/>
      <c r="G347" s="15"/>
      <c r="H347" s="15"/>
      <c r="I347" s="15"/>
      <c r="J347" s="15"/>
      <c r="K347" s="15"/>
      <c r="L347" s="15"/>
      <c r="M347" s="15"/>
      <c r="N347" s="15"/>
      <c r="O347" s="15"/>
      <c r="P347" s="15"/>
      <c r="Q347" s="15"/>
    </row>
    <row r="348" spans="2:17" x14ac:dyDescent="0.25">
      <c r="B348" s="15"/>
      <c r="C348" s="15"/>
      <c r="D348" s="15"/>
      <c r="E348" s="15"/>
      <c r="F348" s="15"/>
      <c r="G348" s="15"/>
      <c r="H348" s="15"/>
      <c r="I348" s="15"/>
      <c r="J348" s="15"/>
      <c r="K348" s="15"/>
      <c r="L348" s="15"/>
      <c r="M348" s="15"/>
      <c r="N348" s="15"/>
      <c r="O348" s="15"/>
      <c r="P348" s="15"/>
      <c r="Q348" s="15"/>
    </row>
    <row r="349" spans="2:17" x14ac:dyDescent="0.25">
      <c r="B349" s="15"/>
      <c r="C349" s="15"/>
      <c r="D349" s="15"/>
      <c r="E349" s="15"/>
      <c r="F349" s="15"/>
      <c r="G349" s="15"/>
      <c r="H349" s="15"/>
      <c r="I349" s="15"/>
      <c r="J349" s="15"/>
      <c r="K349" s="15"/>
      <c r="L349" s="15"/>
      <c r="M349" s="15"/>
      <c r="N349" s="15"/>
      <c r="O349" s="15"/>
      <c r="P349" s="15"/>
      <c r="Q349" s="15"/>
    </row>
    <row r="350" spans="2:17" x14ac:dyDescent="0.25">
      <c r="B350" s="15"/>
      <c r="C350" s="15"/>
      <c r="D350" s="15"/>
      <c r="E350" s="15"/>
      <c r="F350" s="15"/>
      <c r="G350" s="15"/>
      <c r="H350" s="15"/>
      <c r="I350" s="15"/>
      <c r="J350" s="15"/>
      <c r="K350" s="15"/>
      <c r="L350" s="15"/>
      <c r="M350" s="15"/>
      <c r="N350" s="15"/>
      <c r="O350" s="15"/>
      <c r="P350" s="15"/>
      <c r="Q350" s="15"/>
    </row>
    <row r="351" spans="2:17" x14ac:dyDescent="0.25">
      <c r="B351" s="15"/>
      <c r="C351" s="15"/>
      <c r="D351" s="15"/>
      <c r="E351" s="15"/>
      <c r="F351" s="15"/>
      <c r="G351" s="15"/>
      <c r="H351" s="15"/>
      <c r="I351" s="15"/>
      <c r="J351" s="15"/>
      <c r="K351" s="15"/>
      <c r="L351" s="15"/>
      <c r="M351" s="15"/>
      <c r="N351" s="15"/>
      <c r="O351" s="15"/>
      <c r="P351" s="15"/>
      <c r="Q351" s="15"/>
    </row>
    <row r="352" spans="2:17" x14ac:dyDescent="0.25">
      <c r="B352" s="15"/>
      <c r="C352" s="15"/>
      <c r="D352" s="15"/>
      <c r="E352" s="15"/>
      <c r="F352" s="15"/>
      <c r="G352" s="15"/>
      <c r="H352" s="15"/>
      <c r="I352" s="15"/>
      <c r="J352" s="15"/>
      <c r="K352" s="15"/>
      <c r="L352" s="15"/>
      <c r="M352" s="15"/>
      <c r="N352" s="15"/>
      <c r="O352" s="15"/>
      <c r="P352" s="15"/>
      <c r="Q352" s="15"/>
    </row>
    <row r="353" spans="2:17" x14ac:dyDescent="0.25">
      <c r="B353" s="15"/>
      <c r="C353" s="15"/>
      <c r="D353" s="15"/>
      <c r="E353" s="15"/>
      <c r="F353" s="15"/>
      <c r="G353" s="15"/>
      <c r="H353" s="15"/>
      <c r="I353" s="15"/>
      <c r="J353" s="15"/>
      <c r="K353" s="15"/>
      <c r="L353" s="15"/>
      <c r="M353" s="15"/>
      <c r="N353" s="15"/>
      <c r="O353" s="15"/>
      <c r="P353" s="15"/>
      <c r="Q353" s="15"/>
    </row>
    <row r="354" spans="2:17" x14ac:dyDescent="0.25">
      <c r="B354" s="15"/>
      <c r="C354" s="15"/>
      <c r="D354" s="15"/>
      <c r="E354" s="15"/>
      <c r="F354" s="15"/>
      <c r="G354" s="15"/>
      <c r="H354" s="15"/>
      <c r="I354" s="15"/>
      <c r="J354" s="15"/>
      <c r="K354" s="15"/>
      <c r="L354" s="15"/>
      <c r="M354" s="15"/>
      <c r="N354" s="15"/>
      <c r="O354" s="15"/>
      <c r="P354" s="15"/>
      <c r="Q354" s="15"/>
    </row>
    <row r="355" spans="2:17" x14ac:dyDescent="0.25">
      <c r="B355" s="15"/>
      <c r="C355" s="15"/>
      <c r="D355" s="15"/>
      <c r="E355" s="15"/>
      <c r="F355" s="15"/>
      <c r="G355" s="15"/>
      <c r="H355" s="15"/>
      <c r="I355" s="15"/>
      <c r="J355" s="15"/>
      <c r="K355" s="15"/>
      <c r="L355" s="15"/>
      <c r="M355" s="15"/>
      <c r="N355" s="15"/>
      <c r="O355" s="15"/>
      <c r="P355" s="15"/>
      <c r="Q355" s="15"/>
    </row>
    <row r="356" spans="2:17" x14ac:dyDescent="0.25">
      <c r="B356" s="15"/>
      <c r="C356" s="15"/>
      <c r="D356" s="15"/>
      <c r="E356" s="15"/>
      <c r="F356" s="15"/>
      <c r="G356" s="15"/>
      <c r="H356" s="15"/>
      <c r="I356" s="15"/>
      <c r="J356" s="15"/>
      <c r="K356" s="15"/>
      <c r="L356" s="15"/>
      <c r="M356" s="15"/>
      <c r="N356" s="15"/>
      <c r="O356" s="15"/>
      <c r="P356" s="15"/>
      <c r="Q356" s="15"/>
    </row>
    <row r="357" spans="2:17" x14ac:dyDescent="0.25">
      <c r="B357" s="15"/>
      <c r="C357" s="15"/>
      <c r="D357" s="15"/>
      <c r="E357" s="15"/>
      <c r="F357" s="15"/>
      <c r="G357" s="15"/>
      <c r="H357" s="15"/>
      <c r="I357" s="15"/>
      <c r="J357" s="15"/>
      <c r="K357" s="15"/>
      <c r="L357" s="15"/>
      <c r="M357" s="15"/>
      <c r="N357" s="15"/>
      <c r="O357" s="15"/>
      <c r="P357" s="15"/>
      <c r="Q357" s="15"/>
    </row>
    <row r="358" spans="2:17" x14ac:dyDescent="0.25">
      <c r="B358" s="15"/>
      <c r="C358" s="15"/>
      <c r="D358" s="15"/>
      <c r="E358" s="15"/>
      <c r="F358" s="15"/>
      <c r="G358" s="15"/>
      <c r="H358" s="15"/>
      <c r="I358" s="15"/>
      <c r="J358" s="15"/>
      <c r="K358" s="15"/>
      <c r="L358" s="15"/>
      <c r="M358" s="15"/>
      <c r="N358" s="15"/>
      <c r="O358" s="15"/>
      <c r="P358" s="15"/>
      <c r="Q358" s="15"/>
    </row>
    <row r="359" spans="2:17" x14ac:dyDescent="0.25">
      <c r="B359" s="15"/>
      <c r="C359" s="15"/>
      <c r="D359" s="15"/>
      <c r="E359" s="15"/>
      <c r="F359" s="15"/>
      <c r="G359" s="15"/>
      <c r="H359" s="15"/>
      <c r="I359" s="15"/>
      <c r="J359" s="15"/>
      <c r="K359" s="15"/>
      <c r="L359" s="15"/>
      <c r="M359" s="15"/>
      <c r="N359" s="15"/>
      <c r="O359" s="15"/>
      <c r="P359" s="15"/>
      <c r="Q359" s="15"/>
    </row>
    <row r="360" spans="2:17" x14ac:dyDescent="0.25">
      <c r="B360" s="15"/>
      <c r="C360" s="15"/>
      <c r="D360" s="15"/>
      <c r="E360" s="15"/>
      <c r="F360" s="15"/>
      <c r="G360" s="15"/>
      <c r="H360" s="15"/>
      <c r="I360" s="15"/>
      <c r="J360" s="15"/>
      <c r="K360" s="15"/>
      <c r="L360" s="15"/>
      <c r="M360" s="15"/>
      <c r="N360" s="15"/>
      <c r="O360" s="15"/>
      <c r="P360" s="15"/>
      <c r="Q360" s="15"/>
    </row>
    <row r="361" spans="2:17" x14ac:dyDescent="0.25">
      <c r="B361" s="15"/>
      <c r="C361" s="15"/>
      <c r="D361" s="15"/>
      <c r="E361" s="15"/>
      <c r="F361" s="15"/>
      <c r="G361" s="15"/>
      <c r="H361" s="15"/>
      <c r="I361" s="15"/>
      <c r="J361" s="15"/>
      <c r="K361" s="15"/>
      <c r="L361" s="15"/>
      <c r="M361" s="15"/>
      <c r="N361" s="15"/>
      <c r="O361" s="15"/>
      <c r="P361" s="15"/>
      <c r="Q361" s="15"/>
    </row>
    <row r="362" spans="2:17" x14ac:dyDescent="0.25">
      <c r="B362" s="15"/>
      <c r="C362" s="15"/>
      <c r="D362" s="15"/>
      <c r="E362" s="15"/>
      <c r="F362" s="15"/>
      <c r="G362" s="15"/>
      <c r="H362" s="15"/>
      <c r="I362" s="15"/>
      <c r="J362" s="15"/>
      <c r="K362" s="15"/>
      <c r="L362" s="15"/>
      <c r="M362" s="15"/>
      <c r="N362" s="15"/>
      <c r="O362" s="15"/>
      <c r="P362" s="15"/>
      <c r="Q362" s="15"/>
    </row>
    <row r="363" spans="2:17" x14ac:dyDescent="0.25">
      <c r="B363" s="15"/>
      <c r="C363" s="15"/>
      <c r="D363" s="15"/>
      <c r="E363" s="15"/>
      <c r="F363" s="15"/>
      <c r="G363" s="15"/>
      <c r="H363" s="15"/>
      <c r="I363" s="15"/>
      <c r="J363" s="15"/>
      <c r="K363" s="15"/>
      <c r="L363" s="15"/>
      <c r="M363" s="15"/>
      <c r="N363" s="15"/>
      <c r="O363" s="15"/>
      <c r="P363" s="15"/>
      <c r="Q363" s="15"/>
    </row>
    <row r="364" spans="2:17" x14ac:dyDescent="0.25">
      <c r="B364" s="15"/>
      <c r="C364" s="15"/>
      <c r="D364" s="15"/>
      <c r="E364" s="15"/>
      <c r="F364" s="15"/>
      <c r="G364" s="15"/>
      <c r="H364" s="15"/>
      <c r="I364" s="15"/>
      <c r="J364" s="15"/>
      <c r="K364" s="15"/>
      <c r="L364" s="15"/>
      <c r="M364" s="15"/>
      <c r="N364" s="15"/>
      <c r="O364" s="15"/>
      <c r="P364" s="15"/>
      <c r="Q364" s="15"/>
    </row>
    <row r="365" spans="2:17" x14ac:dyDescent="0.25">
      <c r="B365" s="15"/>
      <c r="C365" s="15"/>
      <c r="D365" s="15"/>
      <c r="E365" s="15"/>
      <c r="F365" s="15"/>
      <c r="G365" s="15"/>
      <c r="H365" s="15"/>
      <c r="I365" s="15"/>
      <c r="J365" s="15"/>
      <c r="K365" s="15"/>
      <c r="L365" s="15"/>
      <c r="M365" s="15"/>
      <c r="N365" s="15"/>
      <c r="O365" s="15"/>
      <c r="P365" s="15"/>
      <c r="Q365" s="15"/>
    </row>
    <row r="366" spans="2:17" x14ac:dyDescent="0.25">
      <c r="B366" s="15"/>
      <c r="C366" s="15"/>
      <c r="D366" s="15"/>
      <c r="E366" s="15"/>
      <c r="F366" s="15"/>
      <c r="G366" s="15"/>
      <c r="H366" s="15"/>
      <c r="I366" s="15"/>
      <c r="J366" s="15"/>
      <c r="K366" s="15"/>
      <c r="L366" s="15"/>
      <c r="M366" s="15"/>
      <c r="N366" s="15"/>
      <c r="O366" s="15"/>
      <c r="P366" s="15"/>
      <c r="Q366" s="15"/>
    </row>
    <row r="367" spans="2:17" x14ac:dyDescent="0.25">
      <c r="B367" s="15"/>
      <c r="C367" s="15"/>
      <c r="D367" s="15"/>
      <c r="E367" s="15"/>
      <c r="F367" s="15"/>
      <c r="G367" s="15"/>
      <c r="H367" s="15"/>
      <c r="I367" s="15"/>
      <c r="J367" s="15"/>
      <c r="K367" s="15"/>
      <c r="L367" s="15"/>
      <c r="M367" s="15"/>
      <c r="N367" s="15"/>
      <c r="O367" s="15"/>
      <c r="P367" s="15"/>
      <c r="Q367" s="15"/>
    </row>
    <row r="368" spans="2:17" x14ac:dyDescent="0.25">
      <c r="B368" s="15"/>
      <c r="C368" s="15"/>
      <c r="D368" s="15"/>
      <c r="E368" s="15"/>
      <c r="F368" s="15"/>
      <c r="G368" s="15"/>
      <c r="H368" s="15"/>
      <c r="I368" s="15"/>
      <c r="J368" s="15"/>
      <c r="K368" s="15"/>
      <c r="L368" s="15"/>
      <c r="M368" s="15"/>
      <c r="N368" s="15"/>
      <c r="O368" s="15"/>
      <c r="P368" s="15"/>
      <c r="Q368" s="15"/>
    </row>
    <row r="369" spans="2:17" x14ac:dyDescent="0.25">
      <c r="B369" s="15"/>
      <c r="C369" s="15"/>
      <c r="D369" s="15"/>
      <c r="E369" s="15"/>
      <c r="F369" s="15"/>
      <c r="G369" s="15"/>
      <c r="H369" s="15"/>
      <c r="I369" s="15"/>
      <c r="J369" s="15"/>
      <c r="K369" s="15"/>
      <c r="L369" s="15"/>
      <c r="M369" s="15"/>
      <c r="N369" s="15"/>
      <c r="O369" s="15"/>
      <c r="P369" s="15"/>
      <c r="Q369" s="15"/>
    </row>
    <row r="370" spans="2:17" x14ac:dyDescent="0.25">
      <c r="B370" s="15"/>
      <c r="C370" s="15"/>
      <c r="D370" s="15"/>
      <c r="E370" s="15"/>
      <c r="F370" s="15"/>
      <c r="G370" s="15"/>
      <c r="H370" s="15"/>
      <c r="I370" s="15"/>
      <c r="J370" s="15"/>
      <c r="K370" s="15"/>
      <c r="L370" s="15"/>
      <c r="M370" s="15"/>
      <c r="N370" s="15"/>
      <c r="O370" s="15"/>
      <c r="P370" s="15"/>
      <c r="Q370" s="15"/>
    </row>
    <row r="371" spans="2:17" x14ac:dyDescent="0.25">
      <c r="B371" s="15"/>
      <c r="C371" s="15"/>
      <c r="D371" s="15"/>
      <c r="E371" s="15"/>
      <c r="F371" s="15"/>
      <c r="G371" s="15"/>
      <c r="H371" s="15"/>
      <c r="I371" s="15"/>
      <c r="J371" s="15"/>
      <c r="K371" s="15"/>
      <c r="L371" s="15"/>
      <c r="M371" s="15"/>
      <c r="N371" s="15"/>
      <c r="O371" s="15"/>
      <c r="P371" s="15"/>
      <c r="Q371" s="15"/>
    </row>
    <row r="372" spans="2:17" x14ac:dyDescent="0.25">
      <c r="B372" s="15"/>
      <c r="C372" s="15"/>
      <c r="D372" s="15"/>
      <c r="E372" s="15"/>
      <c r="F372" s="15"/>
      <c r="G372" s="15"/>
      <c r="H372" s="15"/>
      <c r="I372" s="15"/>
      <c r="J372" s="15"/>
      <c r="K372" s="15"/>
      <c r="L372" s="15"/>
      <c r="M372" s="15"/>
      <c r="N372" s="15"/>
      <c r="O372" s="15"/>
      <c r="P372" s="15"/>
      <c r="Q372" s="15"/>
    </row>
    <row r="373" spans="2:17" x14ac:dyDescent="0.25">
      <c r="B373" s="15"/>
      <c r="C373" s="15"/>
      <c r="D373" s="15"/>
      <c r="E373" s="15"/>
      <c r="F373" s="15"/>
      <c r="G373" s="15"/>
      <c r="H373" s="15"/>
      <c r="I373" s="15"/>
      <c r="J373" s="15"/>
      <c r="K373" s="15"/>
      <c r="L373" s="15"/>
      <c r="M373" s="15"/>
      <c r="N373" s="15"/>
      <c r="O373" s="15"/>
      <c r="P373" s="15"/>
      <c r="Q373" s="15"/>
    </row>
    <row r="374" spans="2:17" x14ac:dyDescent="0.25">
      <c r="B374" s="15"/>
      <c r="C374" s="15"/>
      <c r="D374" s="15"/>
      <c r="E374" s="15"/>
      <c r="F374" s="15"/>
      <c r="G374" s="15"/>
      <c r="H374" s="15"/>
      <c r="I374" s="15"/>
      <c r="J374" s="15"/>
      <c r="K374" s="15"/>
      <c r="L374" s="15"/>
      <c r="M374" s="15"/>
      <c r="N374" s="15"/>
      <c r="O374" s="15"/>
      <c r="P374" s="15"/>
      <c r="Q374" s="15"/>
    </row>
    <row r="375" spans="2:17" x14ac:dyDescent="0.25">
      <c r="B375" s="15"/>
      <c r="C375" s="15"/>
      <c r="D375" s="15"/>
      <c r="E375" s="15"/>
      <c r="F375" s="15"/>
      <c r="G375" s="15"/>
      <c r="H375" s="15"/>
      <c r="I375" s="15"/>
      <c r="J375" s="15"/>
      <c r="K375" s="15"/>
      <c r="L375" s="15"/>
      <c r="M375" s="15"/>
      <c r="N375" s="15"/>
      <c r="O375" s="15"/>
      <c r="P375" s="15"/>
      <c r="Q375" s="15"/>
    </row>
    <row r="376" spans="2:17" x14ac:dyDescent="0.25">
      <c r="B376" s="15"/>
      <c r="C376" s="15"/>
      <c r="D376" s="15"/>
      <c r="E376" s="15"/>
      <c r="F376" s="15"/>
      <c r="G376" s="15"/>
      <c r="H376" s="15"/>
      <c r="I376" s="15"/>
      <c r="J376" s="15"/>
      <c r="K376" s="15"/>
      <c r="L376" s="15"/>
      <c r="M376" s="15"/>
      <c r="N376" s="15"/>
      <c r="O376" s="15"/>
      <c r="P376" s="15"/>
      <c r="Q376" s="15"/>
    </row>
    <row r="377" spans="2:17" x14ac:dyDescent="0.25">
      <c r="B377" s="15"/>
      <c r="C377" s="15"/>
      <c r="D377" s="15"/>
      <c r="E377" s="15"/>
      <c r="F377" s="15"/>
      <c r="G377" s="15"/>
      <c r="H377" s="15"/>
      <c r="I377" s="15"/>
      <c r="J377" s="15"/>
      <c r="K377" s="15"/>
      <c r="L377" s="15"/>
      <c r="M377" s="15"/>
      <c r="N377" s="15"/>
      <c r="O377" s="15"/>
      <c r="P377" s="15"/>
      <c r="Q377" s="15"/>
    </row>
    <row r="378" spans="2:17" x14ac:dyDescent="0.25">
      <c r="B378" s="15"/>
      <c r="C378" s="15"/>
      <c r="D378" s="15"/>
      <c r="E378" s="15"/>
      <c r="F378" s="15"/>
      <c r="G378" s="15"/>
      <c r="H378" s="15"/>
      <c r="I378" s="15"/>
      <c r="J378" s="15"/>
      <c r="K378" s="15"/>
      <c r="L378" s="15"/>
      <c r="M378" s="15"/>
      <c r="N378" s="15"/>
      <c r="O378" s="15"/>
      <c r="P378" s="15"/>
      <c r="Q378" s="15"/>
    </row>
    <row r="379" spans="2:17" x14ac:dyDescent="0.25">
      <c r="B379" s="15"/>
      <c r="C379" s="15"/>
      <c r="D379" s="15"/>
      <c r="E379" s="15"/>
      <c r="F379" s="15"/>
      <c r="G379" s="15"/>
      <c r="H379" s="15"/>
      <c r="I379" s="15"/>
      <c r="J379" s="15"/>
      <c r="K379" s="15"/>
      <c r="L379" s="15"/>
      <c r="M379" s="15"/>
      <c r="N379" s="15"/>
      <c r="O379" s="15"/>
      <c r="P379" s="15"/>
      <c r="Q379" s="15"/>
    </row>
    <row r="380" spans="2:17" x14ac:dyDescent="0.25">
      <c r="B380" s="15"/>
      <c r="C380" s="15"/>
      <c r="D380" s="15"/>
      <c r="E380" s="15"/>
      <c r="F380" s="15"/>
      <c r="G380" s="15"/>
      <c r="H380" s="15"/>
      <c r="I380" s="15"/>
      <c r="J380" s="15"/>
      <c r="K380" s="15"/>
      <c r="L380" s="15"/>
      <c r="M380" s="15"/>
      <c r="N380" s="15"/>
      <c r="O380" s="15"/>
      <c r="P380" s="15"/>
      <c r="Q380" s="15"/>
    </row>
    <row r="381" spans="2:17" x14ac:dyDescent="0.25">
      <c r="B381" s="15"/>
      <c r="C381" s="15"/>
      <c r="D381" s="15"/>
      <c r="E381" s="15"/>
      <c r="F381" s="15"/>
      <c r="G381" s="15"/>
      <c r="H381" s="15"/>
      <c r="I381" s="15"/>
      <c r="J381" s="15"/>
      <c r="K381" s="15"/>
      <c r="L381" s="15"/>
      <c r="M381" s="15"/>
      <c r="N381" s="15"/>
      <c r="O381" s="15"/>
      <c r="P381" s="15"/>
      <c r="Q381" s="15"/>
    </row>
    <row r="382" spans="2:17" x14ac:dyDescent="0.25">
      <c r="B382" s="15"/>
      <c r="C382" s="15"/>
      <c r="D382" s="15"/>
      <c r="E382" s="15"/>
      <c r="F382" s="15"/>
      <c r="G382" s="15"/>
      <c r="H382" s="15"/>
      <c r="I382" s="15"/>
      <c r="J382" s="15"/>
      <c r="K382" s="15"/>
      <c r="L382" s="15"/>
      <c r="M382" s="15"/>
      <c r="N382" s="15"/>
      <c r="O382" s="15"/>
      <c r="P382" s="15"/>
      <c r="Q382" s="15"/>
    </row>
    <row r="383" spans="2:17" x14ac:dyDescent="0.25">
      <c r="B383" s="15"/>
      <c r="C383" s="15"/>
      <c r="D383" s="15"/>
      <c r="E383" s="15"/>
      <c r="F383" s="15"/>
      <c r="G383" s="15"/>
      <c r="H383" s="15"/>
      <c r="I383" s="15"/>
      <c r="J383" s="15"/>
      <c r="K383" s="15"/>
      <c r="L383" s="15"/>
      <c r="M383" s="15"/>
      <c r="N383" s="15"/>
      <c r="O383" s="15"/>
      <c r="P383" s="15"/>
      <c r="Q383" s="15"/>
    </row>
    <row r="384" spans="2:17" x14ac:dyDescent="0.25">
      <c r="B384" s="15"/>
      <c r="C384" s="15"/>
      <c r="D384" s="15"/>
      <c r="E384" s="15"/>
      <c r="F384" s="15"/>
      <c r="G384" s="15"/>
      <c r="H384" s="15"/>
      <c r="I384" s="15"/>
      <c r="J384" s="15"/>
      <c r="K384" s="15"/>
      <c r="L384" s="15"/>
      <c r="M384" s="15"/>
      <c r="N384" s="15"/>
      <c r="O384" s="15"/>
      <c r="P384" s="15"/>
      <c r="Q384" s="15"/>
    </row>
    <row r="385" spans="2:17" x14ac:dyDescent="0.25">
      <c r="B385" s="15"/>
      <c r="C385" s="15"/>
      <c r="D385" s="15"/>
      <c r="E385" s="15"/>
      <c r="F385" s="15"/>
      <c r="G385" s="15"/>
      <c r="H385" s="15"/>
      <c r="I385" s="15"/>
      <c r="J385" s="15"/>
      <c r="K385" s="15"/>
      <c r="L385" s="15"/>
      <c r="M385" s="15"/>
      <c r="N385" s="15"/>
      <c r="O385" s="15"/>
      <c r="P385" s="15"/>
      <c r="Q385" s="15"/>
    </row>
    <row r="386" spans="2:17" x14ac:dyDescent="0.25">
      <c r="B386" s="15"/>
      <c r="C386" s="15"/>
      <c r="D386" s="15"/>
      <c r="E386" s="15"/>
      <c r="F386" s="15"/>
      <c r="G386" s="15"/>
      <c r="H386" s="15"/>
      <c r="I386" s="15"/>
      <c r="J386" s="15"/>
      <c r="K386" s="15"/>
      <c r="L386" s="15"/>
      <c r="M386" s="15"/>
      <c r="N386" s="15"/>
      <c r="O386" s="15"/>
      <c r="P386" s="15"/>
      <c r="Q386" s="15"/>
    </row>
    <row r="387" spans="2:17" x14ac:dyDescent="0.25">
      <c r="B387" s="15"/>
      <c r="C387" s="15"/>
      <c r="D387" s="15"/>
      <c r="E387" s="15"/>
      <c r="F387" s="15"/>
      <c r="G387" s="15"/>
      <c r="H387" s="15"/>
      <c r="I387" s="15"/>
      <c r="J387" s="15"/>
      <c r="K387" s="15"/>
      <c r="L387" s="15"/>
      <c r="M387" s="15"/>
      <c r="N387" s="15"/>
      <c r="O387" s="15"/>
      <c r="P387" s="15"/>
      <c r="Q387" s="15"/>
    </row>
    <row r="388" spans="2:17" x14ac:dyDescent="0.25">
      <c r="B388" s="15"/>
      <c r="C388" s="15"/>
      <c r="D388" s="15"/>
      <c r="E388" s="15"/>
      <c r="F388" s="15"/>
      <c r="G388" s="15"/>
      <c r="H388" s="15"/>
      <c r="I388" s="15"/>
      <c r="J388" s="15"/>
      <c r="K388" s="15"/>
      <c r="L388" s="15"/>
      <c r="M388" s="15"/>
      <c r="N388" s="15"/>
      <c r="O388" s="15"/>
      <c r="P388" s="15"/>
      <c r="Q388" s="15"/>
    </row>
    <row r="389" spans="2:17" x14ac:dyDescent="0.25">
      <c r="B389" s="15"/>
      <c r="C389" s="15"/>
      <c r="D389" s="15"/>
      <c r="E389" s="15"/>
      <c r="F389" s="15"/>
      <c r="G389" s="15"/>
      <c r="H389" s="15"/>
      <c r="I389" s="15"/>
      <c r="J389" s="15"/>
      <c r="K389" s="15"/>
      <c r="L389" s="15"/>
      <c r="M389" s="15"/>
      <c r="N389" s="15"/>
      <c r="O389" s="15"/>
      <c r="P389" s="15"/>
      <c r="Q389" s="15"/>
    </row>
    <row r="390" spans="2:17" x14ac:dyDescent="0.25">
      <c r="B390" s="15"/>
      <c r="C390" s="15"/>
      <c r="D390" s="15"/>
      <c r="E390" s="15"/>
      <c r="F390" s="15"/>
      <c r="G390" s="15"/>
      <c r="H390" s="15"/>
      <c r="I390" s="15"/>
      <c r="J390" s="15"/>
      <c r="K390" s="15"/>
      <c r="L390" s="15"/>
      <c r="M390" s="15"/>
      <c r="N390" s="15"/>
      <c r="O390" s="15"/>
      <c r="P390" s="15"/>
      <c r="Q390" s="15"/>
    </row>
    <row r="391" spans="2:17" x14ac:dyDescent="0.25">
      <c r="B391" s="15"/>
      <c r="C391" s="15"/>
      <c r="D391" s="15"/>
      <c r="E391" s="15"/>
      <c r="F391" s="15"/>
      <c r="G391" s="15"/>
      <c r="H391" s="15"/>
      <c r="I391" s="15"/>
      <c r="J391" s="15"/>
      <c r="K391" s="15"/>
      <c r="L391" s="15"/>
      <c r="M391" s="15"/>
      <c r="N391" s="15"/>
      <c r="O391" s="15"/>
      <c r="P391" s="15"/>
      <c r="Q391" s="15"/>
    </row>
    <row r="392" spans="2:17" x14ac:dyDescent="0.25">
      <c r="B392" s="15"/>
      <c r="C392" s="15"/>
      <c r="D392" s="15"/>
      <c r="E392" s="15"/>
      <c r="F392" s="15"/>
      <c r="G392" s="15"/>
      <c r="H392" s="15"/>
      <c r="I392" s="15"/>
      <c r="J392" s="15"/>
      <c r="K392" s="15"/>
      <c r="L392" s="15"/>
      <c r="M392" s="15"/>
      <c r="N392" s="15"/>
      <c r="O392" s="15"/>
      <c r="P392" s="15"/>
      <c r="Q392" s="15"/>
    </row>
    <row r="393" spans="2:17" x14ac:dyDescent="0.25">
      <c r="B393" s="15"/>
      <c r="C393" s="15"/>
      <c r="D393" s="15"/>
      <c r="E393" s="15"/>
      <c r="F393" s="15"/>
      <c r="G393" s="15"/>
      <c r="H393" s="15"/>
      <c r="I393" s="15"/>
      <c r="J393" s="15"/>
      <c r="K393" s="15"/>
      <c r="L393" s="15"/>
      <c r="M393" s="15"/>
      <c r="N393" s="15"/>
      <c r="O393" s="15"/>
      <c r="P393" s="15"/>
      <c r="Q393" s="15"/>
    </row>
    <row r="394" spans="2:17" x14ac:dyDescent="0.25">
      <c r="B394" s="15"/>
      <c r="C394" s="15"/>
      <c r="D394" s="15"/>
      <c r="E394" s="15"/>
      <c r="F394" s="15"/>
      <c r="G394" s="15"/>
      <c r="H394" s="15"/>
      <c r="I394" s="15"/>
      <c r="J394" s="15"/>
      <c r="K394" s="15"/>
      <c r="L394" s="15"/>
      <c r="M394" s="15"/>
      <c r="N394" s="15"/>
      <c r="O394" s="15"/>
      <c r="P394" s="15"/>
      <c r="Q394" s="15"/>
    </row>
    <row r="395" spans="2:17" x14ac:dyDescent="0.25">
      <c r="B395" s="15"/>
      <c r="C395" s="15"/>
      <c r="D395" s="15"/>
      <c r="E395" s="15"/>
      <c r="F395" s="15"/>
      <c r="G395" s="15"/>
      <c r="H395" s="15"/>
      <c r="I395" s="15"/>
      <c r="J395" s="15"/>
      <c r="K395" s="15"/>
      <c r="L395" s="15"/>
      <c r="M395" s="15"/>
      <c r="N395" s="15"/>
      <c r="O395" s="15"/>
      <c r="P395" s="15"/>
      <c r="Q395" s="15"/>
    </row>
    <row r="396" spans="2:17" x14ac:dyDescent="0.25">
      <c r="B396" s="15"/>
      <c r="C396" s="15"/>
      <c r="D396" s="15"/>
      <c r="E396" s="15"/>
      <c r="F396" s="15"/>
      <c r="G396" s="15"/>
      <c r="H396" s="15"/>
      <c r="I396" s="15"/>
      <c r="J396" s="15"/>
      <c r="K396" s="15"/>
      <c r="L396" s="15"/>
      <c r="M396" s="15"/>
      <c r="N396" s="15"/>
      <c r="O396" s="15"/>
      <c r="P396" s="15"/>
      <c r="Q396" s="15"/>
    </row>
    <row r="397" spans="2:17" x14ac:dyDescent="0.25">
      <c r="B397" s="15"/>
      <c r="C397" s="15"/>
      <c r="D397" s="15"/>
      <c r="E397" s="15"/>
      <c r="F397" s="15"/>
      <c r="G397" s="15"/>
      <c r="H397" s="15"/>
      <c r="I397" s="15"/>
      <c r="J397" s="15"/>
      <c r="K397" s="15"/>
      <c r="L397" s="15"/>
      <c r="M397" s="15"/>
      <c r="N397" s="15"/>
      <c r="O397" s="15"/>
      <c r="P397" s="15"/>
      <c r="Q397" s="15"/>
    </row>
    <row r="398" spans="2:17" x14ac:dyDescent="0.25">
      <c r="B398" s="15"/>
      <c r="C398" s="15"/>
      <c r="D398" s="15"/>
      <c r="E398" s="15"/>
      <c r="F398" s="15"/>
      <c r="G398" s="15"/>
      <c r="H398" s="15"/>
      <c r="I398" s="15"/>
      <c r="J398" s="15"/>
      <c r="K398" s="15"/>
      <c r="L398" s="15"/>
      <c r="M398" s="15"/>
      <c r="N398" s="15"/>
      <c r="O398" s="15"/>
      <c r="P398" s="15"/>
      <c r="Q398" s="15"/>
    </row>
    <row r="399" spans="2:17" x14ac:dyDescent="0.25">
      <c r="B399" s="15"/>
      <c r="C399" s="15"/>
      <c r="D399" s="15"/>
      <c r="E399" s="15"/>
      <c r="F399" s="15"/>
      <c r="G399" s="15"/>
      <c r="H399" s="15"/>
      <c r="I399" s="15"/>
      <c r="J399" s="15"/>
      <c r="K399" s="15"/>
      <c r="L399" s="15"/>
      <c r="M399" s="15"/>
      <c r="N399" s="15"/>
      <c r="O399" s="15"/>
      <c r="P399" s="15"/>
      <c r="Q399" s="15"/>
    </row>
    <row r="400" spans="2:17" x14ac:dyDescent="0.25">
      <c r="B400" s="15"/>
      <c r="C400" s="15"/>
      <c r="D400" s="15"/>
      <c r="E400" s="15"/>
      <c r="F400" s="15"/>
      <c r="G400" s="15"/>
      <c r="H400" s="15"/>
      <c r="I400" s="15"/>
      <c r="J400" s="15"/>
      <c r="K400" s="15"/>
      <c r="L400" s="15"/>
      <c r="M400" s="15"/>
      <c r="N400" s="15"/>
      <c r="O400" s="15"/>
      <c r="P400" s="15"/>
      <c r="Q400" s="15"/>
    </row>
    <row r="401" spans="2:17" x14ac:dyDescent="0.25">
      <c r="B401" s="15"/>
      <c r="C401" s="15"/>
      <c r="D401" s="15"/>
      <c r="E401" s="15"/>
      <c r="F401" s="15"/>
      <c r="G401" s="15"/>
      <c r="H401" s="15"/>
      <c r="I401" s="15"/>
      <c r="J401" s="15"/>
      <c r="K401" s="15"/>
      <c r="L401" s="15"/>
      <c r="M401" s="15"/>
      <c r="N401" s="15"/>
      <c r="O401" s="15"/>
      <c r="P401" s="15"/>
      <c r="Q401" s="15"/>
    </row>
    <row r="402" spans="2:17" x14ac:dyDescent="0.25">
      <c r="B402" s="15"/>
      <c r="C402" s="15"/>
      <c r="D402" s="15"/>
      <c r="E402" s="15"/>
      <c r="F402" s="15"/>
      <c r="G402" s="15"/>
      <c r="H402" s="15"/>
      <c r="I402" s="15"/>
      <c r="J402" s="15"/>
      <c r="K402" s="15"/>
      <c r="L402" s="15"/>
      <c r="M402" s="15"/>
      <c r="N402" s="15"/>
      <c r="O402" s="15"/>
      <c r="P402" s="15"/>
      <c r="Q402" s="15"/>
    </row>
    <row r="403" spans="2:17" x14ac:dyDescent="0.25">
      <c r="B403" s="15"/>
      <c r="C403" s="15"/>
      <c r="D403" s="15"/>
      <c r="E403" s="15"/>
      <c r="F403" s="15"/>
      <c r="G403" s="15"/>
      <c r="H403" s="15"/>
      <c r="I403" s="15"/>
      <c r="J403" s="15"/>
      <c r="K403" s="15"/>
      <c r="L403" s="15"/>
      <c r="M403" s="15"/>
      <c r="N403" s="15"/>
      <c r="O403" s="15"/>
      <c r="P403" s="15"/>
      <c r="Q403" s="15"/>
    </row>
    <row r="404" spans="2:17" x14ac:dyDescent="0.25">
      <c r="B404" s="15"/>
      <c r="C404" s="15"/>
      <c r="D404" s="15"/>
      <c r="E404" s="15"/>
      <c r="F404" s="15"/>
      <c r="G404" s="15"/>
      <c r="H404" s="15"/>
      <c r="I404" s="15"/>
      <c r="J404" s="15"/>
      <c r="K404" s="15"/>
      <c r="L404" s="15"/>
      <c r="M404" s="15"/>
      <c r="N404" s="15"/>
      <c r="O404" s="15"/>
      <c r="P404" s="15"/>
      <c r="Q404" s="15"/>
    </row>
    <row r="405" spans="2:17" x14ac:dyDescent="0.25">
      <c r="B405" s="15"/>
      <c r="C405" s="15"/>
      <c r="D405" s="15"/>
      <c r="E405" s="15"/>
      <c r="F405" s="15"/>
      <c r="G405" s="15"/>
      <c r="H405" s="15"/>
      <c r="I405" s="15"/>
      <c r="J405" s="15"/>
      <c r="K405" s="15"/>
      <c r="L405" s="15"/>
      <c r="M405" s="15"/>
      <c r="N405" s="15"/>
      <c r="O405" s="15"/>
      <c r="P405" s="15"/>
      <c r="Q405" s="15"/>
    </row>
    <row r="406" spans="2:17" x14ac:dyDescent="0.25">
      <c r="B406" s="15"/>
      <c r="C406" s="15"/>
      <c r="D406" s="15"/>
      <c r="E406" s="15"/>
      <c r="F406" s="15"/>
      <c r="G406" s="15"/>
      <c r="H406" s="15"/>
      <c r="I406" s="15"/>
      <c r="J406" s="15"/>
      <c r="K406" s="15"/>
      <c r="L406" s="15"/>
      <c r="M406" s="15"/>
      <c r="N406" s="15"/>
      <c r="O406" s="15"/>
      <c r="P406" s="15"/>
      <c r="Q406" s="15"/>
    </row>
    <row r="407" spans="2:17" x14ac:dyDescent="0.25">
      <c r="B407" s="15"/>
      <c r="C407" s="15"/>
      <c r="D407" s="15"/>
      <c r="E407" s="15"/>
      <c r="F407" s="15"/>
      <c r="G407" s="15"/>
      <c r="H407" s="15"/>
      <c r="I407" s="15"/>
      <c r="J407" s="15"/>
      <c r="K407" s="15"/>
      <c r="L407" s="15"/>
      <c r="M407" s="15"/>
      <c r="N407" s="15"/>
      <c r="O407" s="15"/>
      <c r="P407" s="15"/>
      <c r="Q407" s="15"/>
    </row>
    <row r="408" spans="2:17" x14ac:dyDescent="0.25">
      <c r="B408" s="15"/>
      <c r="C408" s="15"/>
      <c r="D408" s="15"/>
      <c r="E408" s="15"/>
      <c r="F408" s="15"/>
      <c r="G408" s="15"/>
      <c r="H408" s="15"/>
      <c r="I408" s="15"/>
      <c r="J408" s="15"/>
      <c r="K408" s="15"/>
      <c r="L408" s="15"/>
      <c r="M408" s="15"/>
      <c r="N408" s="15"/>
      <c r="O408" s="15"/>
      <c r="P408" s="15"/>
      <c r="Q408" s="15"/>
    </row>
    <row r="409" spans="2:17" x14ac:dyDescent="0.25">
      <c r="B409" s="15"/>
      <c r="C409" s="15"/>
      <c r="D409" s="15"/>
      <c r="E409" s="15"/>
      <c r="F409" s="15"/>
      <c r="G409" s="15"/>
      <c r="H409" s="15"/>
      <c r="I409" s="15"/>
      <c r="J409" s="15"/>
      <c r="K409" s="15"/>
      <c r="L409" s="15"/>
      <c r="M409" s="15"/>
      <c r="N409" s="15"/>
      <c r="O409" s="15"/>
      <c r="P409" s="15"/>
      <c r="Q409" s="15"/>
    </row>
    <row r="410" spans="2:17" x14ac:dyDescent="0.25">
      <c r="B410" s="15"/>
      <c r="C410" s="15"/>
      <c r="D410" s="15"/>
      <c r="E410" s="15"/>
      <c r="F410" s="15"/>
      <c r="G410" s="15"/>
      <c r="H410" s="15"/>
      <c r="I410" s="15"/>
      <c r="J410" s="15"/>
      <c r="K410" s="15"/>
      <c r="L410" s="15"/>
      <c r="M410" s="15"/>
      <c r="N410" s="15"/>
      <c r="O410" s="15"/>
      <c r="P410" s="15"/>
      <c r="Q410" s="15"/>
    </row>
    <row r="411" spans="2:17" x14ac:dyDescent="0.25">
      <c r="B411" s="15"/>
      <c r="C411" s="15"/>
      <c r="D411" s="15"/>
      <c r="E411" s="15"/>
      <c r="F411" s="15"/>
      <c r="G411" s="15"/>
      <c r="H411" s="15"/>
      <c r="I411" s="15"/>
      <c r="J411" s="15"/>
      <c r="K411" s="15"/>
      <c r="L411" s="15"/>
      <c r="M411" s="15"/>
      <c r="N411" s="15"/>
      <c r="O411" s="15"/>
      <c r="P411" s="15"/>
      <c r="Q411" s="15"/>
    </row>
    <row r="412" spans="2:17" x14ac:dyDescent="0.25">
      <c r="B412" s="15"/>
      <c r="C412" s="15"/>
      <c r="D412" s="15"/>
      <c r="E412" s="15"/>
      <c r="F412" s="15"/>
      <c r="G412" s="15"/>
      <c r="H412" s="15"/>
      <c r="I412" s="15"/>
      <c r="J412" s="15"/>
      <c r="K412" s="15"/>
      <c r="L412" s="15"/>
      <c r="M412" s="15"/>
      <c r="N412" s="15"/>
      <c r="O412" s="15"/>
      <c r="P412" s="15"/>
      <c r="Q412" s="15"/>
    </row>
    <row r="413" spans="2:17" x14ac:dyDescent="0.25">
      <c r="B413" s="15"/>
      <c r="C413" s="15"/>
      <c r="D413" s="15"/>
      <c r="E413" s="15"/>
      <c r="F413" s="15"/>
      <c r="G413" s="15"/>
      <c r="H413" s="15"/>
      <c r="I413" s="15"/>
      <c r="J413" s="15"/>
      <c r="K413" s="15"/>
      <c r="L413" s="15"/>
      <c r="M413" s="15"/>
      <c r="N413" s="15"/>
      <c r="O413" s="15"/>
      <c r="P413" s="15"/>
      <c r="Q413" s="15"/>
    </row>
    <row r="414" spans="2:17" x14ac:dyDescent="0.25">
      <c r="B414" s="15"/>
      <c r="C414" s="15"/>
      <c r="D414" s="15"/>
      <c r="E414" s="15"/>
      <c r="F414" s="15"/>
      <c r="G414" s="15"/>
      <c r="H414" s="15"/>
      <c r="I414" s="15"/>
      <c r="J414" s="15"/>
      <c r="K414" s="15"/>
      <c r="L414" s="15"/>
      <c r="M414" s="15"/>
      <c r="N414" s="15"/>
      <c r="O414" s="15"/>
      <c r="P414" s="15"/>
      <c r="Q414" s="15"/>
    </row>
    <row r="415" spans="2:17" x14ac:dyDescent="0.25">
      <c r="B415" s="15"/>
      <c r="C415" s="15"/>
      <c r="D415" s="15"/>
      <c r="E415" s="15"/>
      <c r="F415" s="15"/>
      <c r="G415" s="15"/>
      <c r="H415" s="15"/>
      <c r="I415" s="15"/>
      <c r="J415" s="15"/>
      <c r="K415" s="15"/>
      <c r="L415" s="15"/>
      <c r="M415" s="15"/>
      <c r="N415" s="15"/>
      <c r="O415" s="15"/>
      <c r="P415" s="15"/>
      <c r="Q415" s="15"/>
    </row>
    <row r="416" spans="2:17" x14ac:dyDescent="0.25">
      <c r="B416" s="15"/>
      <c r="C416" s="15"/>
      <c r="D416" s="15"/>
      <c r="E416" s="15"/>
      <c r="F416" s="15"/>
      <c r="G416" s="15"/>
      <c r="H416" s="15"/>
      <c r="I416" s="15"/>
      <c r="J416" s="15"/>
      <c r="K416" s="15"/>
      <c r="L416" s="15"/>
      <c r="M416" s="15"/>
      <c r="N416" s="15"/>
      <c r="O416" s="15"/>
      <c r="P416" s="15"/>
      <c r="Q416" s="15"/>
    </row>
    <row r="417" spans="2:17" x14ac:dyDescent="0.25">
      <c r="B417" s="15"/>
      <c r="C417" s="15"/>
      <c r="D417" s="15"/>
      <c r="E417" s="15"/>
      <c r="F417" s="15"/>
      <c r="G417" s="15"/>
      <c r="H417" s="15"/>
      <c r="I417" s="15"/>
      <c r="J417" s="15"/>
      <c r="K417" s="15"/>
      <c r="L417" s="15"/>
      <c r="M417" s="15"/>
      <c r="N417" s="15"/>
      <c r="O417" s="15"/>
      <c r="P417" s="15"/>
      <c r="Q417" s="15"/>
    </row>
    <row r="418" spans="2:17" x14ac:dyDescent="0.25">
      <c r="B418" s="15"/>
      <c r="C418" s="15"/>
      <c r="D418" s="15"/>
      <c r="E418" s="15"/>
      <c r="F418" s="15"/>
      <c r="G418" s="15"/>
      <c r="H418" s="15"/>
      <c r="I418" s="15"/>
      <c r="J418" s="15"/>
      <c r="K418" s="15"/>
      <c r="L418" s="15"/>
      <c r="M418" s="15"/>
      <c r="N418" s="15"/>
      <c r="O418" s="15"/>
      <c r="P418" s="15"/>
      <c r="Q418" s="15"/>
    </row>
    <row r="419" spans="2:17" x14ac:dyDescent="0.25">
      <c r="B419" s="15"/>
      <c r="C419" s="15"/>
      <c r="D419" s="15"/>
      <c r="E419" s="15"/>
      <c r="F419" s="15"/>
      <c r="G419" s="15"/>
      <c r="H419" s="15"/>
      <c r="I419" s="15"/>
      <c r="J419" s="15"/>
      <c r="K419" s="15"/>
      <c r="L419" s="15"/>
      <c r="M419" s="15"/>
      <c r="N419" s="15"/>
      <c r="O419" s="15"/>
      <c r="P419" s="15"/>
      <c r="Q419" s="15"/>
    </row>
    <row r="420" spans="2:17" x14ac:dyDescent="0.25">
      <c r="B420" s="15"/>
      <c r="C420" s="15"/>
      <c r="D420" s="15"/>
      <c r="E420" s="15"/>
      <c r="F420" s="15"/>
      <c r="G420" s="15"/>
      <c r="H420" s="15"/>
      <c r="I420" s="15"/>
      <c r="J420" s="15"/>
      <c r="K420" s="15"/>
      <c r="L420" s="15"/>
      <c r="M420" s="15"/>
      <c r="N420" s="15"/>
      <c r="O420" s="15"/>
      <c r="P420" s="15"/>
      <c r="Q420" s="15"/>
    </row>
    <row r="421" spans="2:17" x14ac:dyDescent="0.25">
      <c r="B421" s="15"/>
      <c r="C421" s="15"/>
      <c r="D421" s="15"/>
      <c r="E421" s="15"/>
      <c r="F421" s="15"/>
      <c r="G421" s="15"/>
      <c r="H421" s="15"/>
      <c r="I421" s="15"/>
      <c r="J421" s="15"/>
      <c r="K421" s="15"/>
      <c r="L421" s="15"/>
      <c r="M421" s="15"/>
      <c r="N421" s="15"/>
      <c r="O421" s="15"/>
      <c r="P421" s="15"/>
      <c r="Q421" s="15"/>
    </row>
    <row r="422" spans="2:17" x14ac:dyDescent="0.25">
      <c r="B422" s="15"/>
      <c r="C422" s="15"/>
      <c r="D422" s="15"/>
      <c r="E422" s="15"/>
      <c r="F422" s="15"/>
      <c r="G422" s="15"/>
      <c r="H422" s="15"/>
      <c r="I422" s="15"/>
      <c r="J422" s="15"/>
      <c r="K422" s="15"/>
      <c r="L422" s="15"/>
      <c r="M422" s="15"/>
      <c r="N422" s="15"/>
      <c r="O422" s="15"/>
      <c r="P422" s="15"/>
      <c r="Q422" s="15"/>
    </row>
    <row r="423" spans="2:17" x14ac:dyDescent="0.25">
      <c r="B423" s="15"/>
      <c r="C423" s="15"/>
      <c r="D423" s="15"/>
      <c r="E423" s="15"/>
      <c r="F423" s="15"/>
      <c r="G423" s="15"/>
      <c r="H423" s="15"/>
      <c r="I423" s="15"/>
      <c r="J423" s="15"/>
      <c r="K423" s="15"/>
      <c r="L423" s="15"/>
      <c r="M423" s="15"/>
      <c r="N423" s="15"/>
      <c r="O423" s="15"/>
      <c r="P423" s="15"/>
      <c r="Q423" s="15"/>
    </row>
    <row r="424" spans="2:17" x14ac:dyDescent="0.25">
      <c r="B424" s="15"/>
      <c r="C424" s="15"/>
      <c r="D424" s="15"/>
      <c r="E424" s="15"/>
      <c r="F424" s="15"/>
      <c r="G424" s="15"/>
      <c r="H424" s="15"/>
      <c r="I424" s="15"/>
      <c r="J424" s="15"/>
      <c r="K424" s="15"/>
      <c r="L424" s="15"/>
      <c r="M424" s="15"/>
      <c r="N424" s="15"/>
      <c r="O424" s="15"/>
      <c r="P424" s="15"/>
      <c r="Q424" s="15"/>
    </row>
    <row r="425" spans="2:17" x14ac:dyDescent="0.25">
      <c r="B425" s="15"/>
      <c r="C425" s="15"/>
      <c r="D425" s="15"/>
      <c r="E425" s="15"/>
      <c r="F425" s="15"/>
      <c r="G425" s="15"/>
      <c r="H425" s="15"/>
      <c r="I425" s="15"/>
      <c r="J425" s="15"/>
      <c r="K425" s="15"/>
      <c r="L425" s="15"/>
      <c r="M425" s="15"/>
      <c r="N425" s="15"/>
      <c r="O425" s="15"/>
      <c r="P425" s="15"/>
      <c r="Q425" s="15"/>
    </row>
    <row r="426" spans="2:17" x14ac:dyDescent="0.25">
      <c r="B426" s="15"/>
      <c r="C426" s="15"/>
      <c r="D426" s="15"/>
      <c r="E426" s="15"/>
      <c r="F426" s="15"/>
      <c r="G426" s="15"/>
      <c r="H426" s="15"/>
      <c r="I426" s="15"/>
      <c r="J426" s="15"/>
      <c r="K426" s="15"/>
      <c r="L426" s="15"/>
      <c r="M426" s="15"/>
      <c r="N426" s="15"/>
      <c r="O426" s="15"/>
      <c r="P426" s="15"/>
      <c r="Q426" s="15"/>
    </row>
    <row r="427" spans="2:17" x14ac:dyDescent="0.25">
      <c r="B427" s="15"/>
      <c r="C427" s="15"/>
      <c r="D427" s="15"/>
      <c r="E427" s="15"/>
      <c r="F427" s="15"/>
      <c r="G427" s="15"/>
      <c r="H427" s="15"/>
      <c r="I427" s="15"/>
      <c r="J427" s="15"/>
      <c r="K427" s="15"/>
      <c r="L427" s="15"/>
      <c r="M427" s="15"/>
      <c r="N427" s="15"/>
      <c r="O427" s="15"/>
      <c r="P427" s="15"/>
      <c r="Q427" s="15"/>
    </row>
    <row r="428" spans="2:17" x14ac:dyDescent="0.25">
      <c r="B428" s="15"/>
      <c r="C428" s="15"/>
      <c r="D428" s="15"/>
      <c r="E428" s="15"/>
      <c r="F428" s="15"/>
      <c r="G428" s="15"/>
      <c r="H428" s="15"/>
      <c r="I428" s="15"/>
      <c r="J428" s="15"/>
      <c r="K428" s="15"/>
      <c r="L428" s="15"/>
      <c r="M428" s="15"/>
      <c r="N428" s="15"/>
      <c r="O428" s="15"/>
      <c r="P428" s="15"/>
      <c r="Q428" s="15"/>
    </row>
    <row r="429" spans="2:17" x14ac:dyDescent="0.25">
      <c r="B429" s="15"/>
      <c r="C429" s="15"/>
      <c r="D429" s="15"/>
      <c r="E429" s="15"/>
      <c r="F429" s="15"/>
      <c r="G429" s="15"/>
      <c r="H429" s="15"/>
      <c r="I429" s="15"/>
      <c r="J429" s="15"/>
      <c r="K429" s="15"/>
      <c r="L429" s="15"/>
      <c r="M429" s="15"/>
      <c r="N429" s="15"/>
      <c r="O429" s="15"/>
      <c r="P429" s="15"/>
      <c r="Q429" s="15"/>
    </row>
    <row r="430" spans="2:17" x14ac:dyDescent="0.25">
      <c r="B430" s="15"/>
      <c r="C430" s="15"/>
      <c r="D430" s="15"/>
      <c r="E430" s="15"/>
      <c r="F430" s="15"/>
      <c r="G430" s="15"/>
      <c r="H430" s="15"/>
      <c r="I430" s="15"/>
      <c r="J430" s="15"/>
      <c r="K430" s="15"/>
      <c r="L430" s="15"/>
      <c r="M430" s="15"/>
      <c r="N430" s="15"/>
      <c r="O430" s="15"/>
      <c r="P430" s="15"/>
      <c r="Q430" s="15"/>
    </row>
    <row r="431" spans="2:17" x14ac:dyDescent="0.25">
      <c r="B431" s="15"/>
      <c r="C431" s="15"/>
      <c r="D431" s="15"/>
      <c r="E431" s="15"/>
      <c r="F431" s="15"/>
      <c r="G431" s="15"/>
      <c r="H431" s="15"/>
      <c r="I431" s="15"/>
      <c r="J431" s="15"/>
      <c r="K431" s="15"/>
      <c r="L431" s="15"/>
      <c r="M431" s="15"/>
      <c r="N431" s="15"/>
      <c r="O431" s="15"/>
      <c r="P431" s="15"/>
      <c r="Q431" s="15"/>
    </row>
    <row r="432" spans="2:17" x14ac:dyDescent="0.25">
      <c r="B432" s="15"/>
      <c r="C432" s="15"/>
      <c r="D432" s="15"/>
      <c r="E432" s="15"/>
      <c r="F432" s="15"/>
      <c r="G432" s="15"/>
      <c r="H432" s="15"/>
      <c r="I432" s="15"/>
      <c r="J432" s="15"/>
      <c r="K432" s="15"/>
      <c r="L432" s="15"/>
      <c r="M432" s="15"/>
      <c r="N432" s="15"/>
      <c r="O432" s="15"/>
      <c r="P432" s="15"/>
      <c r="Q432" s="15"/>
    </row>
    <row r="433" spans="2:17" x14ac:dyDescent="0.25">
      <c r="B433" s="15"/>
      <c r="C433" s="15"/>
      <c r="D433" s="15"/>
      <c r="E433" s="15"/>
      <c r="F433" s="15"/>
      <c r="G433" s="15"/>
      <c r="H433" s="15"/>
      <c r="I433" s="15"/>
      <c r="J433" s="15"/>
      <c r="K433" s="15"/>
      <c r="L433" s="15"/>
      <c r="M433" s="15"/>
      <c r="N433" s="15"/>
      <c r="O433" s="15"/>
      <c r="P433" s="15"/>
      <c r="Q433" s="15"/>
    </row>
    <row r="434" spans="2:17" x14ac:dyDescent="0.25">
      <c r="B434" s="15"/>
      <c r="C434" s="15"/>
      <c r="D434" s="15"/>
      <c r="E434" s="15"/>
      <c r="F434" s="15"/>
      <c r="G434" s="15"/>
      <c r="H434" s="15"/>
      <c r="I434" s="15"/>
      <c r="J434" s="15"/>
      <c r="K434" s="15"/>
      <c r="L434" s="15"/>
      <c r="M434" s="15"/>
      <c r="N434" s="15"/>
      <c r="O434" s="15"/>
      <c r="P434" s="15"/>
      <c r="Q434" s="15"/>
    </row>
    <row r="435" spans="2:17" x14ac:dyDescent="0.25">
      <c r="B435" s="15"/>
      <c r="C435" s="15"/>
      <c r="D435" s="15"/>
      <c r="E435" s="15"/>
      <c r="F435" s="15"/>
      <c r="G435" s="15"/>
      <c r="H435" s="15"/>
      <c r="I435" s="15"/>
      <c r="J435" s="15"/>
      <c r="K435" s="15"/>
      <c r="L435" s="15"/>
      <c r="M435" s="15"/>
      <c r="N435" s="15"/>
      <c r="O435" s="15"/>
      <c r="P435" s="15"/>
      <c r="Q435" s="15"/>
    </row>
    <row r="436" spans="2:17" x14ac:dyDescent="0.25">
      <c r="B436" s="15"/>
      <c r="C436" s="15"/>
      <c r="D436" s="15"/>
      <c r="E436" s="15"/>
      <c r="F436" s="15"/>
      <c r="G436" s="15"/>
      <c r="H436" s="15"/>
      <c r="I436" s="15"/>
      <c r="J436" s="15"/>
      <c r="K436" s="15"/>
      <c r="L436" s="15"/>
      <c r="M436" s="15"/>
      <c r="N436" s="15"/>
      <c r="O436" s="15"/>
      <c r="P436" s="15"/>
      <c r="Q436" s="15"/>
    </row>
    <row r="437" spans="2:17" x14ac:dyDescent="0.25">
      <c r="B437" s="15"/>
      <c r="C437" s="15"/>
      <c r="D437" s="15"/>
      <c r="E437" s="15"/>
      <c r="F437" s="15"/>
      <c r="G437" s="15"/>
      <c r="H437" s="15"/>
      <c r="I437" s="15"/>
      <c r="J437" s="15"/>
      <c r="K437" s="15"/>
      <c r="L437" s="15"/>
      <c r="M437" s="15"/>
      <c r="N437" s="15"/>
      <c r="O437" s="15"/>
      <c r="P437" s="15"/>
      <c r="Q437" s="15"/>
    </row>
    <row r="438" spans="2:17" x14ac:dyDescent="0.25">
      <c r="B438" s="15"/>
      <c r="C438" s="15"/>
      <c r="D438" s="15"/>
      <c r="E438" s="15"/>
      <c r="F438" s="15"/>
      <c r="G438" s="15"/>
      <c r="H438" s="15"/>
      <c r="I438" s="15"/>
      <c r="J438" s="15"/>
      <c r="K438" s="15"/>
      <c r="L438" s="15"/>
      <c r="M438" s="15"/>
      <c r="N438" s="15"/>
      <c r="O438" s="15"/>
      <c r="P438" s="15"/>
      <c r="Q438" s="15"/>
    </row>
    <row r="439" spans="2:17" x14ac:dyDescent="0.25">
      <c r="B439" s="15"/>
      <c r="C439" s="15"/>
      <c r="D439" s="15"/>
      <c r="E439" s="15"/>
      <c r="F439" s="15"/>
      <c r="G439" s="15"/>
      <c r="H439" s="15"/>
      <c r="I439" s="15"/>
      <c r="J439" s="15"/>
      <c r="K439" s="15"/>
      <c r="L439" s="15"/>
      <c r="M439" s="15"/>
      <c r="N439" s="15"/>
      <c r="O439" s="15"/>
      <c r="P439" s="15"/>
      <c r="Q439" s="15"/>
    </row>
    <row r="440" spans="2:17" x14ac:dyDescent="0.25">
      <c r="B440" s="15"/>
      <c r="C440" s="15"/>
      <c r="D440" s="15"/>
      <c r="E440" s="15"/>
      <c r="F440" s="15"/>
      <c r="G440" s="15"/>
      <c r="H440" s="15"/>
      <c r="I440" s="15"/>
      <c r="J440" s="15"/>
      <c r="K440" s="15"/>
      <c r="L440" s="15"/>
      <c r="M440" s="15"/>
      <c r="N440" s="15"/>
      <c r="O440" s="15"/>
      <c r="P440" s="15"/>
      <c r="Q440" s="15"/>
    </row>
    <row r="441" spans="2:17" x14ac:dyDescent="0.25">
      <c r="B441" s="15"/>
      <c r="C441" s="15"/>
      <c r="D441" s="15"/>
      <c r="E441" s="15"/>
      <c r="F441" s="15"/>
      <c r="G441" s="15"/>
      <c r="H441" s="15"/>
      <c r="I441" s="15"/>
      <c r="J441" s="15"/>
      <c r="K441" s="15"/>
      <c r="L441" s="15"/>
      <c r="M441" s="15"/>
      <c r="N441" s="15"/>
      <c r="O441" s="15"/>
      <c r="P441" s="15"/>
      <c r="Q441" s="15"/>
    </row>
    <row r="442" spans="2:17" x14ac:dyDescent="0.25">
      <c r="B442" s="15"/>
      <c r="C442" s="15"/>
      <c r="D442" s="15"/>
      <c r="E442" s="15"/>
      <c r="F442" s="15"/>
      <c r="G442" s="15"/>
      <c r="H442" s="15"/>
      <c r="I442" s="15"/>
      <c r="J442" s="15"/>
      <c r="K442" s="15"/>
      <c r="L442" s="15"/>
      <c r="M442" s="15"/>
      <c r="N442" s="15"/>
      <c r="O442" s="15"/>
      <c r="P442" s="15"/>
      <c r="Q442" s="15"/>
    </row>
    <row r="443" spans="2:17" x14ac:dyDescent="0.25">
      <c r="B443" s="15"/>
      <c r="C443" s="15"/>
      <c r="D443" s="15"/>
      <c r="E443" s="15"/>
      <c r="F443" s="15"/>
      <c r="G443" s="15"/>
      <c r="H443" s="15"/>
      <c r="I443" s="15"/>
      <c r="J443" s="15"/>
      <c r="K443" s="15"/>
      <c r="L443" s="15"/>
      <c r="M443" s="15"/>
      <c r="N443" s="15"/>
      <c r="O443" s="15"/>
      <c r="P443" s="15"/>
      <c r="Q443" s="15"/>
    </row>
    <row r="444" spans="2:17" x14ac:dyDescent="0.25">
      <c r="B444" s="15"/>
      <c r="C444" s="15"/>
      <c r="D444" s="15"/>
      <c r="E444" s="15"/>
      <c r="F444" s="15"/>
      <c r="G444" s="15"/>
      <c r="H444" s="15"/>
      <c r="I444" s="15"/>
      <c r="J444" s="15"/>
      <c r="K444" s="15"/>
      <c r="L444" s="15"/>
      <c r="M444" s="15"/>
      <c r="N444" s="15"/>
      <c r="O444" s="15"/>
      <c r="P444" s="15"/>
      <c r="Q444" s="15"/>
    </row>
    <row r="445" spans="2:17" x14ac:dyDescent="0.25">
      <c r="B445" s="15"/>
      <c r="C445" s="15"/>
      <c r="D445" s="15"/>
      <c r="E445" s="15"/>
      <c r="F445" s="15"/>
      <c r="G445" s="15"/>
      <c r="H445" s="15"/>
      <c r="I445" s="15"/>
      <c r="J445" s="15"/>
      <c r="K445" s="15"/>
      <c r="L445" s="15"/>
      <c r="M445" s="15"/>
      <c r="N445" s="15"/>
      <c r="O445" s="15"/>
      <c r="P445" s="15"/>
      <c r="Q445" s="15"/>
    </row>
    <row r="446" spans="2:17" x14ac:dyDescent="0.25">
      <c r="B446" s="15"/>
      <c r="C446" s="15"/>
      <c r="D446" s="15"/>
      <c r="E446" s="15"/>
      <c r="F446" s="15"/>
      <c r="G446" s="15"/>
      <c r="H446" s="15"/>
      <c r="I446" s="15"/>
      <c r="J446" s="15"/>
      <c r="K446" s="15"/>
      <c r="L446" s="15"/>
      <c r="M446" s="15"/>
      <c r="N446" s="15"/>
      <c r="O446" s="15"/>
      <c r="P446" s="15"/>
      <c r="Q446" s="15"/>
    </row>
    <row r="447" spans="2:17" x14ac:dyDescent="0.25">
      <c r="B447" s="15"/>
      <c r="C447" s="15"/>
      <c r="D447" s="15"/>
      <c r="E447" s="15"/>
      <c r="F447" s="15"/>
      <c r="G447" s="15"/>
      <c r="H447" s="15"/>
      <c r="I447" s="15"/>
      <c r="J447" s="15"/>
      <c r="K447" s="15"/>
      <c r="L447" s="15"/>
      <c r="M447" s="15"/>
      <c r="N447" s="15"/>
      <c r="O447" s="15"/>
      <c r="P447" s="15"/>
      <c r="Q447" s="15"/>
    </row>
    <row r="448" spans="2:17" x14ac:dyDescent="0.25">
      <c r="B448" s="15"/>
      <c r="C448" s="15"/>
      <c r="D448" s="15"/>
      <c r="E448" s="15"/>
      <c r="F448" s="15"/>
      <c r="G448" s="15"/>
      <c r="H448" s="15"/>
      <c r="I448" s="15"/>
      <c r="J448" s="15"/>
      <c r="K448" s="15"/>
      <c r="L448" s="15"/>
      <c r="M448" s="15"/>
      <c r="N448" s="15"/>
      <c r="O448" s="15"/>
      <c r="P448" s="15"/>
      <c r="Q448" s="15"/>
    </row>
    <row r="449" spans="2:17" x14ac:dyDescent="0.25">
      <c r="B449" s="15"/>
      <c r="C449" s="15"/>
      <c r="D449" s="15"/>
      <c r="E449" s="15"/>
      <c r="F449" s="15"/>
      <c r="G449" s="15"/>
      <c r="H449" s="15"/>
      <c r="I449" s="15"/>
      <c r="J449" s="15"/>
      <c r="K449" s="15"/>
      <c r="L449" s="15"/>
      <c r="M449" s="15"/>
      <c r="N449" s="15"/>
      <c r="O449" s="15"/>
      <c r="P449" s="15"/>
      <c r="Q449" s="15"/>
    </row>
    <row r="450" spans="2:17" x14ac:dyDescent="0.25">
      <c r="B450" s="15"/>
      <c r="C450" s="15"/>
      <c r="D450" s="15"/>
      <c r="E450" s="15"/>
      <c r="F450" s="15"/>
      <c r="G450" s="15"/>
      <c r="H450" s="15"/>
      <c r="I450" s="15"/>
      <c r="J450" s="15"/>
      <c r="K450" s="15"/>
      <c r="L450" s="15"/>
      <c r="M450" s="15"/>
      <c r="N450" s="15"/>
      <c r="O450" s="15"/>
      <c r="P450" s="15"/>
      <c r="Q450" s="15"/>
    </row>
    <row r="451" spans="2:17" x14ac:dyDescent="0.25">
      <c r="B451" s="15"/>
      <c r="C451" s="15"/>
      <c r="D451" s="15"/>
      <c r="E451" s="15"/>
      <c r="F451" s="15"/>
      <c r="G451" s="15"/>
      <c r="H451" s="15"/>
      <c r="I451" s="15"/>
      <c r="J451" s="15"/>
      <c r="K451" s="15"/>
      <c r="L451" s="15"/>
      <c r="M451" s="15"/>
      <c r="N451" s="15"/>
      <c r="O451" s="15"/>
      <c r="P451" s="15"/>
      <c r="Q451" s="15"/>
    </row>
    <row r="452" spans="2:17" x14ac:dyDescent="0.25">
      <c r="B452" s="15"/>
      <c r="C452" s="15"/>
      <c r="D452" s="15"/>
      <c r="E452" s="15"/>
      <c r="F452" s="15"/>
      <c r="G452" s="15"/>
      <c r="H452" s="15"/>
      <c r="I452" s="15"/>
      <c r="J452" s="15"/>
      <c r="K452" s="15"/>
      <c r="L452" s="15"/>
      <c r="M452" s="15"/>
      <c r="N452" s="15"/>
      <c r="O452" s="15"/>
      <c r="P452" s="15"/>
      <c r="Q452" s="15"/>
    </row>
    <row r="453" spans="2:17" x14ac:dyDescent="0.25">
      <c r="B453" s="15"/>
      <c r="C453" s="15"/>
      <c r="D453" s="15"/>
      <c r="E453" s="15"/>
      <c r="F453" s="15"/>
      <c r="G453" s="15"/>
      <c r="H453" s="15"/>
      <c r="I453" s="15"/>
      <c r="J453" s="15"/>
      <c r="K453" s="15"/>
      <c r="L453" s="15"/>
      <c r="M453" s="15"/>
      <c r="N453" s="15"/>
      <c r="O453" s="15"/>
      <c r="P453" s="15"/>
      <c r="Q453" s="15"/>
    </row>
    <row r="454" spans="2:17" x14ac:dyDescent="0.25">
      <c r="B454" s="15"/>
      <c r="C454" s="15"/>
      <c r="D454" s="15"/>
      <c r="E454" s="15"/>
      <c r="F454" s="15"/>
      <c r="G454" s="15"/>
      <c r="H454" s="15"/>
      <c r="I454" s="15"/>
      <c r="J454" s="15"/>
      <c r="K454" s="15"/>
      <c r="L454" s="15"/>
      <c r="M454" s="15"/>
      <c r="N454" s="15"/>
      <c r="O454" s="15"/>
      <c r="P454" s="15"/>
      <c r="Q454" s="15"/>
    </row>
    <row r="455" spans="2:17" x14ac:dyDescent="0.25">
      <c r="B455" s="15"/>
      <c r="C455" s="15"/>
      <c r="D455" s="15"/>
      <c r="E455" s="15"/>
      <c r="F455" s="15"/>
      <c r="G455" s="15"/>
      <c r="H455" s="15"/>
      <c r="I455" s="15"/>
      <c r="J455" s="15"/>
      <c r="K455" s="15"/>
      <c r="L455" s="15"/>
      <c r="M455" s="15"/>
      <c r="N455" s="15"/>
      <c r="O455" s="15"/>
      <c r="P455" s="15"/>
      <c r="Q455" s="15"/>
    </row>
    <row r="456" spans="2:17" x14ac:dyDescent="0.25">
      <c r="B456" s="15"/>
      <c r="C456" s="15"/>
      <c r="D456" s="15"/>
      <c r="E456" s="15"/>
      <c r="F456" s="15"/>
      <c r="G456" s="15"/>
      <c r="H456" s="15"/>
      <c r="I456" s="15"/>
      <c r="J456" s="15"/>
      <c r="K456" s="15"/>
      <c r="L456" s="15"/>
      <c r="M456" s="15"/>
      <c r="N456" s="15"/>
      <c r="O456" s="15"/>
      <c r="P456" s="15"/>
      <c r="Q456" s="15"/>
    </row>
    <row r="457" spans="2:17" x14ac:dyDescent="0.25">
      <c r="B457" s="15"/>
      <c r="C457" s="15"/>
      <c r="D457" s="15"/>
      <c r="E457" s="15"/>
      <c r="F457" s="15"/>
      <c r="G457" s="15"/>
      <c r="H457" s="15"/>
      <c r="I457" s="15"/>
      <c r="J457" s="15"/>
      <c r="K457" s="15"/>
      <c r="L457" s="15"/>
      <c r="M457" s="15"/>
      <c r="N457" s="15"/>
      <c r="O457" s="15"/>
      <c r="P457" s="15"/>
      <c r="Q457" s="15"/>
    </row>
    <row r="458" spans="2:17" x14ac:dyDescent="0.25">
      <c r="B458" s="15"/>
      <c r="C458" s="15"/>
      <c r="D458" s="15"/>
      <c r="E458" s="15"/>
      <c r="F458" s="15"/>
      <c r="G458" s="15"/>
      <c r="H458" s="15"/>
      <c r="I458" s="15"/>
      <c r="J458" s="15"/>
      <c r="K458" s="15"/>
      <c r="L458" s="15"/>
      <c r="M458" s="15"/>
      <c r="N458" s="15"/>
      <c r="O458" s="15"/>
      <c r="P458" s="15"/>
      <c r="Q458" s="15"/>
    </row>
    <row r="459" spans="2:17" x14ac:dyDescent="0.25">
      <c r="B459" s="15"/>
      <c r="C459" s="15"/>
      <c r="D459" s="15"/>
      <c r="E459" s="15"/>
      <c r="F459" s="15"/>
      <c r="G459" s="15"/>
      <c r="H459" s="15"/>
      <c r="I459" s="15"/>
      <c r="J459" s="15"/>
      <c r="K459" s="15"/>
      <c r="L459" s="15"/>
      <c r="M459" s="15"/>
      <c r="N459" s="15"/>
      <c r="O459" s="15"/>
      <c r="P459" s="15"/>
      <c r="Q459" s="15"/>
    </row>
    <row r="460" spans="2:17" x14ac:dyDescent="0.25">
      <c r="B460" s="15"/>
      <c r="C460" s="15"/>
      <c r="D460" s="15"/>
      <c r="E460" s="15"/>
      <c r="F460" s="15"/>
      <c r="G460" s="15"/>
      <c r="H460" s="15"/>
      <c r="I460" s="15"/>
      <c r="J460" s="15"/>
      <c r="K460" s="15"/>
      <c r="L460" s="15"/>
      <c r="M460" s="15"/>
      <c r="N460" s="15"/>
      <c r="O460" s="15"/>
      <c r="P460" s="15"/>
      <c r="Q460" s="15"/>
    </row>
    <row r="461" spans="2:17" x14ac:dyDescent="0.25">
      <c r="B461" s="15"/>
      <c r="C461" s="15"/>
      <c r="D461" s="15"/>
      <c r="E461" s="15"/>
      <c r="F461" s="15"/>
      <c r="G461" s="15"/>
      <c r="H461" s="15"/>
      <c r="I461" s="15"/>
      <c r="J461" s="15"/>
      <c r="K461" s="15"/>
      <c r="L461" s="15"/>
      <c r="M461" s="15"/>
      <c r="N461" s="15"/>
      <c r="O461" s="15"/>
      <c r="P461" s="15"/>
      <c r="Q461" s="15"/>
    </row>
    <row r="462" spans="2:17" x14ac:dyDescent="0.25">
      <c r="B462" s="15"/>
      <c r="C462" s="15"/>
      <c r="D462" s="15"/>
      <c r="E462" s="15"/>
      <c r="F462" s="15"/>
      <c r="G462" s="15"/>
      <c r="H462" s="15"/>
      <c r="I462" s="15"/>
      <c r="J462" s="15"/>
      <c r="K462" s="15"/>
      <c r="L462" s="15"/>
      <c r="M462" s="15"/>
      <c r="N462" s="15"/>
      <c r="O462" s="15"/>
      <c r="P462" s="15"/>
      <c r="Q462" s="15"/>
    </row>
    <row r="463" spans="2:17" x14ac:dyDescent="0.25">
      <c r="B463" s="15"/>
      <c r="C463" s="15"/>
      <c r="D463" s="15"/>
      <c r="E463" s="15"/>
      <c r="F463" s="15"/>
      <c r="G463" s="15"/>
      <c r="H463" s="15"/>
      <c r="I463" s="15"/>
      <c r="J463" s="15"/>
      <c r="K463" s="15"/>
      <c r="L463" s="15"/>
      <c r="M463" s="15"/>
      <c r="N463" s="15"/>
      <c r="O463" s="15"/>
      <c r="P463" s="15"/>
      <c r="Q463" s="15"/>
    </row>
    <row r="464" spans="2:17" x14ac:dyDescent="0.25">
      <c r="B464" s="15"/>
      <c r="C464" s="15"/>
      <c r="D464" s="15"/>
      <c r="E464" s="15"/>
      <c r="F464" s="15"/>
      <c r="G464" s="15"/>
      <c r="H464" s="15"/>
      <c r="I464" s="15"/>
      <c r="J464" s="15"/>
      <c r="K464" s="15"/>
      <c r="L464" s="15"/>
      <c r="M464" s="15"/>
      <c r="N464" s="15"/>
      <c r="O464" s="15"/>
      <c r="P464" s="15"/>
      <c r="Q464" s="15"/>
    </row>
    <row r="465" spans="2:17" x14ac:dyDescent="0.25">
      <c r="B465" s="15"/>
      <c r="C465" s="15"/>
      <c r="D465" s="15"/>
      <c r="E465" s="15"/>
      <c r="F465" s="15"/>
      <c r="G465" s="15"/>
      <c r="H465" s="15"/>
      <c r="I465" s="15"/>
      <c r="J465" s="15"/>
      <c r="K465" s="15"/>
      <c r="L465" s="15"/>
      <c r="M465" s="15"/>
      <c r="N465" s="15"/>
      <c r="O465" s="15"/>
      <c r="P465" s="15"/>
      <c r="Q465" s="15"/>
    </row>
    <row r="466" spans="2:17" x14ac:dyDescent="0.25">
      <c r="B466" s="15"/>
      <c r="C466" s="15"/>
      <c r="D466" s="15"/>
      <c r="E466" s="15"/>
      <c r="F466" s="15"/>
      <c r="G466" s="15"/>
      <c r="H466" s="15"/>
      <c r="I466" s="15"/>
      <c r="J466" s="15"/>
      <c r="K466" s="15"/>
      <c r="L466" s="15"/>
      <c r="M466" s="15"/>
      <c r="N466" s="15"/>
      <c r="O466" s="15"/>
      <c r="P466" s="15"/>
      <c r="Q466" s="15"/>
    </row>
    <row r="467" spans="2:17" x14ac:dyDescent="0.25">
      <c r="B467" s="15"/>
      <c r="C467" s="15"/>
      <c r="D467" s="15"/>
      <c r="E467" s="15"/>
      <c r="F467" s="15"/>
      <c r="G467" s="15"/>
      <c r="H467" s="15"/>
      <c r="I467" s="15"/>
      <c r="J467" s="15"/>
      <c r="K467" s="15"/>
      <c r="L467" s="15"/>
      <c r="M467" s="15"/>
      <c r="N467" s="15"/>
      <c r="O467" s="15"/>
      <c r="P467" s="15"/>
      <c r="Q467" s="15"/>
    </row>
    <row r="468" spans="2:17" x14ac:dyDescent="0.25">
      <c r="B468" s="15"/>
      <c r="C468" s="15"/>
      <c r="D468" s="15"/>
      <c r="E468" s="15"/>
      <c r="F468" s="15"/>
      <c r="G468" s="15"/>
      <c r="H468" s="15"/>
      <c r="I468" s="15"/>
      <c r="J468" s="15"/>
      <c r="K468" s="15"/>
      <c r="L468" s="15"/>
      <c r="M468" s="15"/>
      <c r="N468" s="15"/>
      <c r="O468" s="15"/>
      <c r="P468" s="15"/>
      <c r="Q468" s="15"/>
    </row>
    <row r="469" spans="2:17" x14ac:dyDescent="0.25">
      <c r="B469" s="15"/>
      <c r="C469" s="15"/>
      <c r="D469" s="15"/>
      <c r="E469" s="15"/>
      <c r="F469" s="15"/>
      <c r="G469" s="15"/>
      <c r="H469" s="15"/>
      <c r="I469" s="15"/>
      <c r="J469" s="15"/>
      <c r="K469" s="15"/>
      <c r="L469" s="15"/>
      <c r="M469" s="15"/>
      <c r="N469" s="15"/>
      <c r="O469" s="15"/>
      <c r="P469" s="15"/>
      <c r="Q469" s="15"/>
    </row>
    <row r="470" spans="2:17" x14ac:dyDescent="0.25">
      <c r="B470" s="15"/>
      <c r="C470" s="15"/>
      <c r="D470" s="15"/>
      <c r="E470" s="15"/>
      <c r="F470" s="15"/>
      <c r="G470" s="15"/>
      <c r="H470" s="15"/>
      <c r="I470" s="15"/>
      <c r="J470" s="15"/>
      <c r="K470" s="15"/>
      <c r="L470" s="15"/>
      <c r="M470" s="15"/>
      <c r="N470" s="15"/>
      <c r="O470" s="15"/>
      <c r="P470" s="15"/>
      <c r="Q470" s="15"/>
    </row>
    <row r="471" spans="2:17" x14ac:dyDescent="0.25">
      <c r="B471" s="15"/>
      <c r="C471" s="15"/>
      <c r="D471" s="15"/>
      <c r="E471" s="15"/>
      <c r="F471" s="15"/>
      <c r="G471" s="15"/>
      <c r="H471" s="15"/>
      <c r="I471" s="15"/>
      <c r="J471" s="15"/>
      <c r="K471" s="15"/>
      <c r="L471" s="15"/>
      <c r="M471" s="15"/>
      <c r="N471" s="15"/>
      <c r="O471" s="15"/>
      <c r="P471" s="15"/>
      <c r="Q471" s="15"/>
    </row>
    <row r="472" spans="2:17" x14ac:dyDescent="0.25">
      <c r="B472" s="15"/>
      <c r="C472" s="15"/>
      <c r="D472" s="15"/>
      <c r="E472" s="15"/>
      <c r="F472" s="15"/>
      <c r="G472" s="15"/>
      <c r="H472" s="15"/>
      <c r="I472" s="15"/>
      <c r="J472" s="15"/>
      <c r="K472" s="15"/>
      <c r="L472" s="15"/>
      <c r="M472" s="15"/>
      <c r="N472" s="15"/>
      <c r="O472" s="15"/>
      <c r="P472" s="15"/>
      <c r="Q472" s="15"/>
    </row>
    <row r="473" spans="2:17" x14ac:dyDescent="0.25">
      <c r="B473" s="15"/>
      <c r="C473" s="15"/>
      <c r="D473" s="15"/>
      <c r="E473" s="15"/>
      <c r="F473" s="15"/>
      <c r="G473" s="15"/>
      <c r="H473" s="15"/>
      <c r="I473" s="15"/>
      <c r="J473" s="15"/>
      <c r="K473" s="15"/>
      <c r="L473" s="15"/>
      <c r="M473" s="15"/>
      <c r="N473" s="15"/>
      <c r="O473" s="15"/>
      <c r="P473" s="15"/>
      <c r="Q473" s="15"/>
    </row>
    <row r="474" spans="2:17" x14ac:dyDescent="0.25">
      <c r="B474" s="15"/>
      <c r="C474" s="15"/>
      <c r="D474" s="15"/>
      <c r="E474" s="15"/>
      <c r="F474" s="15"/>
      <c r="G474" s="15"/>
      <c r="H474" s="15"/>
      <c r="I474" s="15"/>
      <c r="J474" s="15"/>
      <c r="K474" s="15"/>
      <c r="L474" s="15"/>
      <c r="M474" s="15"/>
      <c r="N474" s="15"/>
      <c r="O474" s="15"/>
      <c r="P474" s="15"/>
      <c r="Q474" s="15"/>
    </row>
    <row r="475" spans="2:17" x14ac:dyDescent="0.25">
      <c r="B475" s="15"/>
      <c r="C475" s="15"/>
      <c r="D475" s="15"/>
      <c r="E475" s="15"/>
      <c r="F475" s="15"/>
      <c r="G475" s="15"/>
      <c r="H475" s="15"/>
      <c r="I475" s="15"/>
      <c r="J475" s="15"/>
      <c r="K475" s="15"/>
      <c r="L475" s="15"/>
      <c r="M475" s="15"/>
      <c r="N475" s="15"/>
      <c r="O475" s="15"/>
      <c r="P475" s="15"/>
      <c r="Q475" s="15"/>
    </row>
    <row r="476" spans="2:17" x14ac:dyDescent="0.25">
      <c r="B476" s="15"/>
      <c r="C476" s="15"/>
      <c r="D476" s="15"/>
      <c r="E476" s="15"/>
      <c r="F476" s="15"/>
      <c r="G476" s="15"/>
      <c r="H476" s="15"/>
      <c r="I476" s="15"/>
      <c r="J476" s="15"/>
      <c r="K476" s="15"/>
      <c r="L476" s="15"/>
      <c r="M476" s="15"/>
      <c r="N476" s="15"/>
      <c r="O476" s="15"/>
      <c r="P476" s="15"/>
      <c r="Q476" s="15"/>
    </row>
    <row r="477" spans="2:17" x14ac:dyDescent="0.25">
      <c r="B477" s="15"/>
      <c r="C477" s="15"/>
      <c r="D477" s="15"/>
      <c r="E477" s="15"/>
      <c r="F477" s="15"/>
      <c r="G477" s="15"/>
      <c r="H477" s="15"/>
      <c r="I477" s="15"/>
      <c r="J477" s="15"/>
      <c r="K477" s="15"/>
      <c r="L477" s="15"/>
      <c r="M477" s="15"/>
      <c r="N477" s="15"/>
      <c r="O477" s="15"/>
      <c r="P477" s="15"/>
      <c r="Q477" s="15"/>
    </row>
    <row r="478" spans="2:17" x14ac:dyDescent="0.25">
      <c r="B478" s="15"/>
      <c r="C478" s="15"/>
      <c r="D478" s="15"/>
      <c r="E478" s="15"/>
      <c r="F478" s="15"/>
      <c r="G478" s="15"/>
      <c r="H478" s="15"/>
      <c r="I478" s="15"/>
      <c r="J478" s="15"/>
      <c r="K478" s="15"/>
      <c r="L478" s="15"/>
      <c r="M478" s="15"/>
      <c r="N478" s="15"/>
      <c r="O478" s="15"/>
      <c r="P478" s="15"/>
      <c r="Q478" s="15"/>
    </row>
    <row r="479" spans="2:17" x14ac:dyDescent="0.25">
      <c r="B479" s="15"/>
      <c r="C479" s="15"/>
      <c r="D479" s="15"/>
      <c r="E479" s="15"/>
      <c r="F479" s="15"/>
      <c r="G479" s="15"/>
      <c r="H479" s="15"/>
      <c r="I479" s="15"/>
      <c r="J479" s="15"/>
      <c r="K479" s="15"/>
      <c r="L479" s="15"/>
      <c r="M479" s="15"/>
      <c r="N479" s="15"/>
      <c r="O479" s="15"/>
      <c r="P479" s="15"/>
      <c r="Q479" s="15"/>
    </row>
    <row r="480" spans="2:17" x14ac:dyDescent="0.25">
      <c r="B480" s="15"/>
      <c r="C480" s="15"/>
      <c r="D480" s="15"/>
      <c r="E480" s="15"/>
      <c r="F480" s="15"/>
      <c r="G480" s="15"/>
      <c r="H480" s="15"/>
      <c r="I480" s="15"/>
      <c r="J480" s="15"/>
      <c r="K480" s="15"/>
      <c r="L480" s="15"/>
      <c r="M480" s="15"/>
      <c r="N480" s="15"/>
      <c r="O480" s="15"/>
      <c r="P480" s="15"/>
      <c r="Q480" s="15"/>
    </row>
    <row r="481" spans="2:17" x14ac:dyDescent="0.25">
      <c r="B481" s="15"/>
      <c r="C481" s="15"/>
      <c r="D481" s="15"/>
      <c r="E481" s="15"/>
      <c r="F481" s="15"/>
      <c r="G481" s="15"/>
      <c r="H481" s="15"/>
      <c r="I481" s="15"/>
      <c r="J481" s="15"/>
      <c r="K481" s="15"/>
      <c r="L481" s="15"/>
      <c r="M481" s="15"/>
      <c r="N481" s="15"/>
      <c r="O481" s="15"/>
      <c r="P481" s="15"/>
      <c r="Q481" s="15"/>
    </row>
    <row r="482" spans="2:17" x14ac:dyDescent="0.25">
      <c r="B482" s="15"/>
      <c r="C482" s="15"/>
      <c r="D482" s="15"/>
      <c r="E482" s="15"/>
      <c r="F482" s="15"/>
      <c r="G482" s="15"/>
      <c r="H482" s="15"/>
      <c r="I482" s="15"/>
      <c r="J482" s="15"/>
      <c r="K482" s="15"/>
      <c r="L482" s="15"/>
      <c r="M482" s="15"/>
      <c r="N482" s="15"/>
      <c r="O482" s="15"/>
      <c r="P482" s="15"/>
      <c r="Q482" s="15"/>
    </row>
    <row r="483" spans="2:17" x14ac:dyDescent="0.25">
      <c r="B483" s="15"/>
      <c r="C483" s="15"/>
      <c r="D483" s="15"/>
      <c r="E483" s="15"/>
      <c r="F483" s="15"/>
      <c r="G483" s="15"/>
      <c r="H483" s="15"/>
      <c r="I483" s="15"/>
      <c r="J483" s="15"/>
      <c r="K483" s="15"/>
      <c r="L483" s="15"/>
      <c r="M483" s="15"/>
      <c r="N483" s="15"/>
      <c r="O483" s="15"/>
      <c r="P483" s="15"/>
      <c r="Q483" s="15"/>
    </row>
    <row r="484" spans="2:17" x14ac:dyDescent="0.25">
      <c r="B484" s="15"/>
      <c r="C484" s="15"/>
      <c r="D484" s="15"/>
      <c r="E484" s="15"/>
      <c r="F484" s="15"/>
      <c r="G484" s="15"/>
      <c r="H484" s="15"/>
      <c r="I484" s="15"/>
      <c r="J484" s="15"/>
      <c r="K484" s="15"/>
      <c r="L484" s="15"/>
      <c r="M484" s="15"/>
      <c r="N484" s="15"/>
      <c r="O484" s="15"/>
      <c r="P484" s="15"/>
      <c r="Q484" s="15"/>
    </row>
    <row r="485" spans="2:17" x14ac:dyDescent="0.25">
      <c r="B485" s="15"/>
      <c r="C485" s="15"/>
      <c r="D485" s="15"/>
      <c r="E485" s="15"/>
      <c r="F485" s="15"/>
      <c r="G485" s="15"/>
      <c r="H485" s="15"/>
      <c r="I485" s="15"/>
      <c r="J485" s="15"/>
      <c r="K485" s="15"/>
      <c r="L485" s="15"/>
      <c r="M485" s="15"/>
      <c r="N485" s="15"/>
      <c r="O485" s="15"/>
      <c r="P485" s="15"/>
      <c r="Q485" s="15"/>
    </row>
    <row r="486" spans="2:17" x14ac:dyDescent="0.25">
      <c r="B486" s="15"/>
      <c r="C486" s="15"/>
      <c r="D486" s="15"/>
      <c r="E486" s="15"/>
      <c r="F486" s="15"/>
      <c r="G486" s="15"/>
      <c r="H486" s="15"/>
      <c r="I486" s="15"/>
      <c r="J486" s="15"/>
      <c r="K486" s="15"/>
      <c r="L486" s="15"/>
      <c r="M486" s="15"/>
      <c r="N486" s="15"/>
      <c r="O486" s="15"/>
      <c r="P486" s="15"/>
      <c r="Q486" s="15"/>
    </row>
    <row r="487" spans="2:17" x14ac:dyDescent="0.25">
      <c r="B487" s="15"/>
      <c r="C487" s="15"/>
      <c r="D487" s="15"/>
      <c r="E487" s="15"/>
      <c r="F487" s="15"/>
      <c r="G487" s="15"/>
      <c r="H487" s="15"/>
      <c r="I487" s="15"/>
      <c r="J487" s="15"/>
      <c r="K487" s="15"/>
      <c r="L487" s="15"/>
      <c r="M487" s="15"/>
      <c r="N487" s="15"/>
      <c r="O487" s="15"/>
      <c r="P487" s="15"/>
      <c r="Q487" s="15"/>
    </row>
    <row r="488" spans="2:17" x14ac:dyDescent="0.25">
      <c r="B488" s="15"/>
      <c r="C488" s="15"/>
      <c r="D488" s="15"/>
      <c r="E488" s="15"/>
      <c r="F488" s="15"/>
      <c r="G488" s="15"/>
      <c r="H488" s="15"/>
      <c r="I488" s="15"/>
      <c r="J488" s="15"/>
      <c r="K488" s="15"/>
      <c r="L488" s="15"/>
      <c r="M488" s="15"/>
      <c r="N488" s="15"/>
      <c r="O488" s="15"/>
      <c r="P488" s="15"/>
      <c r="Q488" s="15"/>
    </row>
    <row r="489" spans="2:17" x14ac:dyDescent="0.25">
      <c r="B489" s="15"/>
      <c r="C489" s="15"/>
      <c r="D489" s="15"/>
      <c r="E489" s="15"/>
      <c r="F489" s="15"/>
      <c r="G489" s="15"/>
      <c r="H489" s="15"/>
      <c r="I489" s="15"/>
      <c r="J489" s="15"/>
      <c r="K489" s="15"/>
      <c r="L489" s="15"/>
      <c r="M489" s="15"/>
      <c r="N489" s="15"/>
      <c r="O489" s="15"/>
      <c r="P489" s="15"/>
      <c r="Q489" s="15"/>
    </row>
    <row r="490" spans="2:17" x14ac:dyDescent="0.25">
      <c r="B490" s="15"/>
      <c r="C490" s="15"/>
      <c r="D490" s="15"/>
      <c r="E490" s="15"/>
      <c r="F490" s="15"/>
      <c r="G490" s="15"/>
      <c r="H490" s="15"/>
      <c r="I490" s="15"/>
      <c r="J490" s="15"/>
      <c r="K490" s="15"/>
      <c r="L490" s="15"/>
      <c r="M490" s="15"/>
      <c r="N490" s="15"/>
      <c r="O490" s="15"/>
      <c r="P490" s="15"/>
      <c r="Q490" s="15"/>
    </row>
    <row r="491" spans="2:17" x14ac:dyDescent="0.25">
      <c r="B491" s="15"/>
      <c r="C491" s="15"/>
      <c r="D491" s="15"/>
      <c r="E491" s="15"/>
      <c r="F491" s="15"/>
      <c r="G491" s="15"/>
      <c r="H491" s="15"/>
      <c r="I491" s="15"/>
      <c r="J491" s="15"/>
      <c r="K491" s="15"/>
      <c r="L491" s="15"/>
      <c r="M491" s="15"/>
      <c r="N491" s="15"/>
      <c r="O491" s="15"/>
      <c r="P491" s="15"/>
      <c r="Q491" s="15"/>
    </row>
    <row r="492" spans="2:17" x14ac:dyDescent="0.25">
      <c r="B492" s="15"/>
      <c r="C492" s="15"/>
      <c r="D492" s="15"/>
      <c r="E492" s="15"/>
      <c r="F492" s="15"/>
      <c r="G492" s="15"/>
      <c r="H492" s="15"/>
      <c r="I492" s="15"/>
      <c r="J492" s="15"/>
      <c r="K492" s="15"/>
      <c r="L492" s="15"/>
      <c r="M492" s="15"/>
      <c r="N492" s="15"/>
      <c r="O492" s="15"/>
      <c r="P492" s="15"/>
      <c r="Q492" s="15"/>
    </row>
    <row r="493" spans="2:17" x14ac:dyDescent="0.25">
      <c r="B493" s="15"/>
      <c r="C493" s="15"/>
      <c r="D493" s="15"/>
      <c r="E493" s="15"/>
      <c r="F493" s="15"/>
      <c r="G493" s="15"/>
      <c r="H493" s="15"/>
      <c r="I493" s="15"/>
      <c r="J493" s="15"/>
      <c r="K493" s="15"/>
      <c r="L493" s="15"/>
      <c r="M493" s="15"/>
      <c r="N493" s="15"/>
      <c r="O493" s="15"/>
      <c r="P493" s="15"/>
      <c r="Q493" s="15"/>
    </row>
    <row r="494" spans="2:17" x14ac:dyDescent="0.25">
      <c r="B494" s="15"/>
      <c r="C494" s="15"/>
      <c r="D494" s="15"/>
      <c r="E494" s="15"/>
      <c r="F494" s="15"/>
      <c r="G494" s="15"/>
      <c r="H494" s="15"/>
      <c r="I494" s="15"/>
      <c r="J494" s="15"/>
      <c r="K494" s="15"/>
      <c r="L494" s="15"/>
      <c r="M494" s="15"/>
      <c r="N494" s="15"/>
      <c r="O494" s="15"/>
      <c r="P494" s="15"/>
      <c r="Q494" s="15"/>
    </row>
    <row r="495" spans="2:17" x14ac:dyDescent="0.25">
      <c r="B495" s="15"/>
      <c r="C495" s="15"/>
      <c r="D495" s="15"/>
      <c r="E495" s="15"/>
      <c r="F495" s="15"/>
      <c r="G495" s="15"/>
      <c r="H495" s="15"/>
      <c r="I495" s="15"/>
      <c r="J495" s="15"/>
      <c r="K495" s="15"/>
      <c r="L495" s="15"/>
      <c r="M495" s="15"/>
      <c r="N495" s="15"/>
      <c r="O495" s="15"/>
      <c r="P495" s="15"/>
      <c r="Q495" s="15"/>
    </row>
    <row r="496" spans="2:17" x14ac:dyDescent="0.25">
      <c r="B496" s="15"/>
      <c r="C496" s="15"/>
      <c r="D496" s="15"/>
      <c r="E496" s="15"/>
      <c r="F496" s="15"/>
      <c r="G496" s="15"/>
      <c r="H496" s="15"/>
      <c r="I496" s="15"/>
      <c r="J496" s="15"/>
      <c r="K496" s="15"/>
      <c r="L496" s="15"/>
      <c r="M496" s="15"/>
      <c r="N496" s="15"/>
      <c r="O496" s="15"/>
      <c r="P496" s="15"/>
      <c r="Q496" s="15"/>
    </row>
    <row r="497" spans="2:17" x14ac:dyDescent="0.25">
      <c r="B497" s="15"/>
      <c r="C497" s="15"/>
      <c r="D497" s="15"/>
      <c r="E497" s="15"/>
      <c r="F497" s="15"/>
      <c r="G497" s="15"/>
      <c r="H497" s="15"/>
      <c r="I497" s="15"/>
      <c r="J497" s="15"/>
      <c r="K497" s="15"/>
      <c r="L497" s="15"/>
      <c r="M497" s="15"/>
      <c r="N497" s="15"/>
      <c r="O497" s="15"/>
      <c r="P497" s="15"/>
      <c r="Q497" s="15"/>
    </row>
    <row r="498" spans="2:17" x14ac:dyDescent="0.25">
      <c r="B498" s="15"/>
      <c r="C498" s="15"/>
      <c r="D498" s="15"/>
      <c r="E498" s="15"/>
      <c r="F498" s="15"/>
      <c r="G498" s="15"/>
      <c r="H498" s="15"/>
      <c r="I498" s="15"/>
      <c r="J498" s="15"/>
      <c r="K498" s="15"/>
      <c r="L498" s="15"/>
      <c r="M498" s="15"/>
      <c r="N498" s="15"/>
      <c r="O498" s="15"/>
      <c r="P498" s="15"/>
      <c r="Q498" s="15"/>
    </row>
    <row r="499" spans="2:17" x14ac:dyDescent="0.25">
      <c r="B499" s="15"/>
      <c r="C499" s="15"/>
      <c r="D499" s="15"/>
      <c r="E499" s="15"/>
      <c r="F499" s="15"/>
      <c r="G499" s="15"/>
      <c r="H499" s="15"/>
      <c r="I499" s="15"/>
      <c r="J499" s="15"/>
      <c r="K499" s="15"/>
      <c r="L499" s="15"/>
      <c r="M499" s="15"/>
      <c r="N499" s="15"/>
      <c r="O499" s="15"/>
      <c r="P499" s="15"/>
      <c r="Q499" s="15"/>
    </row>
    <row r="500" spans="2:17" x14ac:dyDescent="0.25">
      <c r="B500" s="15"/>
      <c r="C500" s="15"/>
      <c r="D500" s="15"/>
      <c r="E500" s="15"/>
      <c r="F500" s="15"/>
      <c r="G500" s="15"/>
      <c r="H500" s="15"/>
      <c r="I500" s="15"/>
      <c r="J500" s="15"/>
      <c r="K500" s="15"/>
      <c r="L500" s="15"/>
      <c r="M500" s="15"/>
      <c r="N500" s="15"/>
      <c r="O500" s="15"/>
      <c r="P500" s="15"/>
      <c r="Q500" s="15"/>
    </row>
    <row r="501" spans="2:17" x14ac:dyDescent="0.25">
      <c r="B501" s="15"/>
      <c r="C501" s="15"/>
      <c r="D501" s="15"/>
      <c r="E501" s="15"/>
      <c r="F501" s="15"/>
      <c r="G501" s="15"/>
      <c r="H501" s="15"/>
      <c r="I501" s="15"/>
      <c r="J501" s="15"/>
      <c r="K501" s="15"/>
      <c r="L501" s="15"/>
      <c r="M501" s="15"/>
      <c r="N501" s="15"/>
      <c r="O501" s="15"/>
      <c r="P501" s="15"/>
      <c r="Q501" s="15"/>
    </row>
    <row r="502" spans="2:17" x14ac:dyDescent="0.25">
      <c r="B502" s="15"/>
      <c r="C502" s="15"/>
      <c r="D502" s="15"/>
      <c r="E502" s="15"/>
      <c r="F502" s="15"/>
      <c r="G502" s="15"/>
      <c r="H502" s="15"/>
      <c r="I502" s="15"/>
      <c r="J502" s="15"/>
      <c r="K502" s="15"/>
      <c r="L502" s="15"/>
      <c r="M502" s="15"/>
      <c r="N502" s="15"/>
      <c r="O502" s="15"/>
      <c r="P502" s="15"/>
      <c r="Q502" s="15"/>
    </row>
    <row r="503" spans="2:17" x14ac:dyDescent="0.25">
      <c r="B503" s="15"/>
      <c r="C503" s="15"/>
      <c r="D503" s="15"/>
      <c r="E503" s="15"/>
      <c r="F503" s="15"/>
      <c r="G503" s="15"/>
      <c r="H503" s="15"/>
      <c r="I503" s="15"/>
      <c r="J503" s="15"/>
      <c r="K503" s="15"/>
      <c r="L503" s="15"/>
      <c r="M503" s="15"/>
      <c r="N503" s="15"/>
      <c r="O503" s="15"/>
      <c r="P503" s="15"/>
      <c r="Q503" s="15"/>
    </row>
    <row r="504" spans="2:17" x14ac:dyDescent="0.25">
      <c r="B504" s="15"/>
      <c r="C504" s="15"/>
      <c r="D504" s="15"/>
      <c r="E504" s="15"/>
      <c r="F504" s="15"/>
      <c r="G504" s="15"/>
      <c r="H504" s="15"/>
      <c r="I504" s="15"/>
      <c r="J504" s="15"/>
      <c r="K504" s="15"/>
      <c r="L504" s="15"/>
      <c r="M504" s="15"/>
      <c r="N504" s="15"/>
      <c r="O504" s="15"/>
      <c r="P504" s="15"/>
      <c r="Q504" s="15"/>
    </row>
    <row r="505" spans="2:17" x14ac:dyDescent="0.25">
      <c r="B505" s="15"/>
      <c r="C505" s="15"/>
      <c r="D505" s="15"/>
      <c r="E505" s="15"/>
      <c r="F505" s="15"/>
      <c r="G505" s="15"/>
      <c r="H505" s="15"/>
      <c r="I505" s="15"/>
      <c r="J505" s="15"/>
      <c r="K505" s="15"/>
      <c r="L505" s="15"/>
      <c r="M505" s="15"/>
      <c r="N505" s="15"/>
      <c r="O505" s="15"/>
      <c r="P505" s="15"/>
      <c r="Q505" s="15"/>
    </row>
    <row r="506" spans="2:17" x14ac:dyDescent="0.25">
      <c r="B506" s="15"/>
      <c r="C506" s="15"/>
      <c r="D506" s="15"/>
      <c r="E506" s="15"/>
      <c r="F506" s="15"/>
      <c r="G506" s="15"/>
      <c r="H506" s="15"/>
      <c r="I506" s="15"/>
      <c r="J506" s="15"/>
      <c r="K506" s="15"/>
      <c r="L506" s="15"/>
      <c r="M506" s="15"/>
      <c r="N506" s="15"/>
      <c r="O506" s="15"/>
      <c r="P506" s="15"/>
      <c r="Q506" s="15"/>
    </row>
    <row r="507" spans="2:17" x14ac:dyDescent="0.25">
      <c r="B507" s="15"/>
      <c r="C507" s="15"/>
      <c r="D507" s="15"/>
      <c r="E507" s="15"/>
      <c r="F507" s="15"/>
      <c r="G507" s="15"/>
      <c r="H507" s="15"/>
      <c r="I507" s="15"/>
      <c r="J507" s="15"/>
      <c r="K507" s="15"/>
      <c r="L507" s="15"/>
      <c r="M507" s="15"/>
      <c r="N507" s="15"/>
      <c r="O507" s="15"/>
      <c r="P507" s="15"/>
      <c r="Q507" s="15"/>
    </row>
    <row r="508" spans="2:17" x14ac:dyDescent="0.25">
      <c r="B508" s="15"/>
      <c r="C508" s="15"/>
      <c r="D508" s="15"/>
      <c r="E508" s="15"/>
      <c r="F508" s="15"/>
      <c r="G508" s="15"/>
      <c r="H508" s="15"/>
      <c r="I508" s="15"/>
      <c r="J508" s="15"/>
      <c r="K508" s="15"/>
      <c r="L508" s="15"/>
      <c r="M508" s="15"/>
      <c r="N508" s="15"/>
      <c r="O508" s="15"/>
      <c r="P508" s="15"/>
      <c r="Q508" s="15"/>
    </row>
    <row r="509" spans="2:17" x14ac:dyDescent="0.25">
      <c r="B509" s="15"/>
      <c r="C509" s="15"/>
      <c r="D509" s="15"/>
      <c r="E509" s="15"/>
      <c r="F509" s="15"/>
      <c r="G509" s="15"/>
      <c r="H509" s="15"/>
      <c r="I509" s="15"/>
      <c r="J509" s="15"/>
      <c r="K509" s="15"/>
      <c r="L509" s="15"/>
      <c r="M509" s="15"/>
      <c r="N509" s="15"/>
      <c r="O509" s="15"/>
      <c r="P509" s="15"/>
      <c r="Q509" s="15"/>
    </row>
    <row r="510" spans="2:17" x14ac:dyDescent="0.25">
      <c r="B510" s="15"/>
      <c r="C510" s="15"/>
      <c r="D510" s="15"/>
      <c r="E510" s="15"/>
      <c r="F510" s="15"/>
      <c r="G510" s="15"/>
      <c r="H510" s="15"/>
      <c r="I510" s="15"/>
      <c r="J510" s="15"/>
      <c r="K510" s="15"/>
      <c r="L510" s="15"/>
      <c r="M510" s="15"/>
      <c r="N510" s="15"/>
      <c r="O510" s="15"/>
      <c r="P510" s="15"/>
      <c r="Q510" s="15"/>
    </row>
    <row r="511" spans="2:17" x14ac:dyDescent="0.25">
      <c r="B511" s="15"/>
      <c r="C511" s="15"/>
      <c r="D511" s="15"/>
      <c r="E511" s="15"/>
      <c r="F511" s="15"/>
      <c r="G511" s="15"/>
      <c r="H511" s="15"/>
      <c r="I511" s="15"/>
      <c r="J511" s="15"/>
      <c r="K511" s="15"/>
      <c r="L511" s="15"/>
      <c r="M511" s="15"/>
      <c r="N511" s="15"/>
      <c r="O511" s="15"/>
      <c r="P511" s="15"/>
      <c r="Q511" s="15"/>
    </row>
    <row r="512" spans="2:17" x14ac:dyDescent="0.25">
      <c r="B512" s="15"/>
      <c r="C512" s="15"/>
      <c r="D512" s="15"/>
      <c r="E512" s="15"/>
      <c r="F512" s="15"/>
      <c r="G512" s="15"/>
      <c r="H512" s="15"/>
      <c r="I512" s="15"/>
      <c r="J512" s="15"/>
      <c r="K512" s="15"/>
      <c r="L512" s="15"/>
      <c r="M512" s="15"/>
      <c r="N512" s="15"/>
      <c r="O512" s="15"/>
      <c r="P512" s="15"/>
      <c r="Q512" s="15"/>
    </row>
    <row r="513" spans="2:17" x14ac:dyDescent="0.25">
      <c r="B513" s="15"/>
      <c r="C513" s="15"/>
      <c r="D513" s="15"/>
      <c r="E513" s="15"/>
      <c r="F513" s="15"/>
      <c r="G513" s="15"/>
      <c r="H513" s="15"/>
      <c r="I513" s="15"/>
      <c r="J513" s="15"/>
      <c r="K513" s="15"/>
      <c r="L513" s="15"/>
      <c r="M513" s="15"/>
      <c r="N513" s="15"/>
      <c r="O513" s="15"/>
      <c r="P513" s="15"/>
      <c r="Q513" s="15"/>
    </row>
    <row r="514" spans="2:17" x14ac:dyDescent="0.25">
      <c r="B514" s="15"/>
      <c r="C514" s="15"/>
      <c r="D514" s="15"/>
      <c r="E514" s="15"/>
      <c r="F514" s="15"/>
      <c r="G514" s="15"/>
      <c r="H514" s="15"/>
      <c r="I514" s="15"/>
      <c r="J514" s="15"/>
      <c r="K514" s="15"/>
      <c r="L514" s="15"/>
      <c r="M514" s="15"/>
      <c r="N514" s="15"/>
      <c r="O514" s="15"/>
      <c r="P514" s="15"/>
      <c r="Q514" s="15"/>
    </row>
    <row r="515" spans="2:17" x14ac:dyDescent="0.25">
      <c r="B515" s="15"/>
      <c r="C515" s="15"/>
      <c r="D515" s="15"/>
      <c r="E515" s="15"/>
      <c r="F515" s="15"/>
      <c r="G515" s="15"/>
      <c r="H515" s="15"/>
      <c r="I515" s="15"/>
      <c r="J515" s="15"/>
      <c r="K515" s="15"/>
      <c r="L515" s="15"/>
      <c r="M515" s="15"/>
      <c r="N515" s="15"/>
      <c r="O515" s="15"/>
      <c r="P515" s="15"/>
      <c r="Q515" s="15"/>
    </row>
    <row r="516" spans="2:17" x14ac:dyDescent="0.25">
      <c r="B516" s="15"/>
      <c r="C516" s="15"/>
      <c r="D516" s="15"/>
      <c r="E516" s="15"/>
      <c r="F516" s="15"/>
      <c r="G516" s="15"/>
      <c r="H516" s="15"/>
      <c r="I516" s="15"/>
      <c r="J516" s="15"/>
      <c r="K516" s="15"/>
      <c r="L516" s="15"/>
      <c r="M516" s="15"/>
      <c r="N516" s="15"/>
      <c r="O516" s="15"/>
      <c r="P516" s="15"/>
      <c r="Q516" s="15"/>
    </row>
    <row r="517" spans="2:17" x14ac:dyDescent="0.25">
      <c r="B517" s="15"/>
      <c r="C517" s="15"/>
      <c r="D517" s="15"/>
      <c r="E517" s="15"/>
      <c r="F517" s="15"/>
      <c r="G517" s="15"/>
      <c r="H517" s="15"/>
      <c r="I517" s="15"/>
      <c r="J517" s="15"/>
      <c r="K517" s="15"/>
      <c r="L517" s="15"/>
      <c r="M517" s="15"/>
      <c r="N517" s="15"/>
      <c r="O517" s="15"/>
      <c r="P517" s="15"/>
      <c r="Q517" s="15"/>
    </row>
    <row r="518" spans="2:17" x14ac:dyDescent="0.25">
      <c r="B518" s="15"/>
      <c r="C518" s="15"/>
      <c r="D518" s="15"/>
      <c r="E518" s="15"/>
      <c r="F518" s="15"/>
      <c r="G518" s="15"/>
      <c r="H518" s="15"/>
      <c r="I518" s="15"/>
      <c r="J518" s="15"/>
      <c r="K518" s="15"/>
      <c r="L518" s="15"/>
      <c r="M518" s="15"/>
      <c r="N518" s="15"/>
      <c r="O518" s="15"/>
      <c r="P518" s="15"/>
      <c r="Q518" s="15"/>
    </row>
    <row r="519" spans="2:17" x14ac:dyDescent="0.25">
      <c r="B519" s="15"/>
      <c r="C519" s="15"/>
      <c r="D519" s="15"/>
      <c r="E519" s="15"/>
      <c r="F519" s="15"/>
      <c r="G519" s="15"/>
      <c r="H519" s="15"/>
      <c r="I519" s="15"/>
      <c r="J519" s="15"/>
      <c r="K519" s="15"/>
      <c r="L519" s="15"/>
      <c r="M519" s="15"/>
      <c r="N519" s="15"/>
      <c r="O519" s="15"/>
      <c r="P519" s="15"/>
      <c r="Q519" s="15"/>
    </row>
    <row r="520" spans="2:17" x14ac:dyDescent="0.25">
      <c r="B520" s="15"/>
      <c r="C520" s="15"/>
      <c r="D520" s="15"/>
      <c r="E520" s="15"/>
      <c r="F520" s="15"/>
      <c r="G520" s="15"/>
      <c r="H520" s="15"/>
      <c r="I520" s="15"/>
      <c r="J520" s="15"/>
      <c r="K520" s="15"/>
      <c r="L520" s="15"/>
      <c r="M520" s="15"/>
      <c r="N520" s="15"/>
      <c r="O520" s="15"/>
      <c r="P520" s="15"/>
      <c r="Q520" s="15"/>
    </row>
    <row r="521" spans="2:17" x14ac:dyDescent="0.25">
      <c r="B521" s="15"/>
      <c r="C521" s="15"/>
      <c r="D521" s="15"/>
      <c r="E521" s="15"/>
      <c r="F521" s="15"/>
      <c r="G521" s="15"/>
      <c r="H521" s="15"/>
      <c r="I521" s="15"/>
      <c r="J521" s="15"/>
      <c r="K521" s="15"/>
      <c r="L521" s="15"/>
      <c r="M521" s="15"/>
      <c r="N521" s="15"/>
      <c r="O521" s="15"/>
      <c r="P521" s="15"/>
      <c r="Q521" s="15"/>
    </row>
    <row r="522" spans="2:17" x14ac:dyDescent="0.25">
      <c r="B522" s="15"/>
      <c r="C522" s="15"/>
      <c r="D522" s="15"/>
      <c r="E522" s="15"/>
      <c r="F522" s="15"/>
      <c r="G522" s="15"/>
      <c r="H522" s="15"/>
      <c r="I522" s="15"/>
      <c r="J522" s="15"/>
      <c r="K522" s="15"/>
      <c r="L522" s="15"/>
      <c r="M522" s="15"/>
      <c r="N522" s="15"/>
      <c r="O522" s="15"/>
      <c r="P522" s="15"/>
      <c r="Q522" s="15"/>
    </row>
    <row r="523" spans="2:17" x14ac:dyDescent="0.25">
      <c r="B523" s="15"/>
      <c r="C523" s="15"/>
      <c r="D523" s="15"/>
      <c r="E523" s="15"/>
      <c r="F523" s="15"/>
      <c r="G523" s="15"/>
      <c r="H523" s="15"/>
      <c r="I523" s="15"/>
      <c r="J523" s="15"/>
      <c r="K523" s="15"/>
      <c r="L523" s="15"/>
      <c r="M523" s="15"/>
      <c r="N523" s="15"/>
      <c r="O523" s="15"/>
      <c r="P523" s="15"/>
      <c r="Q523" s="15"/>
    </row>
    <row r="524" spans="2:17" x14ac:dyDescent="0.25">
      <c r="B524" s="15"/>
      <c r="C524" s="15"/>
      <c r="D524" s="15"/>
      <c r="E524" s="15"/>
      <c r="F524" s="15"/>
      <c r="G524" s="15"/>
      <c r="H524" s="15"/>
      <c r="I524" s="15"/>
      <c r="J524" s="15"/>
      <c r="K524" s="15"/>
      <c r="L524" s="15"/>
      <c r="M524" s="15"/>
      <c r="N524" s="15"/>
      <c r="O524" s="15"/>
      <c r="P524" s="15"/>
      <c r="Q524" s="15"/>
    </row>
    <row r="525" spans="2:17" x14ac:dyDescent="0.25">
      <c r="B525" s="15"/>
      <c r="C525" s="15"/>
      <c r="D525" s="15"/>
      <c r="E525" s="15"/>
      <c r="F525" s="15"/>
      <c r="G525" s="15"/>
      <c r="H525" s="15"/>
      <c r="I525" s="15"/>
      <c r="J525" s="15"/>
      <c r="K525" s="15"/>
      <c r="L525" s="15"/>
      <c r="M525" s="15"/>
      <c r="N525" s="15"/>
      <c r="O525" s="15"/>
      <c r="P525" s="15"/>
      <c r="Q525" s="15"/>
    </row>
    <row r="526" spans="2:17" x14ac:dyDescent="0.25">
      <c r="B526" s="15"/>
      <c r="C526" s="15"/>
      <c r="D526" s="15"/>
      <c r="E526" s="15"/>
      <c r="F526" s="15"/>
      <c r="G526" s="15"/>
      <c r="H526" s="15"/>
      <c r="I526" s="15"/>
      <c r="J526" s="15"/>
      <c r="K526" s="15"/>
      <c r="L526" s="15"/>
      <c r="M526" s="15"/>
      <c r="N526" s="15"/>
      <c r="O526" s="15"/>
      <c r="P526" s="15"/>
      <c r="Q526" s="15"/>
    </row>
    <row r="527" spans="2:17" x14ac:dyDescent="0.25">
      <c r="B527" s="15"/>
      <c r="C527" s="15"/>
      <c r="D527" s="15"/>
      <c r="E527" s="15"/>
      <c r="F527" s="15"/>
      <c r="G527" s="15"/>
      <c r="H527" s="15"/>
      <c r="I527" s="15"/>
      <c r="J527" s="15"/>
      <c r="K527" s="15"/>
      <c r="L527" s="15"/>
      <c r="M527" s="15"/>
      <c r="N527" s="15"/>
      <c r="O527" s="15"/>
      <c r="P527" s="15"/>
      <c r="Q527" s="15"/>
    </row>
    <row r="528" spans="2:17" x14ac:dyDescent="0.25">
      <c r="B528" s="15"/>
      <c r="C528" s="15"/>
      <c r="D528" s="15"/>
      <c r="E528" s="15"/>
      <c r="F528" s="15"/>
      <c r="G528" s="15"/>
      <c r="H528" s="15"/>
      <c r="I528" s="15"/>
      <c r="J528" s="15"/>
      <c r="K528" s="15"/>
      <c r="L528" s="15"/>
      <c r="M528" s="15"/>
      <c r="N528" s="15"/>
      <c r="O528" s="15"/>
      <c r="P528" s="15"/>
      <c r="Q528" s="15"/>
    </row>
    <row r="529" spans="2:17" x14ac:dyDescent="0.25">
      <c r="B529" s="15"/>
      <c r="C529" s="15"/>
      <c r="D529" s="15"/>
      <c r="E529" s="15"/>
      <c r="F529" s="15"/>
      <c r="G529" s="15"/>
      <c r="H529" s="15"/>
      <c r="I529" s="15"/>
      <c r="J529" s="15"/>
      <c r="K529" s="15"/>
      <c r="L529" s="15"/>
      <c r="M529" s="15"/>
      <c r="N529" s="15"/>
      <c r="O529" s="15"/>
      <c r="P529" s="15"/>
      <c r="Q529" s="15"/>
    </row>
    <row r="530" spans="2:17" x14ac:dyDescent="0.25">
      <c r="B530" s="15"/>
      <c r="C530" s="15"/>
      <c r="D530" s="15"/>
      <c r="E530" s="15"/>
      <c r="F530" s="15"/>
      <c r="G530" s="15"/>
      <c r="H530" s="15"/>
      <c r="I530" s="15"/>
      <c r="J530" s="15"/>
      <c r="K530" s="15"/>
      <c r="L530" s="15"/>
      <c r="M530" s="15"/>
      <c r="N530" s="15"/>
      <c r="O530" s="15"/>
      <c r="P530" s="15"/>
      <c r="Q530" s="15"/>
    </row>
    <row r="531" spans="2:17" x14ac:dyDescent="0.25">
      <c r="B531" s="15"/>
      <c r="C531" s="15"/>
      <c r="D531" s="15"/>
      <c r="E531" s="15"/>
      <c r="F531" s="15"/>
      <c r="G531" s="15"/>
      <c r="H531" s="15"/>
      <c r="I531" s="15"/>
      <c r="J531" s="15"/>
      <c r="K531" s="15"/>
      <c r="L531" s="15"/>
      <c r="M531" s="15"/>
      <c r="N531" s="15"/>
      <c r="O531" s="15"/>
      <c r="P531" s="15"/>
      <c r="Q531" s="15"/>
    </row>
  </sheetData>
  <mergeCells count="2">
    <mergeCell ref="S22:T22"/>
    <mergeCell ref="U22:V22"/>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Z110"/>
  <sheetViews>
    <sheetView workbookViewId="0">
      <selection activeCell="B4" sqref="B4"/>
    </sheetView>
  </sheetViews>
  <sheetFormatPr defaultColWidth="8.88671875" defaultRowHeight="13.2" x14ac:dyDescent="0.25"/>
  <cols>
    <col min="1" max="1" width="20.44140625" bestFit="1" customWidth="1"/>
    <col min="2" max="2" width="11.33203125" bestFit="1" customWidth="1"/>
    <col min="3" max="4" width="9.44140625" bestFit="1" customWidth="1"/>
    <col min="5" max="5" width="10.44140625" customWidth="1"/>
    <col min="6" max="6" width="9.44140625" bestFit="1" customWidth="1"/>
    <col min="7" max="7" width="11.44140625" bestFit="1" customWidth="1"/>
    <col min="8" max="8" width="9.44140625" bestFit="1" customWidth="1"/>
    <col min="9" max="9" width="19.44140625" customWidth="1"/>
    <col min="10" max="10" width="10.88671875" bestFit="1" customWidth="1"/>
    <col min="11" max="11" width="14.6640625" customWidth="1"/>
    <col min="12" max="12" width="13" customWidth="1"/>
    <col min="13" max="13" width="14.6640625" customWidth="1"/>
    <col min="14" max="16" width="9.44140625" bestFit="1" customWidth="1"/>
    <col min="17" max="17" width="15.33203125" bestFit="1" customWidth="1"/>
    <col min="18" max="18" width="15.33203125" customWidth="1"/>
    <col min="19" max="19" width="2.109375" customWidth="1"/>
    <col min="20" max="20" width="13.33203125" bestFit="1" customWidth="1"/>
    <col min="21" max="21" width="14.6640625" bestFit="1" customWidth="1"/>
    <col min="22" max="23" width="27.44140625" bestFit="1" customWidth="1"/>
    <col min="24" max="24" width="2.44140625" customWidth="1"/>
    <col min="25" max="25" width="22.6640625" bestFit="1" customWidth="1"/>
    <col min="26" max="26" width="27.88671875" bestFit="1" customWidth="1"/>
  </cols>
  <sheetData>
    <row r="1" spans="1:26" x14ac:dyDescent="0.25">
      <c r="A1" s="99" t="s">
        <v>115</v>
      </c>
      <c r="B1" s="99"/>
      <c r="C1" s="99"/>
      <c r="E1" s="99" t="s">
        <v>114</v>
      </c>
      <c r="F1" s="99"/>
      <c r="G1" s="99"/>
      <c r="I1" s="99" t="s">
        <v>932</v>
      </c>
      <c r="J1" s="99"/>
      <c r="K1" s="99"/>
      <c r="M1" s="99" t="s">
        <v>739</v>
      </c>
      <c r="N1" s="99"/>
      <c r="O1" s="99"/>
    </row>
    <row r="2" spans="1:26" x14ac:dyDescent="0.25">
      <c r="A2" s="1" t="s">
        <v>0</v>
      </c>
      <c r="B2" s="29">
        <f>'CD0 High Lift'!Ref_Area</f>
        <v>144.9</v>
      </c>
      <c r="C2" t="str">
        <f>CD0!C12</f>
        <v>ft^2</v>
      </c>
      <c r="E2" s="1" t="s">
        <v>61</v>
      </c>
      <c r="F2">
        <f>'CD0 High Lift'!B2</f>
        <v>0</v>
      </c>
      <c r="G2" t="str">
        <f>CD0!C2</f>
        <v>ft</v>
      </c>
      <c r="J2" s="1" t="s">
        <v>95</v>
      </c>
      <c r="K2" s="1" t="s">
        <v>867</v>
      </c>
      <c r="L2" s="1"/>
      <c r="M2" s="21" t="s">
        <v>740</v>
      </c>
      <c r="N2" s="67">
        <v>50</v>
      </c>
      <c r="O2" s="1" t="s">
        <v>907</v>
      </c>
    </row>
    <row r="3" spans="1:26" x14ac:dyDescent="0.25">
      <c r="A3" s="1" t="s">
        <v>22</v>
      </c>
      <c r="B3" s="29">
        <f>'CD0 High Lift'!B13</f>
        <v>3.8943059999999998</v>
      </c>
      <c r="C3" s="1" t="s">
        <v>62</v>
      </c>
      <c r="E3" t="s">
        <v>8</v>
      </c>
      <c r="F3">
        <f>'CD0 High Lift'!Mach</f>
        <v>0.10582354785256839</v>
      </c>
      <c r="I3" s="1" t="s">
        <v>858</v>
      </c>
      <c r="J3" s="51">
        <f ca="1">INDIRECT(CONCATENATE("P",(MATCH($F$6,C14:C49,1)+ROW(C14)-1)+1)) - (INDIRECT(CONCATENATE("P",(MATCH($F$6,C14:C49,1)+ROW(C14)-1)+1))-INDIRECT(CONCATENATE("P",(MATCH($F$6,C14:C49,1)+ROW(C14)-1)))) / (INDIRECT(CONCATENATE("C",(MATCH($F$6,C14:C49,1)+ROW(C14)-1)+1))-INDIRECT(CONCATENATE("C",(MATCH($F$6,C14:C49,1)+ROW(C14)-1)))) * (INDIRECT(CONCATENATE("C",(MATCH($F$6,C14:C49,1)+ROW(C14)-1)+1)) - $F$6)</f>
        <v>0.12140425589807542</v>
      </c>
      <c r="K3" s="3">
        <f ca="1">J3/$J$3</f>
        <v>1</v>
      </c>
      <c r="N3" s="67">
        <v>16</v>
      </c>
      <c r="O3" s="1" t="s">
        <v>100</v>
      </c>
    </row>
    <row r="4" spans="1:26" x14ac:dyDescent="0.25">
      <c r="A4" s="1" t="s">
        <v>938</v>
      </c>
      <c r="B4">
        <f>'Drag Polar Clean'!B4</f>
        <v>0</v>
      </c>
      <c r="C4" t="str">
        <f>'Drag Polar Clean'!C4</f>
        <v>0=IC, 1=Electric</v>
      </c>
      <c r="E4" s="1" t="s">
        <v>7</v>
      </c>
      <c r="F4" s="29">
        <f>'CD0 High Lift'!B3</f>
        <v>70</v>
      </c>
      <c r="G4" t="str">
        <f>CD0!C3</f>
        <v>knots</v>
      </c>
      <c r="I4" s="1" t="s">
        <v>855</v>
      </c>
      <c r="J4" s="51">
        <f ca="1">INDIRECT(CONCATENATE("D",(MATCH($F$6,C14:C49,1)+ROW(C14)-1)+1)) - (INDIRECT(CONCATENATE("D",(MATCH($F$6,C14:C49,1)+ROW(C14)-1)+1))-INDIRECT(CONCATENATE("D",(MATCH($F$6,C14:C49,1)+ROW(C14)-1)))) / (INDIRECT(CONCATENATE("C",(MATCH($F$6,C14:C49,1)+ROW(C14)-1)+1))-INDIRECT(CONCATENATE("C",(MATCH($F$6,C14:C49,1)+ROW(C14)-1)))) * (INDIRECT(CONCATENATE("C",(MATCH($F$6,C14:C49,1)+ROW(C14)-1)+1)) - $F$6)</f>
        <v>0.10887679525154141</v>
      </c>
      <c r="K4" s="61">
        <f t="shared" ref="K4:K7" ca="1" si="0">J4/$J$3</f>
        <v>0.89681201409404132</v>
      </c>
      <c r="M4" s="31" t="s">
        <v>891</v>
      </c>
      <c r="N4" s="9">
        <v>1</v>
      </c>
      <c r="O4" t="s">
        <v>892</v>
      </c>
    </row>
    <row r="5" spans="1:26" x14ac:dyDescent="0.25">
      <c r="A5" s="1" t="s">
        <v>916</v>
      </c>
      <c r="B5" s="29">
        <f>IF(B4=1,CoolingDrag_Electric!B7,CoolingDrag_IC!B7)</f>
        <v>23.239313636653684</v>
      </c>
      <c r="C5" s="1" t="s">
        <v>87</v>
      </c>
      <c r="E5" s="1" t="s">
        <v>116</v>
      </c>
      <c r="F5" s="29">
        <f>0.5*'CD0 High Lift'!Den*'CD0 High Lift'!Vel^2</f>
        <v>16.589148941641717</v>
      </c>
      <c r="G5" s="1" t="s">
        <v>86</v>
      </c>
      <c r="I5" s="1" t="s">
        <v>856</v>
      </c>
      <c r="J5" s="51">
        <f ca="1">INDIRECT(CONCATENATE("E",(MATCH($F$6,C14:C49,1)+ROW(C14)-1)+1)) - (INDIRECT(CONCATENATE("E",(MATCH($F$6,C14:C49,1)+ROW(C14)-1)+1))-INDIRECT(CONCATENATE("E",(MATCH($F$6,C14:C49,1)+ROW(C14)-1)))) / (INDIRECT(CONCATENATE("C",(MATCH($F$6,C14:C49,1)+ROW(C14)-1)+1))-INDIRECT(CONCATENATE("C",(MATCH($F$6,C14:C49,1)+ROW(C14)-1)))) * (INDIRECT(CONCATENATE("C",(MATCH($F$6,C14:C49,1)+ROW(C14)-1)+1)) - $F$6)</f>
        <v>1.8117874300576146E-2</v>
      </c>
      <c r="K5" s="61">
        <f t="shared" ca="1" si="0"/>
        <v>0.14923590747746893</v>
      </c>
      <c r="M5" s="31" t="s">
        <v>893</v>
      </c>
      <c r="N5" s="9">
        <v>1.33</v>
      </c>
      <c r="O5" t="str">
        <f>CD0!C13</f>
        <v>ft</v>
      </c>
    </row>
    <row r="6" spans="1:26" x14ac:dyDescent="0.25">
      <c r="A6" s="7" t="s">
        <v>20</v>
      </c>
      <c r="B6" s="9">
        <v>3400</v>
      </c>
      <c r="C6" s="7" t="s">
        <v>87</v>
      </c>
      <c r="E6" s="1" t="s">
        <v>939</v>
      </c>
      <c r="F6">
        <f>B6/(F5*B2)</f>
        <v>1.4144461737977996</v>
      </c>
      <c r="I6" s="1" t="s">
        <v>19</v>
      </c>
      <c r="J6" s="51">
        <f ca="1">INDIRECT(CONCATENATE("N",(MATCH($F$6,C14:C49,1)+ROW(C14)-1)+1)) - (INDIRECT(CONCATENATE("N",(MATCH($F$6,C14:C49,1)+ROW(C14)-1)+1))-INDIRECT(CONCATENATE("N",(MATCH($F$6,C14:C49,1)+ROW(C14)-1)))) / (INDIRECT(CONCATENATE("C",(MATCH($F$6,C14:C49,1)+ROW(C14)-1)+1))-INDIRECT(CONCATENATE("C",(MATCH($F$6,C14:C49,1)+ROW(C14)-1)))) * (INDIRECT(CONCATENATE("C",(MATCH($F$6,C14:C49,1)+ROW(C14)-1)+1)) - $F$6)</f>
        <v>2.9179467107827168E-2</v>
      </c>
      <c r="K6" s="61">
        <f t="shared" ca="1" si="0"/>
        <v>0.2403496227704299</v>
      </c>
      <c r="M6" s="21" t="s">
        <v>743</v>
      </c>
      <c r="N6" s="9">
        <v>0.497</v>
      </c>
      <c r="O6" s="46" t="s">
        <v>744</v>
      </c>
    </row>
    <row r="7" spans="1:26" x14ac:dyDescent="0.25">
      <c r="A7" s="7" t="s">
        <v>945</v>
      </c>
      <c r="B7" s="6">
        <f>'Drag Polar Clean'!CG_Loc</f>
        <v>1.0329999999999999</v>
      </c>
      <c r="C7" s="7" t="s">
        <v>62</v>
      </c>
      <c r="E7" s="1"/>
      <c r="I7" s="1" t="s">
        <v>18</v>
      </c>
      <c r="J7" s="51">
        <f ca="1">INDIRECT(CONCATENATE("O",(MATCH($F$6,C14:C49,1)+ROW(C14)-1)+1)) - (INDIRECT(CONCATENATE("O",(MATCH($F$6,C14:C49,1)+ROW(C14)-1)+1))-INDIRECT(CONCATENATE("O",(MATCH($F$6,C14:C49,1)+ROW(C14)-1)))) / (INDIRECT(CONCATENATE("C",(MATCH($F$6,C14:C49,1)+ROW(C14)-1)+1))-INDIRECT(CONCATENATE("C",(MATCH($F$6,C14:C49,1)+ROW(C14)-1)))) * (INDIRECT(CONCATENATE("C",(MATCH($F$6,C14:C49,1)+ROW(C14)-1)+1)) - $F$6)</f>
        <v>9.743869274026545E-3</v>
      </c>
      <c r="K7" s="61">
        <f t="shared" ca="1" si="0"/>
        <v>8.025970096309458E-2</v>
      </c>
      <c r="M7" s="21" t="s">
        <v>900</v>
      </c>
      <c r="N7" s="9">
        <v>0.46500000000000002</v>
      </c>
      <c r="O7" s="1" t="s">
        <v>901</v>
      </c>
    </row>
    <row r="8" spans="1:26" x14ac:dyDescent="0.25">
      <c r="A8" s="7" t="s">
        <v>897</v>
      </c>
      <c r="B8">
        <f>'Drag Polar Clean'!B8</f>
        <v>1.5</v>
      </c>
      <c r="I8" s="1" t="s">
        <v>871</v>
      </c>
      <c r="M8" s="21" t="s">
        <v>742</v>
      </c>
      <c r="N8" s="9">
        <v>4.2</v>
      </c>
      <c r="O8" s="1" t="s">
        <v>100</v>
      </c>
      <c r="P8" s="1"/>
    </row>
    <row r="9" spans="1:26" x14ac:dyDescent="0.25">
      <c r="A9" s="7" t="s">
        <v>896</v>
      </c>
      <c r="B9" s="67">
        <v>1.75</v>
      </c>
      <c r="C9" t="str">
        <f>CONCATENATE("(Corresponds to ",N2,"% Flaps)")</f>
        <v>(Corresponds to 50% Flaps)</v>
      </c>
      <c r="I9" s="1"/>
      <c r="M9" s="31" t="s">
        <v>890</v>
      </c>
      <c r="N9" s="67">
        <v>-14.5</v>
      </c>
      <c r="O9" s="1" t="s">
        <v>930</v>
      </c>
    </row>
    <row r="10" spans="1:26" x14ac:dyDescent="0.25">
      <c r="A10" s="45" t="s">
        <v>898</v>
      </c>
      <c r="B10" s="9">
        <v>1.3</v>
      </c>
      <c r="C10" t="s">
        <v>741</v>
      </c>
      <c r="I10" s="1"/>
      <c r="M10" s="31"/>
      <c r="N10" s="6"/>
    </row>
    <row r="11" spans="1:26" x14ac:dyDescent="0.25">
      <c r="I11" s="1"/>
      <c r="M11" s="31"/>
      <c r="N11" s="6"/>
    </row>
    <row r="12" spans="1:26" x14ac:dyDescent="0.25">
      <c r="B12" s="99" t="s">
        <v>161</v>
      </c>
      <c r="C12" s="99"/>
      <c r="D12" s="99"/>
      <c r="E12" s="99"/>
      <c r="F12" s="99"/>
      <c r="G12" s="99"/>
      <c r="H12" s="99"/>
      <c r="I12" s="99"/>
      <c r="J12" s="99"/>
      <c r="K12" s="99"/>
      <c r="L12" s="99"/>
      <c r="M12" s="99"/>
      <c r="V12" s="13" t="s">
        <v>94</v>
      </c>
      <c r="W12" s="13" t="s">
        <v>103</v>
      </c>
    </row>
    <row r="13" spans="1:26" x14ac:dyDescent="0.25">
      <c r="B13" s="62" t="s">
        <v>128</v>
      </c>
      <c r="C13" s="62" t="s">
        <v>118</v>
      </c>
      <c r="D13" s="11" t="s">
        <v>895</v>
      </c>
      <c r="E13" s="62" t="s">
        <v>150</v>
      </c>
      <c r="F13" s="62" t="s">
        <v>151</v>
      </c>
      <c r="G13" s="62" t="s">
        <v>152</v>
      </c>
      <c r="H13" s="62" t="s">
        <v>153</v>
      </c>
      <c r="I13" s="62" t="s">
        <v>154</v>
      </c>
      <c r="J13" s="62" t="s">
        <v>155</v>
      </c>
      <c r="K13" s="62" t="s">
        <v>156</v>
      </c>
      <c r="L13" s="62" t="s">
        <v>157</v>
      </c>
      <c r="M13" s="62" t="s">
        <v>158</v>
      </c>
      <c r="N13" s="13" t="s">
        <v>894</v>
      </c>
      <c r="O13" s="13" t="s">
        <v>18</v>
      </c>
      <c r="P13" s="13" t="s">
        <v>93</v>
      </c>
      <c r="Q13" s="13" t="s">
        <v>91</v>
      </c>
      <c r="R13" s="13" t="s">
        <v>983</v>
      </c>
      <c r="S13" s="13"/>
      <c r="T13" s="13" t="s">
        <v>862</v>
      </c>
      <c r="U13" s="13" t="s">
        <v>863</v>
      </c>
      <c r="V13" s="13" t="s">
        <v>864</v>
      </c>
      <c r="W13" s="13" t="s">
        <v>864</v>
      </c>
      <c r="Y13" s="13" t="s">
        <v>865</v>
      </c>
      <c r="Z13" s="13" t="s">
        <v>866</v>
      </c>
    </row>
    <row r="14" spans="1:26" x14ac:dyDescent="0.25">
      <c r="B14" s="6">
        <f>'Drag Polar Clean'!B12+($N$9*$N$6*COS($N$8*PI()/180))</f>
        <v>-9.6871467801180575</v>
      </c>
      <c r="C14" s="6">
        <f>'Drag Polar Clean'!C12</f>
        <v>-9.9982000000000001E-2</v>
      </c>
      <c r="D14" s="6">
        <f ca="1">'Drag Polar Clean'!D12+(0.14/$N$7)^2*($M$90-'Drag Polar Clean'!$M$88)^2*COS($B$10*PI()/180)</f>
        <v>4.5532750035895825E-2</v>
      </c>
      <c r="E14" s="6">
        <f>'Drag Polar Clean'!E12</f>
        <v>7.5950000000000002E-3</v>
      </c>
      <c r="F14" s="6">
        <f>'Drag Polar Clean'!F12</f>
        <v>8.6140000000000001E-3</v>
      </c>
      <c r="G14" s="6">
        <f>'Drag Polar Clean'!G12</f>
        <v>0</v>
      </c>
      <c r="H14" s="7" t="s">
        <v>899</v>
      </c>
      <c r="I14" s="6">
        <f>'Drag Polar Clean'!I12</f>
        <v>0</v>
      </c>
      <c r="J14" s="6">
        <f>'Drag Polar Clean'!J12</f>
        <v>0</v>
      </c>
      <c r="K14" s="6">
        <f>'Drag Polar Clean'!K12</f>
        <v>0</v>
      </c>
      <c r="L14" s="6">
        <f>'Drag Polar Clean'!L12</f>
        <v>92.601299999999995</v>
      </c>
      <c r="M14" s="6">
        <f>'Drag Polar Clean'!M12</f>
        <v>1.9132</v>
      </c>
      <c r="N14">
        <f>'CD0 High Lift'!$B$64-$E$51+IF($N$4=1,0.0074,0.0144)*$N$5/CD0!$B$13*$N$6*($N$3-10)</f>
        <v>2.9179467107827168E-2</v>
      </c>
      <c r="O14" s="6">
        <f>$B$5/($F$5*S) * (stdpres($F$2)*(1+(CoolingDrag_IC!$B$27-1)/2*$F$3^2)^(CoolingDrag_IC!$B$27/(CoolingDrag_IC!$B$27-1))/stdpres(0))</f>
        <v>9.743869274026545E-3</v>
      </c>
      <c r="P14">
        <f t="shared" ref="P14:P49" si="1">F14+N14+O14</f>
        <v>4.7537336381853715E-2</v>
      </c>
      <c r="Q14">
        <f t="shared" ref="Q14:Q49" si="2">C14/P14</f>
        <v>-2.103231009766164</v>
      </c>
      <c r="R14">
        <f>IF(C14&lt;0,0,C14^(3/2)/P14)</f>
        <v>0</v>
      </c>
      <c r="T14">
        <f t="shared" ref="T14:T49" si="3">$K$59+C14^2/(PI()*$M$59*$L$59)-$N$59*C14</f>
        <v>3.7539400367368435E-2</v>
      </c>
      <c r="U14">
        <f t="shared" ref="U14:U49" si="4">C14/T14</f>
        <v>-2.6633883072599778</v>
      </c>
      <c r="V14">
        <f t="shared" ref="V14:V49" si="5">(T14-P14)/P14*100</f>
        <v>-21.031754775182907</v>
      </c>
      <c r="W14">
        <f t="shared" ref="W14:W49" si="6">(P14-T14)^2</f>
        <v>9.9958724549741799E-5</v>
      </c>
      <c r="Y14">
        <f>$K$82*B14+$L$82</f>
        <v>-0.41734038445156962</v>
      </c>
      <c r="Z14" t="e">
        <f>$K$105*B14+$L$105</f>
        <v>#VALUE!</v>
      </c>
    </row>
    <row r="15" spans="1:26" x14ac:dyDescent="0.25">
      <c r="B15" s="6">
        <f>'Drag Polar Clean'!B13+($N$9*$N$6*COS($N$8*PI()/180))</f>
        <v>-9.1871467801180575</v>
      </c>
      <c r="C15" s="6">
        <f>'Drag Polar Clean'!C13</f>
        <v>-5.1019000000000002E-2</v>
      </c>
      <c r="D15" s="6">
        <f ca="1">'Drag Polar Clean'!D13+(0.14/$N$7)^2*($M$90-'Drag Polar Clean'!$M$88)^2*COS($B$10*PI()/180)</f>
        <v>4.5194750035895827E-2</v>
      </c>
      <c r="E15" s="6">
        <f>'Drag Polar Clean'!E13</f>
        <v>7.3790000000000001E-3</v>
      </c>
      <c r="F15" s="6">
        <f>'Drag Polar Clean'!F13</f>
        <v>8.0599999999999995E-3</v>
      </c>
      <c r="G15" s="6">
        <f>'Drag Polar Clean'!G13</f>
        <v>0</v>
      </c>
      <c r="H15" s="7" t="s">
        <v>899</v>
      </c>
      <c r="I15" s="6">
        <f>'Drag Polar Clean'!I13</f>
        <v>0</v>
      </c>
      <c r="J15" s="6">
        <f>'Drag Polar Clean'!J13</f>
        <v>0</v>
      </c>
      <c r="K15" s="6">
        <f>'Drag Polar Clean'!K13</f>
        <v>0</v>
      </c>
      <c r="L15" s="6">
        <f>'Drag Polar Clean'!L13</f>
        <v>92.601299999999995</v>
      </c>
      <c r="M15" s="6">
        <f>'Drag Polar Clean'!M13</f>
        <v>3.0076000000000001</v>
      </c>
      <c r="N15">
        <f>'CD0 High Lift'!$B$64-$E$51+IF($N$4=1,0.0074,0.0144)*$N$5/CD0!$B$13*$N$6*($N$3-10)</f>
        <v>2.9179467107827168E-2</v>
      </c>
      <c r="O15" s="6">
        <f>$B$5/($F$5*S) * (stdpres($F$2)*(1+(CoolingDrag_IC!$B$27-1)/2*$F$3^2)^(CoolingDrag_IC!$B$27/(CoolingDrag_IC!$B$27-1))/stdpres(0))</f>
        <v>9.743869274026545E-3</v>
      </c>
      <c r="P15">
        <f t="shared" si="1"/>
        <v>4.6983336381853716E-2</v>
      </c>
      <c r="Q15">
        <f t="shared" si="2"/>
        <v>-1.0858956372392696</v>
      </c>
      <c r="R15">
        <f t="shared" ref="R15:R49" si="7">IF(C15&lt;0,0,C15^(3/2)/P15)</f>
        <v>0</v>
      </c>
      <c r="T15">
        <f t="shared" si="3"/>
        <v>3.6816831784628704E-2</v>
      </c>
      <c r="U15">
        <f t="shared" si="4"/>
        <v>-1.3857520467391442</v>
      </c>
      <c r="V15">
        <f t="shared" si="5"/>
        <v>-21.638532680177224</v>
      </c>
      <c r="W15">
        <f t="shared" si="6"/>
        <v>1.0335781572539731E-4</v>
      </c>
      <c r="Y15">
        <f t="shared" ref="Y15:Y49" si="8">$K$82*B15+$L$82</f>
        <v>-0.36834038445156969</v>
      </c>
      <c r="Z15" t="e">
        <f t="shared" ref="Z15:Z49" si="9">$K$105*B15+$L$105</f>
        <v>#VALUE!</v>
      </c>
    </row>
    <row r="16" spans="1:26" x14ac:dyDescent="0.25">
      <c r="B16" s="6">
        <f>'Drag Polar Clean'!B14+($N$9*$N$6*COS($N$8*PI()/180))</f>
        <v>-8.6871467801180575</v>
      </c>
      <c r="C16" s="6">
        <f>'Drag Polar Clean'!C14</f>
        <v>-2.0639999999999999E-3</v>
      </c>
      <c r="D16" s="6">
        <f ca="1">'Drag Polar Clean'!D14+(0.14/$N$7)^2*($M$90-'Drag Polar Clean'!$M$88)^2*COS($B$10*PI()/180)</f>
        <v>4.5013750035895826E-2</v>
      </c>
      <c r="E16" s="6">
        <f>'Drag Polar Clean'!E14</f>
        <v>7.1640000000000002E-3</v>
      </c>
      <c r="F16" s="6">
        <f>'Drag Polar Clean'!F14</f>
        <v>7.6639999999999998E-3</v>
      </c>
      <c r="G16" s="6">
        <f>'Drag Polar Clean'!G14</f>
        <v>0</v>
      </c>
      <c r="H16" s="7" t="s">
        <v>899</v>
      </c>
      <c r="I16" s="6">
        <f>'Drag Polar Clean'!I14</f>
        <v>0</v>
      </c>
      <c r="J16" s="6">
        <f>'Drag Polar Clean'!J14</f>
        <v>0</v>
      </c>
      <c r="K16" s="6">
        <f>'Drag Polar Clean'!K14</f>
        <v>0</v>
      </c>
      <c r="L16" s="6">
        <f>'Drag Polar Clean'!L14</f>
        <v>92.601299999999995</v>
      </c>
      <c r="M16" s="6">
        <f>'Drag Polar Clean'!M14</f>
        <v>56.1477</v>
      </c>
      <c r="N16">
        <f>'CD0 High Lift'!$B$64-$E$51+IF($N$4=1,0.0074,0.0144)*$N$5/CD0!$B$13*$N$6*($N$3-10)</f>
        <v>2.9179467107827168E-2</v>
      </c>
      <c r="O16" s="6">
        <f>$B$5/($F$5*S) * (stdpres($F$2)*(1+(CoolingDrag_IC!$B$27-1)/2*$F$3^2)^(CoolingDrag_IC!$B$27/(CoolingDrag_IC!$B$27-1))/stdpres(0))</f>
        <v>9.743869274026545E-3</v>
      </c>
      <c r="P16">
        <f t="shared" si="1"/>
        <v>4.6587336381853715E-2</v>
      </c>
      <c r="Q16">
        <f t="shared" si="2"/>
        <v>-4.4303885139137314E-2</v>
      </c>
      <c r="R16">
        <f t="shared" si="7"/>
        <v>0</v>
      </c>
      <c r="T16">
        <f t="shared" si="3"/>
        <v>3.6306834969617507E-2</v>
      </c>
      <c r="U16">
        <f t="shared" si="4"/>
        <v>-5.6848800004935932E-2</v>
      </c>
      <c r="V16">
        <f t="shared" si="5"/>
        <v>-22.067158611456001</v>
      </c>
      <c r="W16">
        <f t="shared" si="6"/>
        <v>1.0568870928699067E-4</v>
      </c>
      <c r="Y16">
        <f t="shared" si="8"/>
        <v>-0.31934038445156965</v>
      </c>
      <c r="Z16" t="e">
        <f t="shared" si="9"/>
        <v>#VALUE!</v>
      </c>
    </row>
    <row r="17" spans="2:26" x14ac:dyDescent="0.25">
      <c r="B17" s="6">
        <f>'Drag Polar Clean'!B15+($N$9*$N$6*COS($N$8*PI()/180))</f>
        <v>-8.1871467801180575</v>
      </c>
      <c r="C17" s="6">
        <f>'Drag Polar Clean'!C15</f>
        <v>4.6882E-2</v>
      </c>
      <c r="D17" s="6">
        <f ca="1">'Drag Polar Clean'!D15+(0.14/$N$7)^2*($M$90-'Drag Polar Clean'!$M$88)^2*COS($B$10*PI()/180)</f>
        <v>4.4989750035895823E-2</v>
      </c>
      <c r="E17" s="6">
        <f>'Drag Polar Clean'!E15</f>
        <v>6.9470000000000001E-3</v>
      </c>
      <c r="F17" s="6">
        <f>'Drag Polar Clean'!F15</f>
        <v>7.4229999999999999E-3</v>
      </c>
      <c r="G17" s="6">
        <f>'Drag Polar Clean'!G15</f>
        <v>0</v>
      </c>
      <c r="H17" s="7" t="s">
        <v>899</v>
      </c>
      <c r="I17" s="6">
        <f>'Drag Polar Clean'!I15</f>
        <v>0</v>
      </c>
      <c r="J17" s="6">
        <f>'Drag Polar Clean'!J15</f>
        <v>0</v>
      </c>
      <c r="K17" s="6">
        <f>'Drag Polar Clean'!K15</f>
        <v>0</v>
      </c>
      <c r="L17" s="6">
        <f>'Drag Polar Clean'!L15</f>
        <v>92.601299999999995</v>
      </c>
      <c r="M17" s="6">
        <f>'Drag Polar Clean'!M15</f>
        <v>-1.6759999999999999</v>
      </c>
      <c r="N17">
        <f>'CD0 High Lift'!$B$64-$E$51+IF($N$4=1,0.0074,0.0144)*$N$5/CD0!$B$13*$N$6*($N$3-10)</f>
        <v>2.9179467107827168E-2</v>
      </c>
      <c r="O17" s="6">
        <f>$B$5/($F$5*S) * (stdpres($F$2)*(1+(CoolingDrag_IC!$B$27-1)/2*$F$3^2)^(CoolingDrag_IC!$B$27/(CoolingDrag_IC!$B$27-1))/stdpres(0))</f>
        <v>9.743869274026545E-3</v>
      </c>
      <c r="P17">
        <f t="shared" si="1"/>
        <v>4.6346336381853717E-2</v>
      </c>
      <c r="Q17">
        <f t="shared" si="2"/>
        <v>1.0115578416756155</v>
      </c>
      <c r="R17">
        <f t="shared" si="7"/>
        <v>0.21902504911103812</v>
      </c>
      <c r="T17">
        <f t="shared" si="3"/>
        <v>3.6009309685520657E-2</v>
      </c>
      <c r="U17">
        <f t="shared" si="4"/>
        <v>1.3019410927183437</v>
      </c>
      <c r="V17">
        <f t="shared" si="5"/>
        <v>-22.303870172530797</v>
      </c>
      <c r="W17">
        <f t="shared" si="6"/>
        <v>1.0685412092070237E-4</v>
      </c>
      <c r="Y17">
        <f t="shared" si="8"/>
        <v>-0.2703403844515696</v>
      </c>
      <c r="Z17" t="e">
        <f t="shared" si="9"/>
        <v>#VALUE!</v>
      </c>
    </row>
    <row r="18" spans="2:26" x14ac:dyDescent="0.25">
      <c r="B18" s="6">
        <f>'Drag Polar Clean'!B16+($N$9*$N$6*COS($N$8*PI()/180))</f>
        <v>-7.6871467801180575</v>
      </c>
      <c r="C18" s="6">
        <f>'Drag Polar Clean'!C16</f>
        <v>9.5814999999999997E-2</v>
      </c>
      <c r="D18" s="6">
        <f ca="1">'Drag Polar Clean'!D16+(0.14/$N$7)^2*($M$90-'Drag Polar Clean'!$M$88)^2*COS($B$10*PI()/180)</f>
        <v>4.5123750035895825E-2</v>
      </c>
      <c r="E18" s="6">
        <f>'Drag Polar Clean'!E16</f>
        <v>6.6959999999999997E-3</v>
      </c>
      <c r="F18" s="6">
        <f>'Drag Polar Clean'!F16</f>
        <v>7.306E-3</v>
      </c>
      <c r="G18" s="6">
        <f>'Drag Polar Clean'!G16</f>
        <v>0</v>
      </c>
      <c r="H18" s="7" t="s">
        <v>899</v>
      </c>
      <c r="I18" s="6">
        <f>'Drag Polar Clean'!I16</f>
        <v>0</v>
      </c>
      <c r="J18" s="6">
        <f>'Drag Polar Clean'!J16</f>
        <v>0</v>
      </c>
      <c r="K18" s="6">
        <f>'Drag Polar Clean'!K16</f>
        <v>0</v>
      </c>
      <c r="L18" s="6">
        <f>'Drag Polar Clean'!L16</f>
        <v>92.601299999999995</v>
      </c>
      <c r="M18" s="6">
        <f>'Drag Polar Clean'!M16</f>
        <v>-0.43369999999999997</v>
      </c>
      <c r="N18">
        <f>'CD0 High Lift'!$B$64-$E$51+IF($N$4=1,0.0074,0.0144)*$N$5/CD0!$B$13*$N$6*($N$3-10)</f>
        <v>2.9179467107827168E-2</v>
      </c>
      <c r="O18" s="6">
        <f>$B$5/($F$5*S) * (stdpres($F$2)*(1+(CoolingDrag_IC!$B$27-1)/2*$F$3^2)^(CoolingDrag_IC!$B$27/(CoolingDrag_IC!$B$27-1))/stdpres(0))</f>
        <v>9.743869274026545E-3</v>
      </c>
      <c r="P18">
        <f t="shared" si="1"/>
        <v>4.6229336381853718E-2</v>
      </c>
      <c r="Q18">
        <f t="shared" si="2"/>
        <v>2.0726016745853615</v>
      </c>
      <c r="R18">
        <f t="shared" si="7"/>
        <v>0.64155308351581641</v>
      </c>
      <c r="T18">
        <f t="shared" si="3"/>
        <v>3.5924137076248738E-2</v>
      </c>
      <c r="U18">
        <f t="shared" si="4"/>
        <v>2.6671482684923875</v>
      </c>
      <c r="V18">
        <f t="shared" si="5"/>
        <v>-22.291471416513893</v>
      </c>
      <c r="W18">
        <f t="shared" si="6"/>
        <v>1.0619713272824136E-4</v>
      </c>
      <c r="Y18">
        <f t="shared" si="8"/>
        <v>-0.22134038445156967</v>
      </c>
      <c r="Z18" t="e">
        <f t="shared" si="9"/>
        <v>#VALUE!</v>
      </c>
    </row>
    <row r="19" spans="2:26" x14ac:dyDescent="0.25">
      <c r="B19" s="6">
        <f>'Drag Polar Clean'!B17+($N$9*$N$6*COS($N$8*PI()/180))</f>
        <v>-7.1871467801180575</v>
      </c>
      <c r="C19" s="6">
        <f>'Drag Polar Clean'!C17</f>
        <v>0.144735</v>
      </c>
      <c r="D19" s="6">
        <f ca="1">'Drag Polar Clean'!D17+(0.14/$N$7)^2*($M$90-'Drag Polar Clean'!$M$88)^2*COS($B$10*PI()/180)</f>
        <v>4.5414750035895825E-2</v>
      </c>
      <c r="E19" s="6">
        <f>'Drag Polar Clean'!E17</f>
        <v>6.4229999999999999E-3</v>
      </c>
      <c r="F19" s="6">
        <f>'Drag Polar Clean'!F17</f>
        <v>7.3249999999999999E-3</v>
      </c>
      <c r="G19" s="6">
        <f>'Drag Polar Clean'!G17</f>
        <v>0</v>
      </c>
      <c r="H19" s="7" t="s">
        <v>899</v>
      </c>
      <c r="I19" s="6">
        <f>'Drag Polar Clean'!I17</f>
        <v>0</v>
      </c>
      <c r="J19" s="6">
        <f>'Drag Polar Clean'!J17</f>
        <v>0</v>
      </c>
      <c r="K19" s="6">
        <f>'Drag Polar Clean'!K17</f>
        <v>0</v>
      </c>
      <c r="L19" s="6">
        <f>'Drag Polar Clean'!L17</f>
        <v>92.601299999999995</v>
      </c>
      <c r="M19" s="6">
        <f>'Drag Polar Clean'!M17</f>
        <v>-3.3500000000000002E-2</v>
      </c>
      <c r="N19">
        <f>'CD0 High Lift'!$B$64-$E$51+IF($N$4=1,0.0074,0.0144)*$N$5/CD0!$B$13*$N$6*($N$3-10)</f>
        <v>2.9179467107827168E-2</v>
      </c>
      <c r="O19" s="6">
        <f>$B$5/($F$5*S) * (stdpres($F$2)*(1+(CoolingDrag_IC!$B$27-1)/2*$F$3^2)^(CoolingDrag_IC!$B$27/(CoolingDrag_IC!$B$27-1))/stdpres(0))</f>
        <v>9.743869274026545E-3</v>
      </c>
      <c r="P19">
        <f t="shared" si="1"/>
        <v>4.6248336381853716E-2</v>
      </c>
      <c r="Q19">
        <f t="shared" si="2"/>
        <v>3.1295179745490072</v>
      </c>
      <c r="R19">
        <f t="shared" si="7"/>
        <v>1.1905954897693509</v>
      </c>
      <c r="T19">
        <f t="shared" si="3"/>
        <v>3.6051147980440373E-2</v>
      </c>
      <c r="U19">
        <f t="shared" si="4"/>
        <v>4.0147126543245246</v>
      </c>
      <c r="V19">
        <f t="shared" si="5"/>
        <v>-22.04876801885219</v>
      </c>
      <c r="W19">
        <f t="shared" si="6"/>
        <v>1.039826512939188E-4</v>
      </c>
      <c r="Y19">
        <f t="shared" si="8"/>
        <v>-0.17234038445156963</v>
      </c>
      <c r="Z19" t="e">
        <f t="shared" si="9"/>
        <v>#VALUE!</v>
      </c>
    </row>
    <row r="20" spans="2:26" x14ac:dyDescent="0.25">
      <c r="B20" s="6">
        <f>'Drag Polar Clean'!B18+($N$9*$N$6*COS($N$8*PI()/180))</f>
        <v>-6.6871467801180575</v>
      </c>
      <c r="C20" s="6">
        <f>'Drag Polar Clean'!C18</f>
        <v>0.19363900000000001</v>
      </c>
      <c r="D20" s="6">
        <f ca="1">'Drag Polar Clean'!D18+(0.14/$N$7)^2*($M$90-'Drag Polar Clean'!$M$88)^2*COS($B$10*PI()/180)</f>
        <v>4.5864750035895824E-2</v>
      </c>
      <c r="E20" s="6">
        <f>'Drag Polar Clean'!E18</f>
        <v>6.0289999999999996E-3</v>
      </c>
      <c r="F20" s="6">
        <f>'Drag Polar Clean'!F18</f>
        <v>7.3800000000000003E-3</v>
      </c>
      <c r="G20" s="6">
        <f>'Drag Polar Clean'!G18</f>
        <v>0</v>
      </c>
      <c r="H20" s="7" t="s">
        <v>899</v>
      </c>
      <c r="I20" s="6">
        <f>'Drag Polar Clean'!I18</f>
        <v>0</v>
      </c>
      <c r="J20" s="6">
        <f>'Drag Polar Clean'!J18</f>
        <v>0</v>
      </c>
      <c r="K20" s="6">
        <f>'Drag Polar Clean'!K18</f>
        <v>0</v>
      </c>
      <c r="L20" s="6">
        <f>'Drag Polar Clean'!L18</f>
        <v>92.601299999999995</v>
      </c>
      <c r="M20" s="6">
        <f>'Drag Polar Clean'!M18</f>
        <v>0.16300000000000001</v>
      </c>
      <c r="N20">
        <f>'CD0 High Lift'!$B$64-$E$51+IF($N$4=1,0.0074,0.0144)*$N$5/CD0!$B$13*$N$6*($N$3-10)</f>
        <v>2.9179467107827168E-2</v>
      </c>
      <c r="O20" s="6">
        <f>$B$5/($F$5*S) * (stdpres($F$2)*(1+(CoolingDrag_IC!$B$27-1)/2*$F$3^2)^(CoolingDrag_IC!$B$27/(CoolingDrag_IC!$B$27-1))/stdpres(0))</f>
        <v>9.743869274026545E-3</v>
      </c>
      <c r="P20">
        <f t="shared" si="1"/>
        <v>4.6303336381853716E-2</v>
      </c>
      <c r="Q20">
        <f t="shared" si="2"/>
        <v>4.1819664657229136</v>
      </c>
      <c r="R20">
        <f t="shared" si="7"/>
        <v>1.8402505727353375</v>
      </c>
      <c r="T20">
        <f t="shared" si="3"/>
        <v>3.6390145983203538E-2</v>
      </c>
      <c r="U20">
        <f t="shared" si="4"/>
        <v>5.3211932727441438</v>
      </c>
      <c r="V20">
        <f t="shared" si="5"/>
        <v>-21.40923564750975</v>
      </c>
      <c r="W20">
        <f t="shared" si="6"/>
        <v>9.8271343879890067E-5</v>
      </c>
      <c r="Y20">
        <f t="shared" si="8"/>
        <v>-0.12334038445156958</v>
      </c>
      <c r="Z20" t="e">
        <f t="shared" si="9"/>
        <v>#VALUE!</v>
      </c>
    </row>
    <row r="21" spans="2:26" x14ac:dyDescent="0.25">
      <c r="B21" s="6">
        <f>'Drag Polar Clean'!B19+($N$9*$N$6*COS($N$8*PI()/180))</f>
        <v>-6.1871467801180575</v>
      </c>
      <c r="C21" s="6">
        <f>'Drag Polar Clean'!C19</f>
        <v>0.24252599999999999</v>
      </c>
      <c r="D21" s="6">
        <f ca="1">'Drag Polar Clean'!D19+(0.14/$N$7)^2*($M$90-'Drag Polar Clean'!$M$88)^2*COS($B$10*PI()/180)</f>
        <v>4.6472750035895828E-2</v>
      </c>
      <c r="E21" s="6">
        <f>'Drag Polar Clean'!E19</f>
        <v>5.4819999999999999E-3</v>
      </c>
      <c r="F21" s="6">
        <f>'Drag Polar Clean'!F19</f>
        <v>7.4409999999999997E-3</v>
      </c>
      <c r="G21" s="6">
        <f>'Drag Polar Clean'!G19</f>
        <v>0</v>
      </c>
      <c r="H21" s="7" t="s">
        <v>899</v>
      </c>
      <c r="I21" s="6">
        <f>'Drag Polar Clean'!I19</f>
        <v>0</v>
      </c>
      <c r="J21" s="6">
        <f>'Drag Polar Clean'!J19</f>
        <v>0</v>
      </c>
      <c r="K21" s="6">
        <f>'Drag Polar Clean'!K19</f>
        <v>0</v>
      </c>
      <c r="L21" s="6">
        <f>'Drag Polar Clean'!L19</f>
        <v>92.601299999999995</v>
      </c>
      <c r="M21" s="6">
        <f>'Drag Polar Clean'!M19</f>
        <v>0.27900000000000003</v>
      </c>
      <c r="N21">
        <f>'CD0 High Lift'!$B$64-$E$51+IF($N$4=1,0.0074,0.0144)*$N$5/CD0!$B$13*$N$6*($N$3-10)</f>
        <v>2.9179467107827168E-2</v>
      </c>
      <c r="O21" s="6">
        <f>$B$5/($F$5*S) * (stdpres($F$2)*(1+(CoolingDrag_IC!$B$27-1)/2*$F$3^2)^(CoolingDrag_IC!$B$27/(CoolingDrag_IC!$B$27-1))/stdpres(0))</f>
        <v>9.743869274026545E-3</v>
      </c>
      <c r="P21">
        <f t="shared" si="1"/>
        <v>4.6364336381853714E-2</v>
      </c>
      <c r="Q21">
        <f t="shared" si="2"/>
        <v>5.23087396318091</v>
      </c>
      <c r="R21">
        <f t="shared" si="7"/>
        <v>2.5760447782664309</v>
      </c>
      <c r="T21">
        <f t="shared" si="3"/>
        <v>3.6940909576532691E-2</v>
      </c>
      <c r="U21">
        <f t="shared" si="4"/>
        <v>6.5652417003307511</v>
      </c>
      <c r="V21">
        <f t="shared" si="5"/>
        <v>-20.324731335978331</v>
      </c>
      <c r="W21">
        <f t="shared" si="6"/>
        <v>8.8800972755242801E-5</v>
      </c>
      <c r="Y21">
        <f t="shared" si="8"/>
        <v>-7.4340384451569652E-2</v>
      </c>
      <c r="Z21" t="e">
        <f t="shared" si="9"/>
        <v>#VALUE!</v>
      </c>
    </row>
    <row r="22" spans="2:26" x14ac:dyDescent="0.25">
      <c r="B22" s="6">
        <f>'Drag Polar Clean'!B20+($N$9*$N$6*COS($N$8*PI()/180))</f>
        <v>-5.6871467801180575</v>
      </c>
      <c r="C22" s="6">
        <f>'Drag Polar Clean'!C20</f>
        <v>0.29139300000000001</v>
      </c>
      <c r="D22" s="6">
        <f ca="1">'Drag Polar Clean'!D20+(0.14/$N$7)^2*($M$90-'Drag Polar Clean'!$M$88)^2*COS($B$10*PI()/180)</f>
        <v>4.7238750035895824E-2</v>
      </c>
      <c r="E22" s="6">
        <f>'Drag Polar Clean'!E20</f>
        <v>4.6189999999999998E-3</v>
      </c>
      <c r="F22" s="6">
        <f>'Drag Polar Clean'!F20</f>
        <v>7.3439999999999998E-3</v>
      </c>
      <c r="G22" s="6">
        <f>'Drag Polar Clean'!G20</f>
        <v>0</v>
      </c>
      <c r="H22" s="7" t="s">
        <v>899</v>
      </c>
      <c r="I22" s="6">
        <f>'Drag Polar Clean'!I20</f>
        <v>0</v>
      </c>
      <c r="J22" s="6">
        <f>'Drag Polar Clean'!J20</f>
        <v>0</v>
      </c>
      <c r="K22" s="6">
        <f>'Drag Polar Clean'!K20</f>
        <v>0</v>
      </c>
      <c r="L22" s="6">
        <f>'Drag Polar Clean'!L20</f>
        <v>92.601299999999995</v>
      </c>
      <c r="M22" s="6">
        <f>'Drag Polar Clean'!M20</f>
        <v>0.35499999999999998</v>
      </c>
      <c r="N22">
        <f>'CD0 High Lift'!$B$64-$E$51+IF($N$4=1,0.0074,0.0144)*$N$5/CD0!$B$13*$N$6*($N$3-10)</f>
        <v>2.9179467107827168E-2</v>
      </c>
      <c r="O22" s="6">
        <f>$B$5/($F$5*S) * (stdpres($F$2)*(1+(CoolingDrag_IC!$B$27-1)/2*$F$3^2)^(CoolingDrag_IC!$B$27/(CoolingDrag_IC!$B$27-1))/stdpres(0))</f>
        <v>9.743869274026545E-3</v>
      </c>
      <c r="P22">
        <f t="shared" si="1"/>
        <v>4.6267336381853714E-2</v>
      </c>
      <c r="Q22">
        <f t="shared" si="2"/>
        <v>6.2980284318741511</v>
      </c>
      <c r="R22">
        <f t="shared" si="7"/>
        <v>3.3997280167929431</v>
      </c>
      <c r="T22">
        <f t="shared" si="3"/>
        <v>3.7703164463855542E-2</v>
      </c>
      <c r="U22">
        <f t="shared" si="4"/>
        <v>7.7286085702261511</v>
      </c>
      <c r="V22">
        <f t="shared" si="5"/>
        <v>-18.510190098942207</v>
      </c>
      <c r="W22">
        <f t="shared" si="6"/>
        <v>7.3345040641028503E-5</v>
      </c>
      <c r="Y22">
        <f t="shared" si="8"/>
        <v>-2.5340384451569609E-2</v>
      </c>
      <c r="Z22" t="e">
        <f t="shared" si="9"/>
        <v>#VALUE!</v>
      </c>
    </row>
    <row r="23" spans="2:26" x14ac:dyDescent="0.25">
      <c r="B23" s="6">
        <f>'Drag Polar Clean'!B21+($N$9*$N$6*COS($N$8*PI()/180))</f>
        <v>-5.1871467801180575</v>
      </c>
      <c r="C23" s="6">
        <f>'Drag Polar Clean'!C21</f>
        <v>0.34023900000000001</v>
      </c>
      <c r="D23" s="6">
        <f ca="1">'Drag Polar Clean'!D21+(0.14/$N$7)^2*($M$90-'Drag Polar Clean'!$M$88)^2*COS($B$10*PI()/180)</f>
        <v>4.8163750035895826E-2</v>
      </c>
      <c r="E23" s="6">
        <f>'Drag Polar Clean'!E21</f>
        <v>4.2690000000000002E-3</v>
      </c>
      <c r="F23" s="6">
        <f>'Drag Polar Clean'!F21</f>
        <v>7.9190000000000007E-3</v>
      </c>
      <c r="G23" s="6">
        <f>'Drag Polar Clean'!G21</f>
        <v>0</v>
      </c>
      <c r="H23" s="7" t="s">
        <v>899</v>
      </c>
      <c r="I23" s="6">
        <f>'Drag Polar Clean'!I21</f>
        <v>0</v>
      </c>
      <c r="J23" s="6">
        <f>'Drag Polar Clean'!J21</f>
        <v>0</v>
      </c>
      <c r="K23" s="6">
        <f>'Drag Polar Clean'!K21</f>
        <v>0</v>
      </c>
      <c r="L23" s="6">
        <f>'Drag Polar Clean'!L21</f>
        <v>92.601299999999995</v>
      </c>
      <c r="M23" s="6">
        <f>'Drag Polar Clean'!M21</f>
        <v>0.40820000000000001</v>
      </c>
      <c r="N23">
        <f>'CD0 High Lift'!$B$64-$E$51+IF($N$4=1,0.0074,0.0144)*$N$5/CD0!$B$13*$N$6*($N$3-10)</f>
        <v>2.9179467107827168E-2</v>
      </c>
      <c r="O23" s="6">
        <f>$B$5/($F$5*S) * (stdpres($F$2)*(1+(CoolingDrag_IC!$B$27-1)/2*$F$3^2)^(CoolingDrag_IC!$B$27/(CoolingDrag_IC!$B$27-1))/stdpres(0))</f>
        <v>9.743869274026545E-3</v>
      </c>
      <c r="P23">
        <f t="shared" si="1"/>
        <v>4.6842336381853714E-2</v>
      </c>
      <c r="Q23">
        <f t="shared" si="2"/>
        <v>7.2634933754458384</v>
      </c>
      <c r="R23">
        <f t="shared" si="7"/>
        <v>4.236796370780298</v>
      </c>
      <c r="T23">
        <f t="shared" si="3"/>
        <v>3.8676628653767454E-2</v>
      </c>
      <c r="U23">
        <f t="shared" si="4"/>
        <v>8.7970180401661668</v>
      </c>
      <c r="V23">
        <f t="shared" si="5"/>
        <v>-17.432323745596896</v>
      </c>
      <c r="W23">
        <f t="shared" si="6"/>
        <v>6.6678782700527655E-5</v>
      </c>
      <c r="Y23">
        <f t="shared" si="8"/>
        <v>2.3659615548430324E-2</v>
      </c>
      <c r="Z23" t="e">
        <f t="shared" si="9"/>
        <v>#VALUE!</v>
      </c>
    </row>
    <row r="24" spans="2:26" x14ac:dyDescent="0.25">
      <c r="B24" s="6">
        <f>'Drag Polar Clean'!B22+($N$9*$N$6*COS($N$8*PI()/180))</f>
        <v>-4.6871467801180575</v>
      </c>
      <c r="C24" s="6">
        <f>'Drag Polar Clean'!C22</f>
        <v>0.38906200000000002</v>
      </c>
      <c r="D24" s="6">
        <f ca="1">'Drag Polar Clean'!D22+(0.14/$N$7)^2*($M$90-'Drag Polar Clean'!$M$88)^2*COS($B$10*PI()/180)</f>
        <v>4.9246750035895827E-2</v>
      </c>
      <c r="E24" s="6">
        <f>'Drag Polar Clean'!E22</f>
        <v>4.1809999999999998E-3</v>
      </c>
      <c r="F24" s="6">
        <f>'Drag Polar Clean'!F22</f>
        <v>8.914E-3</v>
      </c>
      <c r="G24" s="6">
        <f>'Drag Polar Clean'!G22</f>
        <v>0</v>
      </c>
      <c r="H24" s="7" t="s">
        <v>899</v>
      </c>
      <c r="I24" s="6">
        <f>'Drag Polar Clean'!I22</f>
        <v>0</v>
      </c>
      <c r="J24" s="6">
        <f>'Drag Polar Clean'!J22</f>
        <v>0</v>
      </c>
      <c r="K24" s="6">
        <f>'Drag Polar Clean'!K22</f>
        <v>0</v>
      </c>
      <c r="L24" s="6">
        <f>'Drag Polar Clean'!L22</f>
        <v>92.601299999999995</v>
      </c>
      <c r="M24" s="6">
        <f>'Drag Polar Clean'!M22</f>
        <v>0.44719999999999999</v>
      </c>
      <c r="N24">
        <f>'CD0 High Lift'!$B$64-$E$51+IF($N$4=1,0.0074,0.0144)*$N$5/CD0!$B$13*$N$6*($N$3-10)</f>
        <v>2.9179467107827168E-2</v>
      </c>
      <c r="O24" s="6">
        <f>$B$5/($F$5*S) * (stdpres($F$2)*(1+(CoolingDrag_IC!$B$27-1)/2*$F$3^2)^(CoolingDrag_IC!$B$27/(CoolingDrag_IC!$B$27-1))/stdpres(0))</f>
        <v>9.743869274026545E-3</v>
      </c>
      <c r="P24">
        <f t="shared" si="1"/>
        <v>4.7837336381853716E-2</v>
      </c>
      <c r="Q24">
        <f t="shared" si="2"/>
        <v>8.1330197169502956</v>
      </c>
      <c r="R24">
        <f t="shared" si="7"/>
        <v>5.0729576020546441</v>
      </c>
      <c r="T24">
        <f t="shared" si="3"/>
        <v>3.9860976527570396E-2</v>
      </c>
      <c r="U24">
        <f t="shared" si="4"/>
        <v>9.7604733725201118</v>
      </c>
      <c r="V24">
        <f t="shared" si="5"/>
        <v>-16.673921370983809</v>
      </c>
      <c r="W24">
        <f t="shared" si="6"/>
        <v>6.3622316525022631E-5</v>
      </c>
      <c r="Y24">
        <f t="shared" si="8"/>
        <v>7.2659615548430367E-2</v>
      </c>
      <c r="Z24" t="e">
        <f t="shared" si="9"/>
        <v>#VALUE!</v>
      </c>
    </row>
    <row r="25" spans="2:26" x14ac:dyDescent="0.25">
      <c r="B25" s="6">
        <f>'Drag Polar Clean'!B23+($N$9*$N$6*COS($N$8*PI()/180))</f>
        <v>-4.1871467801180575</v>
      </c>
      <c r="C25" s="6">
        <f>'Drag Polar Clean'!C23</f>
        <v>0.43786000000000003</v>
      </c>
      <c r="D25" s="6">
        <f ca="1">'Drag Polar Clean'!D23+(0.14/$N$7)^2*($M$90-'Drag Polar Clean'!$M$88)^2*COS($B$10*PI()/180)</f>
        <v>5.0488750035895827E-2</v>
      </c>
      <c r="E25" s="6">
        <f>'Drag Polar Clean'!E23</f>
        <v>4.2259999999999997E-3</v>
      </c>
      <c r="F25" s="6">
        <f>'Drag Polar Clean'!F23</f>
        <v>1.0200000000000001E-2</v>
      </c>
      <c r="G25" s="6">
        <f>'Drag Polar Clean'!G23</f>
        <v>0</v>
      </c>
      <c r="H25" s="7" t="s">
        <v>899</v>
      </c>
      <c r="I25" s="6">
        <f>'Drag Polar Clean'!I23</f>
        <v>0</v>
      </c>
      <c r="J25" s="6">
        <f>'Drag Polar Clean'!J23</f>
        <v>0</v>
      </c>
      <c r="K25" s="6">
        <f>'Drag Polar Clean'!K23</f>
        <v>0</v>
      </c>
      <c r="L25" s="6">
        <f>'Drag Polar Clean'!L23</f>
        <v>92.601299999999995</v>
      </c>
      <c r="M25" s="6">
        <f>'Drag Polar Clean'!M23</f>
        <v>0.47670000000000001</v>
      </c>
      <c r="N25">
        <f>'CD0 High Lift'!$B$64-$E$51+IF($N$4=1,0.0074,0.0144)*$N$5/CD0!$B$13*$N$6*($N$3-10)</f>
        <v>2.9179467107827168E-2</v>
      </c>
      <c r="O25" s="6">
        <f>$B$5/($F$5*S) * (stdpres($F$2)*(1+(CoolingDrag_IC!$B$27-1)/2*$F$3^2)^(CoolingDrag_IC!$B$27/(CoolingDrag_IC!$B$27-1))/stdpres(0))</f>
        <v>9.743869274026545E-3</v>
      </c>
      <c r="P25">
        <f t="shared" si="1"/>
        <v>4.9123336381853712E-2</v>
      </c>
      <c r="Q25">
        <f t="shared" si="2"/>
        <v>8.9134825166668978</v>
      </c>
      <c r="R25">
        <f t="shared" si="7"/>
        <v>5.8981396802667634</v>
      </c>
      <c r="T25">
        <f t="shared" si="3"/>
        <v>4.1255847977676882E-2</v>
      </c>
      <c r="U25">
        <f t="shared" si="4"/>
        <v>10.613283242582279</v>
      </c>
      <c r="V25">
        <f t="shared" si="5"/>
        <v>-16.015785945441401</v>
      </c>
      <c r="W25">
        <f t="shared" si="6"/>
        <v>6.1897373789856876E-5</v>
      </c>
      <c r="Y25">
        <f t="shared" si="8"/>
        <v>0.12165961554843036</v>
      </c>
      <c r="Z25" t="e">
        <f t="shared" si="9"/>
        <v>#VALUE!</v>
      </c>
    </row>
    <row r="26" spans="2:26" x14ac:dyDescent="0.25">
      <c r="B26" s="6">
        <f>'Drag Polar Clean'!B24+($N$9*$N$6*COS($N$8*PI()/180))</f>
        <v>-3.6871467801180575</v>
      </c>
      <c r="C26" s="6">
        <f>'Drag Polar Clean'!C24</f>
        <v>0.48663099999999998</v>
      </c>
      <c r="D26" s="6">
        <f ca="1">'Drag Polar Clean'!D24+(0.14/$N$7)^2*($M$90-'Drag Polar Clean'!$M$88)^2*COS($B$10*PI()/180)</f>
        <v>5.1888750035895825E-2</v>
      </c>
      <c r="E26" s="6">
        <f>'Drag Polar Clean'!E24</f>
        <v>4.555E-3</v>
      </c>
      <c r="F26" s="6">
        <f>'Drag Polar Clean'!F24</f>
        <v>1.1929E-2</v>
      </c>
      <c r="G26" s="6">
        <f>'Drag Polar Clean'!G24</f>
        <v>0</v>
      </c>
      <c r="H26" s="7" t="s">
        <v>899</v>
      </c>
      <c r="I26" s="6">
        <f>'Drag Polar Clean'!I24</f>
        <v>0</v>
      </c>
      <c r="J26" s="6">
        <f>'Drag Polar Clean'!J24</f>
        <v>0</v>
      </c>
      <c r="K26" s="6">
        <f>'Drag Polar Clean'!K24</f>
        <v>0</v>
      </c>
      <c r="L26" s="6">
        <f>'Drag Polar Clean'!L24</f>
        <v>92.601299999999995</v>
      </c>
      <c r="M26" s="6">
        <f>'Drag Polar Clean'!M24</f>
        <v>0.49959999999999999</v>
      </c>
      <c r="N26">
        <f>'CD0 High Lift'!$B$64-$E$51+IF($N$4=1,0.0074,0.0144)*$N$5/CD0!$B$13*$N$6*($N$3-10)</f>
        <v>2.9179467107827168E-2</v>
      </c>
      <c r="O26" s="6">
        <f>$B$5/($F$5*S) * (stdpres($F$2)*(1+(CoolingDrag_IC!$B$27-1)/2*$F$3^2)^(CoolingDrag_IC!$B$27/(CoolingDrag_IC!$B$27-1))/stdpres(0))</f>
        <v>9.743869274026545E-3</v>
      </c>
      <c r="P26">
        <f t="shared" si="1"/>
        <v>5.0852336381853713E-2</v>
      </c>
      <c r="Q26">
        <f t="shared" si="2"/>
        <v>9.5694914850294026</v>
      </c>
      <c r="R26">
        <f t="shared" si="7"/>
        <v>6.6755760223093388</v>
      </c>
      <c r="T26">
        <f t="shared" si="3"/>
        <v>4.2860848450157633E-2</v>
      </c>
      <c r="U26">
        <f t="shared" si="4"/>
        <v>11.353741645266247</v>
      </c>
      <c r="V26">
        <f t="shared" si="5"/>
        <v>-15.715085088101841</v>
      </c>
      <c r="W26">
        <f t="shared" si="6"/>
        <v>6.386387936244409E-5</v>
      </c>
      <c r="Y26">
        <f t="shared" si="8"/>
        <v>0.1706596155484304</v>
      </c>
      <c r="Z26" t="e">
        <f t="shared" si="9"/>
        <v>#VALUE!</v>
      </c>
    </row>
    <row r="27" spans="2:26" x14ac:dyDescent="0.25">
      <c r="B27" s="6">
        <f>'Drag Polar Clean'!B25+($N$9*$N$6*COS($N$8*PI()/180))</f>
        <v>-3.1871467801180575</v>
      </c>
      <c r="C27" s="6">
        <f>'Drag Polar Clean'!C25</f>
        <v>0.53537400000000002</v>
      </c>
      <c r="D27" s="6">
        <f ca="1">'Drag Polar Clean'!D25+(0.14/$N$7)^2*($M$90-'Drag Polar Clean'!$M$88)^2*COS($B$10*PI()/180)</f>
        <v>5.3446750035895829E-2</v>
      </c>
      <c r="E27" s="6">
        <f>'Drag Polar Clean'!E25</f>
        <v>5.3819999999999996E-3</v>
      </c>
      <c r="F27" s="6">
        <f>'Drag Polar Clean'!F25</f>
        <v>1.4316000000000001E-2</v>
      </c>
      <c r="G27" s="6">
        <f>'Drag Polar Clean'!G25</f>
        <v>0</v>
      </c>
      <c r="H27" s="7" t="s">
        <v>899</v>
      </c>
      <c r="I27" s="6">
        <f>'Drag Polar Clean'!I25</f>
        <v>0</v>
      </c>
      <c r="J27" s="6">
        <f>'Drag Polar Clean'!J25</f>
        <v>0</v>
      </c>
      <c r="K27" s="6">
        <f>'Drag Polar Clean'!K25</f>
        <v>0</v>
      </c>
      <c r="L27" s="6">
        <f>'Drag Polar Clean'!L25</f>
        <v>92.601299999999995</v>
      </c>
      <c r="M27" s="6">
        <f>'Drag Polar Clean'!M25</f>
        <v>0.51770000000000005</v>
      </c>
      <c r="N27">
        <f>'CD0 High Lift'!$B$64-$E$51+IF($N$4=1,0.0074,0.0144)*$N$5/CD0!$B$13*$N$6*($N$3-10)</f>
        <v>2.9179467107827168E-2</v>
      </c>
      <c r="O27" s="6">
        <f>$B$5/($F$5*S) * (stdpres($F$2)*(1+(CoolingDrag_IC!$B$27-1)/2*$F$3^2)^(CoolingDrag_IC!$B$27/(CoolingDrag_IC!$B$27-1))/stdpres(0))</f>
        <v>9.743869274026545E-3</v>
      </c>
      <c r="P27">
        <f t="shared" si="1"/>
        <v>5.3239336381853714E-2</v>
      </c>
      <c r="Q27">
        <f t="shared" si="2"/>
        <v>10.055985599821993</v>
      </c>
      <c r="R27">
        <f t="shared" si="7"/>
        <v>7.3578898306440514</v>
      </c>
      <c r="T27">
        <f t="shared" si="3"/>
        <v>4.4675588381885574E-2</v>
      </c>
      <c r="U27">
        <f t="shared" si="4"/>
        <v>11.983591473348696</v>
      </c>
      <c r="V27">
        <f t="shared" si="5"/>
        <v>-16.085377057567978</v>
      </c>
      <c r="W27">
        <f t="shared" si="6"/>
        <v>7.3337779806958311E-5</v>
      </c>
      <c r="Y27">
        <f t="shared" si="8"/>
        <v>0.21965961554843039</v>
      </c>
      <c r="Z27" t="e">
        <f t="shared" si="9"/>
        <v>#VALUE!</v>
      </c>
    </row>
    <row r="28" spans="2:26" x14ac:dyDescent="0.25">
      <c r="B28" s="6">
        <f>'Drag Polar Clean'!B26+($N$9*$N$6*COS($N$8*PI()/180))</f>
        <v>-2.6871467801180575</v>
      </c>
      <c r="C28" s="6">
        <f>'Drag Polar Clean'!C26</f>
        <v>0.58408499999999997</v>
      </c>
      <c r="D28" s="6">
        <f ca="1">'Drag Polar Clean'!D26+(0.14/$N$7)^2*($M$90-'Drag Polar Clean'!$M$88)^2*COS($B$10*PI()/180)</f>
        <v>5.5164750035895826E-2</v>
      </c>
      <c r="E28" s="6">
        <f>'Drag Polar Clean'!E26</f>
        <v>6.326E-3</v>
      </c>
      <c r="F28" s="6">
        <f>'Drag Polar Clean'!F26</f>
        <v>1.6976999999999999E-2</v>
      </c>
      <c r="G28" s="6">
        <f>'Drag Polar Clean'!G26</f>
        <v>0</v>
      </c>
      <c r="H28" s="7" t="s">
        <v>899</v>
      </c>
      <c r="I28" s="6">
        <f>'Drag Polar Clean'!I26</f>
        <v>0</v>
      </c>
      <c r="J28" s="6">
        <f>'Drag Polar Clean'!J26</f>
        <v>0</v>
      </c>
      <c r="K28" s="6">
        <f>'Drag Polar Clean'!K26</f>
        <v>0</v>
      </c>
      <c r="L28" s="6">
        <f>'Drag Polar Clean'!L26</f>
        <v>92.601299999999995</v>
      </c>
      <c r="M28" s="6">
        <f>'Drag Polar Clean'!M26</f>
        <v>0.53210000000000002</v>
      </c>
      <c r="N28">
        <f>'CD0 High Lift'!$B$64-$E$51+IF($N$4=1,0.0074,0.0144)*$N$5/CD0!$B$13*$N$6*($N$3-10)</f>
        <v>2.9179467107827168E-2</v>
      </c>
      <c r="O28" s="6">
        <f>$B$5/($F$5*S) * (stdpres($F$2)*(1+(CoolingDrag_IC!$B$27-1)/2*$F$3^2)^(CoolingDrag_IC!$B$27/(CoolingDrag_IC!$B$27-1))/stdpres(0))</f>
        <v>9.743869274026545E-3</v>
      </c>
      <c r="P28">
        <f t="shared" si="1"/>
        <v>5.5900336381853717E-2</v>
      </c>
      <c r="Q28">
        <f t="shared" si="2"/>
        <v>10.448684888229129</v>
      </c>
      <c r="R28">
        <f t="shared" si="7"/>
        <v>7.9854548497978177</v>
      </c>
      <c r="T28">
        <f t="shared" si="3"/>
        <v>4.6699530003764714E-2</v>
      </c>
      <c r="U28">
        <f t="shared" si="4"/>
        <v>12.507299322989194</v>
      </c>
      <c r="V28">
        <f t="shared" si="5"/>
        <v>-16.459304135915282</v>
      </c>
      <c r="W28">
        <f t="shared" si="6"/>
        <v>8.4654838007083288E-5</v>
      </c>
      <c r="Y28">
        <f t="shared" si="8"/>
        <v>0.26865961554843037</v>
      </c>
      <c r="Z28" t="e">
        <f t="shared" si="9"/>
        <v>#VALUE!</v>
      </c>
    </row>
    <row r="29" spans="2:26" x14ac:dyDescent="0.25">
      <c r="B29" s="6">
        <f>'Drag Polar Clean'!B27+($N$9*$N$6*COS($N$8*PI()/180))</f>
        <v>-2.1871467801180575</v>
      </c>
      <c r="C29" s="6">
        <f>'Drag Polar Clean'!C27</f>
        <v>0.63276399999999999</v>
      </c>
      <c r="D29" s="6">
        <f ca="1">'Drag Polar Clean'!D27+(0.14/$N$7)^2*($M$90-'Drag Polar Clean'!$M$88)^2*COS($B$10*PI()/180)</f>
        <v>5.7040750035895829E-2</v>
      </c>
      <c r="E29" s="6">
        <f>'Drag Polar Clean'!E27</f>
        <v>7.143E-3</v>
      </c>
      <c r="F29" s="6">
        <f>'Drag Polar Clean'!F27</f>
        <v>1.967E-2</v>
      </c>
      <c r="G29" s="6">
        <f>'Drag Polar Clean'!G27</f>
        <v>0</v>
      </c>
      <c r="H29" s="7" t="s">
        <v>899</v>
      </c>
      <c r="I29" s="6">
        <f>'Drag Polar Clean'!I27</f>
        <v>0</v>
      </c>
      <c r="J29" s="6">
        <f>'Drag Polar Clean'!J27</f>
        <v>0</v>
      </c>
      <c r="K29" s="6">
        <f>'Drag Polar Clean'!K27</f>
        <v>0</v>
      </c>
      <c r="L29" s="6">
        <f>'Drag Polar Clean'!L27</f>
        <v>92.601299999999995</v>
      </c>
      <c r="M29" s="6">
        <f>'Drag Polar Clean'!M27</f>
        <v>0.54379999999999995</v>
      </c>
      <c r="N29">
        <f>'CD0 High Lift'!$B$64-$E$51+IF($N$4=1,0.0074,0.0144)*$N$5/CD0!$B$13*$N$6*($N$3-10)</f>
        <v>2.9179467107827168E-2</v>
      </c>
      <c r="O29" s="6">
        <f>$B$5/($F$5*S) * (stdpres($F$2)*(1+(CoolingDrag_IC!$B$27-1)/2*$F$3^2)^(CoolingDrag_IC!$B$27/(CoolingDrag_IC!$B$27-1))/stdpres(0))</f>
        <v>9.743869274026545E-3</v>
      </c>
      <c r="P29">
        <f t="shared" si="1"/>
        <v>5.8593336381853718E-2</v>
      </c>
      <c r="Q29">
        <f t="shared" si="2"/>
        <v>10.799248499458484</v>
      </c>
      <c r="R29">
        <f t="shared" si="7"/>
        <v>8.5904203640800105</v>
      </c>
      <c r="T29">
        <f t="shared" si="3"/>
        <v>4.8932258807715109E-2</v>
      </c>
      <c r="U29">
        <f t="shared" si="4"/>
        <v>12.93142837502185</v>
      </c>
      <c r="V29">
        <f t="shared" si="5"/>
        <v>-16.488355452533391</v>
      </c>
      <c r="W29">
        <f t="shared" si="6"/>
        <v>9.3336419893523951E-5</v>
      </c>
      <c r="Y29">
        <f t="shared" si="8"/>
        <v>0.31765961554843036</v>
      </c>
      <c r="Z29" t="e">
        <f t="shared" si="9"/>
        <v>#VALUE!</v>
      </c>
    </row>
    <row r="30" spans="2:26" x14ac:dyDescent="0.25">
      <c r="B30" s="6">
        <f>'Drag Polar Clean'!B28+($N$9*$N$6*COS($N$8*PI()/180))</f>
        <v>-1.6871467801180575</v>
      </c>
      <c r="C30" s="6">
        <f>'Drag Polar Clean'!C28</f>
        <v>0.68140699999999998</v>
      </c>
      <c r="D30" s="6">
        <f ca="1">'Drag Polar Clean'!D28+(0.14/$N$7)^2*($M$90-'Drag Polar Clean'!$M$88)^2*COS($B$10*PI()/180)</f>
        <v>5.9078750035895827E-2</v>
      </c>
      <c r="E30" s="6">
        <f>'Drag Polar Clean'!E28</f>
        <v>7.8410000000000007E-3</v>
      </c>
      <c r="F30" s="6">
        <f>'Drag Polar Clean'!F28</f>
        <v>2.2407E-2</v>
      </c>
      <c r="G30" s="6">
        <f>'Drag Polar Clean'!G28</f>
        <v>0</v>
      </c>
      <c r="H30" s="7" t="s">
        <v>899</v>
      </c>
      <c r="I30" s="6">
        <f>'Drag Polar Clean'!I28</f>
        <v>0</v>
      </c>
      <c r="J30" s="6">
        <f>'Drag Polar Clean'!J28</f>
        <v>0</v>
      </c>
      <c r="K30" s="6">
        <f>'Drag Polar Clean'!K28</f>
        <v>0</v>
      </c>
      <c r="L30" s="6">
        <f>'Drag Polar Clean'!L28</f>
        <v>92.601299999999995</v>
      </c>
      <c r="M30" s="6">
        <f>'Drag Polar Clean'!M28</f>
        <v>0.55320000000000003</v>
      </c>
      <c r="N30">
        <f>'CD0 High Lift'!$B$64-$E$51+IF($N$4=1,0.0074,0.0144)*$N$5/CD0!$B$13*$N$6*($N$3-10)</f>
        <v>2.9179467107827168E-2</v>
      </c>
      <c r="O30" s="6">
        <f>$B$5/($F$5*S) * (stdpres($F$2)*(1+(CoolingDrag_IC!$B$27-1)/2*$F$3^2)^(CoolingDrag_IC!$B$27/(CoolingDrag_IC!$B$27-1))/stdpres(0))</f>
        <v>9.743869274026545E-3</v>
      </c>
      <c r="P30">
        <f t="shared" si="1"/>
        <v>6.1330336381853715E-2</v>
      </c>
      <c r="Q30">
        <f t="shared" si="2"/>
        <v>11.110439632312422</v>
      </c>
      <c r="R30">
        <f t="shared" si="7"/>
        <v>9.1713768600603363</v>
      </c>
      <c r="T30">
        <f t="shared" si="3"/>
        <v>5.1373151214819432E-2</v>
      </c>
      <c r="U30">
        <f t="shared" si="4"/>
        <v>13.263873908584314</v>
      </c>
      <c r="V30">
        <f t="shared" si="5"/>
        <v>-16.235334345859538</v>
      </c>
      <c r="W30">
        <f t="shared" si="6"/>
        <v>9.9145536450607528E-5</v>
      </c>
      <c r="Y30">
        <f t="shared" si="8"/>
        <v>0.36665961554843041</v>
      </c>
      <c r="Z30" t="e">
        <f t="shared" si="9"/>
        <v>#VALUE!</v>
      </c>
    </row>
    <row r="31" spans="2:26" x14ac:dyDescent="0.25">
      <c r="B31" s="6">
        <f>'Drag Polar Clean'!B29+($N$9*$N$6*COS($N$8*PI()/180))</f>
        <v>-1.1871467801180575</v>
      </c>
      <c r="C31" s="6">
        <f>'Drag Polar Clean'!C29</f>
        <v>0.73001400000000005</v>
      </c>
      <c r="D31" s="6">
        <f ca="1">'Drag Polar Clean'!D29+(0.14/$N$7)^2*($M$90-'Drag Polar Clean'!$M$88)^2*COS($B$10*PI()/180)</f>
        <v>6.1285750035895828E-2</v>
      </c>
      <c r="E31" s="6">
        <f>'Drag Polar Clean'!E29</f>
        <v>8.4720000000000004E-3</v>
      </c>
      <c r="F31" s="6">
        <f>'Drag Polar Clean'!F29</f>
        <v>2.5243999999999999E-2</v>
      </c>
      <c r="G31" s="6">
        <f>'Drag Polar Clean'!G29</f>
        <v>0</v>
      </c>
      <c r="H31" s="7" t="s">
        <v>899</v>
      </c>
      <c r="I31" s="6">
        <f>'Drag Polar Clean'!I29</f>
        <v>0</v>
      </c>
      <c r="J31" s="6">
        <f>'Drag Polar Clean'!J29</f>
        <v>0</v>
      </c>
      <c r="K31" s="6">
        <f>'Drag Polar Clean'!K29</f>
        <v>0</v>
      </c>
      <c r="L31" s="6">
        <f>'Drag Polar Clean'!L29</f>
        <v>92.601299999999995</v>
      </c>
      <c r="M31" s="6">
        <f>'Drag Polar Clean'!M29</f>
        <v>0.56079999999999997</v>
      </c>
      <c r="N31">
        <f>'CD0 High Lift'!$B$64-$E$51+IF($N$4=1,0.0074,0.0144)*$N$5/CD0!$B$13*$N$6*($N$3-10)</f>
        <v>2.9179467107827168E-2</v>
      </c>
      <c r="O31" s="6">
        <f>$B$5/($F$5*S) * (stdpres($F$2)*(1+(CoolingDrag_IC!$B$27-1)/2*$F$3^2)^(CoolingDrag_IC!$B$27/(CoolingDrag_IC!$B$27-1))/stdpres(0))</f>
        <v>9.743869274026545E-3</v>
      </c>
      <c r="P31">
        <f t="shared" si="1"/>
        <v>6.4167336381853707E-2</v>
      </c>
      <c r="Q31">
        <f t="shared" si="2"/>
        <v>11.376722818222596</v>
      </c>
      <c r="R31">
        <f t="shared" si="7"/>
        <v>9.7203694445147431</v>
      </c>
      <c r="T31">
        <f t="shared" si="3"/>
        <v>5.4021741554467345E-2</v>
      </c>
      <c r="U31">
        <f t="shared" si="4"/>
        <v>13.513337019391804</v>
      </c>
      <c r="V31">
        <f t="shared" si="5"/>
        <v>-15.811151591225315</v>
      </c>
      <c r="W31">
        <f t="shared" si="6"/>
        <v>1.029330944014889E-4</v>
      </c>
      <c r="Y31">
        <f t="shared" si="8"/>
        <v>0.41565961554843039</v>
      </c>
      <c r="Z31" t="e">
        <f t="shared" si="9"/>
        <v>#VALUE!</v>
      </c>
    </row>
    <row r="32" spans="2:26" x14ac:dyDescent="0.25">
      <c r="B32" s="6">
        <f>'Drag Polar Clean'!B30+($N$9*$N$6*COS($N$8*PI()/180))</f>
        <v>-0.68714678011805752</v>
      </c>
      <c r="C32" s="6">
        <f>'Drag Polar Clean'!C30</f>
        <v>0.778586</v>
      </c>
      <c r="D32" s="6">
        <f ca="1">'Drag Polar Clean'!D30+(0.14/$N$7)^2*($M$90-'Drag Polar Clean'!$M$88)^2*COS($B$10*PI()/180)</f>
        <v>6.368875003589583E-2</v>
      </c>
      <c r="E32" s="6">
        <f>'Drag Polar Clean'!E30</f>
        <v>9.025E-3</v>
      </c>
      <c r="F32" s="6">
        <f>'Drag Polar Clean'!F30</f>
        <v>2.8198999999999998E-2</v>
      </c>
      <c r="G32" s="6">
        <f>'Drag Polar Clean'!G30</f>
        <v>0</v>
      </c>
      <c r="H32" s="7" t="s">
        <v>899</v>
      </c>
      <c r="I32" s="6">
        <f>'Drag Polar Clean'!I30</f>
        <v>0</v>
      </c>
      <c r="J32" s="6">
        <f>'Drag Polar Clean'!J30</f>
        <v>0</v>
      </c>
      <c r="K32" s="6">
        <f>'Drag Polar Clean'!K30</f>
        <v>0</v>
      </c>
      <c r="L32" s="6">
        <f>'Drag Polar Clean'!L30</f>
        <v>92.601299999999995</v>
      </c>
      <c r="M32" s="6">
        <f>'Drag Polar Clean'!M30</f>
        <v>0.56689999999999996</v>
      </c>
      <c r="N32">
        <f>'CD0 High Lift'!$B$64-$E$51+IF($N$4=1,0.0074,0.0144)*$N$5/CD0!$B$13*$N$6*($N$3-10)</f>
        <v>2.9179467107827168E-2</v>
      </c>
      <c r="O32" s="6">
        <f>$B$5/($F$5*S) * (stdpres($F$2)*(1+(CoolingDrag_IC!$B$27-1)/2*$F$3^2)^(CoolingDrag_IC!$B$27/(CoolingDrag_IC!$B$27-1))/stdpres(0))</f>
        <v>9.743869274026545E-3</v>
      </c>
      <c r="P32">
        <f t="shared" si="1"/>
        <v>6.7122336381853706E-2</v>
      </c>
      <c r="Q32">
        <f t="shared" si="2"/>
        <v>11.599506840326375</v>
      </c>
      <c r="R32">
        <f t="shared" si="7"/>
        <v>10.235117210364898</v>
      </c>
      <c r="T32">
        <f t="shared" si="3"/>
        <v>5.6877625450294053E-2</v>
      </c>
      <c r="U32">
        <f t="shared" si="4"/>
        <v>13.688792277033688</v>
      </c>
      <c r="V32">
        <f t="shared" si="5"/>
        <v>-15.262744838436934</v>
      </c>
      <c r="W32">
        <f t="shared" si="6"/>
        <v>1.0495410207121785E-4</v>
      </c>
      <c r="Y32">
        <f t="shared" si="8"/>
        <v>0.46465961554843038</v>
      </c>
      <c r="Z32" t="e">
        <f t="shared" si="9"/>
        <v>#VALUE!</v>
      </c>
    </row>
    <row r="33" spans="2:26" x14ac:dyDescent="0.25">
      <c r="B33" s="6">
        <f>'Drag Polar Clean'!B31+($N$9*$N$6*COS($N$8*PI()/180))</f>
        <v>-0.18714678011805752</v>
      </c>
      <c r="C33" s="6">
        <f>'Drag Polar Clean'!C31</f>
        <v>0.82714699999999997</v>
      </c>
      <c r="D33" s="6">
        <f ca="1">'Drag Polar Clean'!D31+(0.14/$N$7)^2*($M$90-'Drag Polar Clean'!$M$88)^2*COS($B$10*PI()/180)</f>
        <v>6.6405750035895827E-2</v>
      </c>
      <c r="E33" s="6">
        <f>'Drag Polar Clean'!E31</f>
        <v>9.554E-3</v>
      </c>
      <c r="F33" s="6">
        <f>'Drag Polar Clean'!F31</f>
        <v>3.1446000000000002E-2</v>
      </c>
      <c r="G33" s="6">
        <f>'Drag Polar Clean'!G31</f>
        <v>0</v>
      </c>
      <c r="H33" s="7" t="s">
        <v>899</v>
      </c>
      <c r="I33" s="6">
        <f>'Drag Polar Clean'!I31</f>
        <v>0</v>
      </c>
      <c r="J33" s="6">
        <f>'Drag Polar Clean'!J31</f>
        <v>0</v>
      </c>
      <c r="K33" s="6">
        <f>'Drag Polar Clean'!K31</f>
        <v>0</v>
      </c>
      <c r="L33" s="6">
        <f>'Drag Polar Clean'!L31</f>
        <v>92.601299999999995</v>
      </c>
      <c r="M33" s="6">
        <f>'Drag Polar Clean'!M31</f>
        <v>0.57169999999999999</v>
      </c>
      <c r="N33">
        <f>'CD0 High Lift'!$B$64-$E$51+IF($N$4=1,0.0074,0.0144)*$N$5/CD0!$B$13*$N$6*($N$3-10)</f>
        <v>2.9179467107827168E-2</v>
      </c>
      <c r="O33" s="6">
        <f>$B$5/($F$5*S) * (stdpres($F$2)*(1+(CoolingDrag_IC!$B$27-1)/2*$F$3^2)^(CoolingDrag_IC!$B$27/(CoolingDrag_IC!$B$27-1))/stdpres(0))</f>
        <v>9.743869274026545E-3</v>
      </c>
      <c r="P33">
        <f t="shared" si="1"/>
        <v>7.0369336381853706E-2</v>
      </c>
      <c r="Q33">
        <f t="shared" si="2"/>
        <v>11.754366923563857</v>
      </c>
      <c r="R33">
        <f t="shared" si="7"/>
        <v>10.690317232091395</v>
      </c>
      <c r="T33">
        <f t="shared" si="3"/>
        <v>5.9941916901872609E-2</v>
      </c>
      <c r="U33">
        <f t="shared" si="4"/>
        <v>13.799141614941574</v>
      </c>
      <c r="V33">
        <f t="shared" si="5"/>
        <v>-14.818129623103903</v>
      </c>
      <c r="W33">
        <f t="shared" si="6"/>
        <v>1.0873107701148925E-4</v>
      </c>
      <c r="Y33">
        <f t="shared" si="8"/>
        <v>0.51365961554843043</v>
      </c>
      <c r="Z33" t="e">
        <f t="shared" si="9"/>
        <v>#VALUE!</v>
      </c>
    </row>
    <row r="34" spans="2:26" x14ac:dyDescent="0.25">
      <c r="B34" s="6">
        <f>'Drag Polar Clean'!B32+($N$9*$N$6*COS($N$8*PI()/180))</f>
        <v>0.31285321988194248</v>
      </c>
      <c r="C34" s="6">
        <f>'Drag Polar Clean'!C32</f>
        <v>0.87641999999999998</v>
      </c>
      <c r="D34" s="6">
        <f ca="1">'Drag Polar Clean'!D32+(0.14/$N$7)^2*($M$90-'Drag Polar Clean'!$M$88)^2*COS($B$10*PI()/180)</f>
        <v>7.0891750035895817E-2</v>
      </c>
      <c r="E34" s="6">
        <f>'Drag Polar Clean'!E32</f>
        <v>1.0137E-2</v>
      </c>
      <c r="F34" s="6">
        <f>'Drag Polar Clean'!F32</f>
        <v>3.6513999999999998E-2</v>
      </c>
      <c r="G34" s="6">
        <f>'Drag Polar Clean'!G32</f>
        <v>0</v>
      </c>
      <c r="H34" s="7" t="s">
        <v>899</v>
      </c>
      <c r="I34" s="6">
        <f>'Drag Polar Clean'!I32</f>
        <v>0</v>
      </c>
      <c r="J34" s="6">
        <f>'Drag Polar Clean'!J32</f>
        <v>0</v>
      </c>
      <c r="K34" s="6">
        <f>'Drag Polar Clean'!K32</f>
        <v>0</v>
      </c>
      <c r="L34" s="6">
        <f>'Drag Polar Clean'!L32</f>
        <v>92.601299999999995</v>
      </c>
      <c r="M34" s="6">
        <f>'Drag Polar Clean'!M32</f>
        <v>0.5756</v>
      </c>
      <c r="N34">
        <f>'CD0 High Lift'!$B$64-$E$51+IF($N$4=1,0.0074,0.0144)*$N$5/CD0!$B$13*$N$6*($N$3-10)</f>
        <v>2.9179467107827168E-2</v>
      </c>
      <c r="O34" s="6">
        <f>$B$5/($F$5*S) * (stdpres($F$2)*(1+(CoolingDrag_IC!$B$27-1)/2*$F$3^2)^(CoolingDrag_IC!$B$27/(CoolingDrag_IC!$B$27-1))/stdpres(0))</f>
        <v>9.743869274026545E-3</v>
      </c>
      <c r="P34">
        <f t="shared" si="1"/>
        <v>7.5437336381853709E-2</v>
      </c>
      <c r="Q34">
        <f t="shared" si="2"/>
        <v>11.61785452714925</v>
      </c>
      <c r="R34">
        <f t="shared" si="7"/>
        <v>10.876322434052234</v>
      </c>
      <c r="T34">
        <f t="shared" si="3"/>
        <v>6.3264787224740465E-2</v>
      </c>
      <c r="U34">
        <f t="shared" si="4"/>
        <v>13.853203945610762</v>
      </c>
      <c r="V34">
        <f t="shared" si="5"/>
        <v>-16.135974228328301</v>
      </c>
      <c r="W34">
        <f t="shared" si="6"/>
        <v>1.4817095298233835E-4</v>
      </c>
      <c r="Y34">
        <f t="shared" si="8"/>
        <v>0.56265961554843036</v>
      </c>
      <c r="Z34" t="e">
        <f t="shared" si="9"/>
        <v>#VALUE!</v>
      </c>
    </row>
    <row r="35" spans="2:26" x14ac:dyDescent="0.25">
      <c r="B35" s="6">
        <f>'Drag Polar Clean'!B33+($N$9*$N$6*COS($N$8*PI()/180))</f>
        <v>0.81285321988194248</v>
      </c>
      <c r="C35" s="6">
        <f>'Drag Polar Clean'!C33</f>
        <v>0.92276499999999995</v>
      </c>
      <c r="D35" s="6">
        <f ca="1">'Drag Polar Clean'!D33+(0.14/$N$7)^2*($M$90-'Drag Polar Clean'!$M$88)^2*COS($B$10*PI()/180)</f>
        <v>6.9125750035895828E-2</v>
      </c>
      <c r="E35" s="6">
        <f>'Drag Polar Clean'!E33</f>
        <v>1.0717000000000001E-2</v>
      </c>
      <c r="F35" s="6">
        <f>'Drag Polar Clean'!F33</f>
        <v>3.5328999999999999E-2</v>
      </c>
      <c r="G35" s="6">
        <f>'Drag Polar Clean'!G33</f>
        <v>0</v>
      </c>
      <c r="H35" s="7" t="s">
        <v>899</v>
      </c>
      <c r="I35" s="6">
        <f>'Drag Polar Clean'!I33</f>
        <v>0</v>
      </c>
      <c r="J35" s="6">
        <f>'Drag Polar Clean'!J33</f>
        <v>0</v>
      </c>
      <c r="K35" s="6">
        <f>'Drag Polar Clean'!K33</f>
        <v>0</v>
      </c>
      <c r="L35" s="6">
        <f>'Drag Polar Clean'!L33</f>
        <v>92.601299999999995</v>
      </c>
      <c r="M35" s="6">
        <f>'Drag Polar Clean'!M33</f>
        <v>0.58450000000000002</v>
      </c>
      <c r="N35">
        <f>'CD0 High Lift'!$B$64-$E$51+IF($N$4=1,0.0074,0.0144)*$N$5/CD0!$B$13*$N$6*($N$3-10)</f>
        <v>2.9179467107827168E-2</v>
      </c>
      <c r="O35" s="6">
        <f>$B$5/($F$5*S) * (stdpres($F$2)*(1+(CoolingDrag_IC!$B$27-1)/2*$F$3^2)^(CoolingDrag_IC!$B$27/(CoolingDrag_IC!$B$27-1))/stdpres(0))</f>
        <v>9.743869274026545E-3</v>
      </c>
      <c r="P35">
        <f t="shared" si="1"/>
        <v>7.4252336381853704E-2</v>
      </c>
      <c r="Q35">
        <f t="shared" si="2"/>
        <v>12.427420401353345</v>
      </c>
      <c r="R35">
        <f t="shared" si="7"/>
        <v>11.937861800009282</v>
      </c>
      <c r="T35">
        <f t="shared" si="3"/>
        <v>6.6586601833564282E-2</v>
      </c>
      <c r="U35">
        <f t="shared" si="4"/>
        <v>13.85811821883456</v>
      </c>
      <c r="V35">
        <f t="shared" si="5"/>
        <v>-10.323896757762933</v>
      </c>
      <c r="W35">
        <f t="shared" si="6"/>
        <v>5.8763486164838015E-5</v>
      </c>
      <c r="Y35">
        <f t="shared" si="8"/>
        <v>0.6116596155484304</v>
      </c>
      <c r="Z35" t="e">
        <f t="shared" si="9"/>
        <v>#VALUE!</v>
      </c>
    </row>
    <row r="36" spans="2:26" x14ac:dyDescent="0.25">
      <c r="B36" s="6">
        <f>'Drag Polar Clean'!B34+($N$9*$N$6*COS($N$8*PI()/180))</f>
        <v>1.3128532198819425</v>
      </c>
      <c r="C36" s="6">
        <f>'Drag Polar Clean'!C34</f>
        <v>0.97250300000000001</v>
      </c>
      <c r="D36" s="6">
        <f ca="1">'Drag Polar Clean'!D34+(0.14/$N$7)^2*($M$90-'Drag Polar Clean'!$M$88)^2*COS($B$10*PI()/180)</f>
        <v>7.4781750035895822E-2</v>
      </c>
      <c r="E36" s="6">
        <f>'Drag Polar Clean'!E34</f>
        <v>1.1381E-2</v>
      </c>
      <c r="F36" s="6">
        <f>'Drag Polar Clean'!F34</f>
        <v>4.1648999999999999E-2</v>
      </c>
      <c r="G36" s="6">
        <f>'Drag Polar Clean'!G34</f>
        <v>0</v>
      </c>
      <c r="H36" s="7" t="s">
        <v>899</v>
      </c>
      <c r="I36" s="6">
        <f>'Drag Polar Clean'!I34</f>
        <v>0</v>
      </c>
      <c r="J36" s="6">
        <f>'Drag Polar Clean'!J34</f>
        <v>0</v>
      </c>
      <c r="K36" s="6">
        <f>'Drag Polar Clean'!K34</f>
        <v>0</v>
      </c>
      <c r="L36" s="6">
        <f>'Drag Polar Clean'!L34</f>
        <v>92.601299999999995</v>
      </c>
      <c r="M36" s="6">
        <f>'Drag Polar Clean'!M34</f>
        <v>0.58740000000000003</v>
      </c>
      <c r="N36">
        <f>'CD0 High Lift'!$B$64-$E$51+IF($N$4=1,0.0074,0.0144)*$N$5/CD0!$B$13*$N$6*($N$3-10)</f>
        <v>2.9179467107827168E-2</v>
      </c>
      <c r="O36" s="6">
        <f>$B$5/($F$5*S) * (stdpres($F$2)*(1+(CoolingDrag_IC!$B$27-1)/2*$F$3^2)^(CoolingDrag_IC!$B$27/(CoolingDrag_IC!$B$27-1))/stdpres(0))</f>
        <v>9.743869274026545E-3</v>
      </c>
      <c r="P36">
        <f t="shared" si="1"/>
        <v>8.057233638185371E-2</v>
      </c>
      <c r="Q36">
        <f t="shared" si="2"/>
        <v>12.069936701240112</v>
      </c>
      <c r="R36">
        <f t="shared" si="7"/>
        <v>11.902836480975051</v>
      </c>
      <c r="T36">
        <f t="shared" si="3"/>
        <v>7.036341906052207E-2</v>
      </c>
      <c r="U36">
        <f t="shared" si="4"/>
        <v>13.821144750847251</v>
      </c>
      <c r="V36">
        <f t="shared" si="5"/>
        <v>-12.67049930505784</v>
      </c>
      <c r="W36">
        <f t="shared" si="6"/>
        <v>1.0422199287378519E-4</v>
      </c>
      <c r="Y36">
        <f t="shared" si="8"/>
        <v>0.66065961554843033</v>
      </c>
      <c r="Z36" t="e">
        <f t="shared" si="9"/>
        <v>#VALUE!</v>
      </c>
    </row>
    <row r="37" spans="2:26" x14ac:dyDescent="0.25">
      <c r="B37" s="6">
        <f>'Drag Polar Clean'!B35+($N$9*$N$6*COS($N$8*PI()/180))</f>
        <v>1.8128532198819425</v>
      </c>
      <c r="C37" s="6">
        <f>'Drag Polar Clean'!C35</f>
        <v>1.0192099999999999</v>
      </c>
      <c r="D37" s="6">
        <f ca="1">'Drag Polar Clean'!D35+(0.14/$N$7)^2*($M$90-'Drag Polar Clean'!$M$88)^2*COS($B$10*PI()/180)</f>
        <v>8.2183750035895828E-2</v>
      </c>
      <c r="E37" s="6">
        <f>'Drag Polar Clean'!E35</f>
        <v>1.1984E-2</v>
      </c>
      <c r="F37" s="6">
        <f>'Drag Polar Clean'!F35</f>
        <v>4.9653999999999997E-2</v>
      </c>
      <c r="G37" s="6">
        <f>'Drag Polar Clean'!G35</f>
        <v>0</v>
      </c>
      <c r="H37" s="7" t="s">
        <v>899</v>
      </c>
      <c r="I37" s="6">
        <f>'Drag Polar Clean'!I35</f>
        <v>0</v>
      </c>
      <c r="J37" s="6">
        <f>'Drag Polar Clean'!J35</f>
        <v>0</v>
      </c>
      <c r="K37" s="6">
        <f>'Drag Polar Clean'!K35</f>
        <v>0</v>
      </c>
      <c r="L37" s="6">
        <f>'Drag Polar Clean'!L35</f>
        <v>92.601299999999995</v>
      </c>
      <c r="M37" s="6">
        <f>'Drag Polar Clean'!M35</f>
        <v>0.58460000000000001</v>
      </c>
      <c r="N37">
        <f>'CD0 High Lift'!$B$64-$E$51+IF($N$4=1,0.0074,0.0144)*$N$5/CD0!$B$13*$N$6*($N$3-10)</f>
        <v>2.9179467107827168E-2</v>
      </c>
      <c r="O37" s="6">
        <f>$B$5/($F$5*S) * (stdpres($F$2)*(1+(CoolingDrag_IC!$B$27-1)/2*$F$3^2)^(CoolingDrag_IC!$B$27/(CoolingDrag_IC!$B$27-1))/stdpres(0))</f>
        <v>9.743869274026545E-3</v>
      </c>
      <c r="P37">
        <f t="shared" si="1"/>
        <v>8.8577336381853708E-2</v>
      </c>
      <c r="Q37">
        <f t="shared" si="2"/>
        <v>11.506442185235988</v>
      </c>
      <c r="R37">
        <f t="shared" si="7"/>
        <v>11.616435830758492</v>
      </c>
      <c r="T37">
        <f t="shared" si="3"/>
        <v>7.4109728274288786E-2</v>
      </c>
      <c r="U37">
        <f t="shared" si="4"/>
        <v>13.752715382085659</v>
      </c>
      <c r="V37">
        <f t="shared" si="5"/>
        <v>-16.333306801183976</v>
      </c>
      <c r="W37">
        <f t="shared" si="6"/>
        <v>2.0931168435407826E-4</v>
      </c>
      <c r="Y37">
        <f t="shared" si="8"/>
        <v>0.70965961554843038</v>
      </c>
      <c r="Z37" t="e">
        <f t="shared" si="9"/>
        <v>#VALUE!</v>
      </c>
    </row>
    <row r="38" spans="2:26" x14ac:dyDescent="0.25">
      <c r="B38" s="6">
        <f>'Drag Polar Clean'!B36+($N$9*$N$6*COS($N$8*PI()/180))</f>
        <v>2.3128532198819425</v>
      </c>
      <c r="C38" s="6">
        <f>'Drag Polar Clean'!C36</f>
        <v>1.0696639999999999</v>
      </c>
      <c r="D38" s="6">
        <f ca="1">'Drag Polar Clean'!D36+(0.14/$N$7)^2*($M$90-'Drag Polar Clean'!$M$88)^2*COS($B$10*PI()/180)</f>
        <v>8.0304750035895822E-2</v>
      </c>
      <c r="E38" s="6">
        <f>'Drag Polar Clean'!E36</f>
        <v>1.261E-2</v>
      </c>
      <c r="F38" s="6">
        <f>'Drag Polar Clean'!F36</f>
        <v>4.8399999999999999E-2</v>
      </c>
      <c r="G38" s="6">
        <f>'Drag Polar Clean'!G36</f>
        <v>0</v>
      </c>
      <c r="H38" s="7" t="s">
        <v>899</v>
      </c>
      <c r="I38" s="6">
        <f>'Drag Polar Clean'!I36</f>
        <v>0</v>
      </c>
      <c r="J38" s="6">
        <f>'Drag Polar Clean'!J36</f>
        <v>0</v>
      </c>
      <c r="K38" s="6">
        <f>'Drag Polar Clean'!K36</f>
        <v>0</v>
      </c>
      <c r="L38" s="6">
        <f>'Drag Polar Clean'!L36</f>
        <v>92.601299999999995</v>
      </c>
      <c r="M38" s="6">
        <f>'Drag Polar Clean'!M36</f>
        <v>0.59430000000000005</v>
      </c>
      <c r="N38">
        <f>'CD0 High Lift'!$B$64-$E$51+IF($N$4=1,0.0074,0.0144)*$N$5/CD0!$B$13*$N$6*($N$3-10)</f>
        <v>2.9179467107827168E-2</v>
      </c>
      <c r="O38" s="6">
        <f>$B$5/($F$5*S) * (stdpres($F$2)*(1+(CoolingDrag_IC!$B$27-1)/2*$F$3^2)^(CoolingDrag_IC!$B$27/(CoolingDrag_IC!$B$27-1))/stdpres(0))</f>
        <v>9.743869274026545E-3</v>
      </c>
      <c r="P38">
        <f t="shared" si="1"/>
        <v>8.7323336381853703E-2</v>
      </c>
      <c r="Q38">
        <f t="shared" si="2"/>
        <v>12.249463251409647</v>
      </c>
      <c r="R38">
        <f t="shared" si="7"/>
        <v>12.668953700380607</v>
      </c>
      <c r="T38">
        <f t="shared" si="3"/>
        <v>7.8373845872744832E-2</v>
      </c>
      <c r="U38">
        <f t="shared" si="4"/>
        <v>13.648226498120398</v>
      </c>
      <c r="V38">
        <f t="shared" si="5"/>
        <v>-10.248681371923194</v>
      </c>
      <c r="W38">
        <f t="shared" si="6"/>
        <v>8.0093380372629749E-5</v>
      </c>
      <c r="Y38">
        <f t="shared" si="8"/>
        <v>0.75865961554843042</v>
      </c>
      <c r="Z38" t="e">
        <f t="shared" si="9"/>
        <v>#VALUE!</v>
      </c>
    </row>
    <row r="39" spans="2:26" x14ac:dyDescent="0.25">
      <c r="B39" s="6">
        <f>'Drag Polar Clean'!B37+($N$9*$N$6*COS($N$8*PI()/180))</f>
        <v>2.8128532198819425</v>
      </c>
      <c r="C39" s="6">
        <f>'Drag Polar Clean'!C37</f>
        <v>1.117224</v>
      </c>
      <c r="D39" s="6">
        <f ca="1">'Drag Polar Clean'!D37+(0.14/$N$7)^2*($M$90-'Drag Polar Clean'!$M$88)^2*COS($B$10*PI()/180)</f>
        <v>8.5435750035895819E-2</v>
      </c>
      <c r="E39" s="6">
        <f>'Drag Polar Clean'!E37</f>
        <v>1.3245E-2</v>
      </c>
      <c r="F39" s="6">
        <f>'Drag Polar Clean'!F37</f>
        <v>5.4167E-2</v>
      </c>
      <c r="G39" s="6">
        <f>'Drag Polar Clean'!G37</f>
        <v>0</v>
      </c>
      <c r="H39" s="7" t="s">
        <v>899</v>
      </c>
      <c r="I39" s="6">
        <f>'Drag Polar Clean'!I37</f>
        <v>0</v>
      </c>
      <c r="J39" s="6">
        <f>'Drag Polar Clean'!J37</f>
        <v>0</v>
      </c>
      <c r="K39" s="6">
        <f>'Drag Polar Clean'!K37</f>
        <v>0</v>
      </c>
      <c r="L39" s="6">
        <f>'Drag Polar Clean'!L37</f>
        <v>92.601299999999995</v>
      </c>
      <c r="M39" s="6">
        <f>'Drag Polar Clean'!M37</f>
        <v>0.5917</v>
      </c>
      <c r="N39">
        <f>'CD0 High Lift'!$B$64-$E$51+IF($N$4=1,0.0074,0.0144)*$N$5/CD0!$B$13*$N$6*($N$3-10)</f>
        <v>2.9179467107827168E-2</v>
      </c>
      <c r="O39" s="6">
        <f>$B$5/($F$5*S) * (stdpres($F$2)*(1+(CoolingDrag_IC!$B$27-1)/2*$F$3^2)^(CoolingDrag_IC!$B$27/(CoolingDrag_IC!$B$27-1))/stdpres(0))</f>
        <v>9.743869274026545E-3</v>
      </c>
      <c r="P39">
        <f t="shared" si="1"/>
        <v>9.3090336381853711E-2</v>
      </c>
      <c r="Q39">
        <f t="shared" si="2"/>
        <v>12.001503522526564</v>
      </c>
      <c r="R39">
        <f t="shared" si="7"/>
        <v>12.685447293667</v>
      </c>
      <c r="T39">
        <f t="shared" si="3"/>
        <v>8.2599979266272508E-2</v>
      </c>
      <c r="U39">
        <f t="shared" si="4"/>
        <v>13.525717680854051</v>
      </c>
      <c r="V39">
        <f t="shared" si="5"/>
        <v>-11.269007636356667</v>
      </c>
      <c r="W39">
        <f t="shared" si="6"/>
        <v>1.1004759241242519E-4</v>
      </c>
      <c r="Y39">
        <f t="shared" si="8"/>
        <v>0.80765961554843035</v>
      </c>
      <c r="Z39" t="e">
        <f t="shared" si="9"/>
        <v>#VALUE!</v>
      </c>
    </row>
    <row r="40" spans="2:26" x14ac:dyDescent="0.25">
      <c r="B40" s="6">
        <f>'Drag Polar Clean'!B38+($N$9*$N$6*COS($N$8*PI()/180))</f>
        <v>3.3128532198819425</v>
      </c>
      <c r="C40" s="6">
        <f>'Drag Polar Clean'!C38</f>
        <v>1.166849</v>
      </c>
      <c r="D40" s="6">
        <f ca="1">'Drag Polar Clean'!D38+(0.14/$N$7)^2*($M$90-'Drag Polar Clean'!$M$88)^2*COS($B$10*PI()/180)</f>
        <v>8.8154750035895818E-2</v>
      </c>
      <c r="E40" s="6">
        <f>'Drag Polar Clean'!E38</f>
        <v>1.3929E-2</v>
      </c>
      <c r="F40" s="6">
        <f>'Drag Polar Clean'!F38</f>
        <v>5.7570000000000003E-2</v>
      </c>
      <c r="G40" s="6">
        <f>'Drag Polar Clean'!G38</f>
        <v>0</v>
      </c>
      <c r="H40" s="7" t="s">
        <v>899</v>
      </c>
      <c r="I40" s="6">
        <f>'Drag Polar Clean'!I38</f>
        <v>0</v>
      </c>
      <c r="J40" s="6">
        <f>'Drag Polar Clean'!J38</f>
        <v>0</v>
      </c>
      <c r="K40" s="6">
        <f>'Drag Polar Clean'!K38</f>
        <v>0</v>
      </c>
      <c r="L40" s="6">
        <f>'Drag Polar Clean'!L38</f>
        <v>92.601299999999995</v>
      </c>
      <c r="M40" s="6">
        <f>'Drag Polar Clean'!M38</f>
        <v>0.59709999999999996</v>
      </c>
      <c r="N40">
        <f>'CD0 High Lift'!$B$64-$E$51+IF($N$4=1,0.0074,0.0144)*$N$5/CD0!$B$13*$N$6*($N$3-10)</f>
        <v>2.9179467107827168E-2</v>
      </c>
      <c r="O40" s="6">
        <f>$B$5/($F$5*S) * (stdpres($F$2)*(1+(CoolingDrag_IC!$B$27-1)/2*$F$3^2)^(CoolingDrag_IC!$B$27/(CoolingDrag_IC!$B$27-1))/stdpres(0))</f>
        <v>9.743869274026545E-3</v>
      </c>
      <c r="P40">
        <f t="shared" si="1"/>
        <v>9.6493336381853714E-2</v>
      </c>
      <c r="Q40">
        <f t="shared" si="2"/>
        <v>12.092534508107594</v>
      </c>
      <c r="R40">
        <f t="shared" si="7"/>
        <v>13.062450706522485</v>
      </c>
      <c r="T40">
        <f t="shared" si="3"/>
        <v>8.722335566049054E-2</v>
      </c>
      <c r="U40">
        <f t="shared" si="4"/>
        <v>13.377712783051596</v>
      </c>
      <c r="V40">
        <f t="shared" si="5"/>
        <v>-9.6068610216554422</v>
      </c>
      <c r="W40">
        <f t="shared" si="6"/>
        <v>8.593254257444493E-5</v>
      </c>
      <c r="Y40">
        <f t="shared" si="8"/>
        <v>0.8566596155484304</v>
      </c>
      <c r="Z40" t="e">
        <f t="shared" si="9"/>
        <v>#VALUE!</v>
      </c>
    </row>
    <row r="41" spans="2:26" x14ac:dyDescent="0.25">
      <c r="B41" s="6">
        <f>'Drag Polar Clean'!B39+($N$9*$N$6*COS($N$8*PI()/180))</f>
        <v>3.8128532198819425</v>
      </c>
      <c r="C41" s="6">
        <f>'Drag Polar Clean'!C39</f>
        <v>1.2169140000000001</v>
      </c>
      <c r="D41" s="6">
        <f ca="1">'Drag Polar Clean'!D39+(0.14/$N$7)^2*($M$90-'Drag Polar Clean'!$M$88)^2*COS($B$10*PI()/180)</f>
        <v>9.1982750035895816E-2</v>
      </c>
      <c r="E41" s="6">
        <f>'Drag Polar Clean'!E39</f>
        <v>1.464E-2</v>
      </c>
      <c r="F41" s="6">
        <f>'Drag Polar Clean'!F39</f>
        <v>6.2107999999999997E-2</v>
      </c>
      <c r="G41" s="6">
        <f>'Drag Polar Clean'!G39</f>
        <v>0</v>
      </c>
      <c r="H41" s="7" t="s">
        <v>899</v>
      </c>
      <c r="I41" s="6">
        <f>'Drag Polar Clean'!I39</f>
        <v>0</v>
      </c>
      <c r="J41" s="6">
        <f>'Drag Polar Clean'!J39</f>
        <v>0</v>
      </c>
      <c r="K41" s="6">
        <f>'Drag Polar Clean'!K39</f>
        <v>0</v>
      </c>
      <c r="L41" s="6">
        <f>'Drag Polar Clean'!L39</f>
        <v>92.601299999999995</v>
      </c>
      <c r="M41" s="6">
        <f>'Drag Polar Clean'!M39</f>
        <v>0.60289999999999999</v>
      </c>
      <c r="N41">
        <f>'CD0 High Lift'!$B$64-$E$51+IF($N$4=1,0.0074,0.0144)*$N$5/CD0!$B$13*$N$6*($N$3-10)</f>
        <v>2.9179467107827168E-2</v>
      </c>
      <c r="O41" s="6">
        <f>$B$5/($F$5*S) * (stdpres($F$2)*(1+(CoolingDrag_IC!$B$27-1)/2*$F$3^2)^(CoolingDrag_IC!$B$27/(CoolingDrag_IC!$B$27-1))/stdpres(0))</f>
        <v>9.743869274026545E-3</v>
      </c>
      <c r="P41">
        <f t="shared" si="1"/>
        <v>0.1010313363818537</v>
      </c>
      <c r="Q41">
        <f t="shared" si="2"/>
        <v>12.044916395053948</v>
      </c>
      <c r="R41">
        <f t="shared" si="7"/>
        <v>13.287208001007949</v>
      </c>
      <c r="T41">
        <f t="shared" si="3"/>
        <v>9.2108927976475755E-2</v>
      </c>
      <c r="U41">
        <f t="shared" si="4"/>
        <v>13.211683457121495</v>
      </c>
      <c r="V41">
        <f t="shared" si="5"/>
        <v>-8.8313277097070113</v>
      </c>
      <c r="W41">
        <f t="shared" si="6"/>
        <v>7.9609371752359029E-5</v>
      </c>
      <c r="Y41">
        <f t="shared" si="8"/>
        <v>0.90565961554843044</v>
      </c>
      <c r="Z41" t="e">
        <f t="shared" si="9"/>
        <v>#VALUE!</v>
      </c>
    </row>
    <row r="42" spans="2:26" x14ac:dyDescent="0.25">
      <c r="B42" s="6">
        <f>'Drag Polar Clean'!B40+($N$9*$N$6*COS($N$8*PI()/180))</f>
        <v>4.3128532198819425</v>
      </c>
      <c r="C42" s="6">
        <f>'Drag Polar Clean'!C40</f>
        <v>1.265865</v>
      </c>
      <c r="D42" s="6">
        <f ca="1">'Drag Polar Clean'!D40+(0.14/$N$7)^2*($M$90-'Drag Polar Clean'!$M$88)^2*COS($B$10*PI()/180)</f>
        <v>9.5918750035895825E-2</v>
      </c>
      <c r="E42" s="6">
        <f>'Drag Polar Clean'!E40</f>
        <v>1.541E-2</v>
      </c>
      <c r="F42" s="6">
        <f>'Drag Polar Clean'!F40</f>
        <v>6.6814999999999999E-2</v>
      </c>
      <c r="G42" s="6">
        <f>'Drag Polar Clean'!G40</f>
        <v>0</v>
      </c>
      <c r="H42" s="7" t="s">
        <v>899</v>
      </c>
      <c r="I42" s="6">
        <f>'Drag Polar Clean'!I40</f>
        <v>0</v>
      </c>
      <c r="J42" s="6">
        <f>'Drag Polar Clean'!J40</f>
        <v>0</v>
      </c>
      <c r="K42" s="6">
        <f>'Drag Polar Clean'!K40</f>
        <v>0</v>
      </c>
      <c r="L42" s="6">
        <f>'Drag Polar Clean'!L40</f>
        <v>92.601299999999995</v>
      </c>
      <c r="M42" s="6">
        <f>'Drag Polar Clean'!M40</f>
        <v>0.60519999999999996</v>
      </c>
      <c r="N42">
        <f>'CD0 High Lift'!$B$64-$E$51+IF($N$4=1,0.0074,0.0144)*$N$5/CD0!$B$13*$N$6*($N$3-10)</f>
        <v>2.9179467107827168E-2</v>
      </c>
      <c r="O42" s="6">
        <f>$B$5/($F$5*S) * (stdpres($F$2)*(1+(CoolingDrag_IC!$B$27-1)/2*$F$3^2)^(CoolingDrag_IC!$B$27/(CoolingDrag_IC!$B$27-1))/stdpres(0))</f>
        <v>9.743869274026545E-3</v>
      </c>
      <c r="P42">
        <f t="shared" si="1"/>
        <v>0.1057383363818537</v>
      </c>
      <c r="Q42">
        <f t="shared" si="2"/>
        <v>11.971675016983164</v>
      </c>
      <c r="R42">
        <f t="shared" si="7"/>
        <v>13.46941131224203</v>
      </c>
      <c r="T42">
        <f t="shared" si="3"/>
        <v>9.7100609559780005E-2</v>
      </c>
      <c r="U42">
        <f t="shared" si="4"/>
        <v>13.036632887671731</v>
      </c>
      <c r="V42">
        <f t="shared" si="5"/>
        <v>-8.1689641785929066</v>
      </c>
      <c r="W42">
        <f t="shared" si="6"/>
        <v>7.4610324652771401E-5</v>
      </c>
      <c r="Y42">
        <f t="shared" si="8"/>
        <v>0.95465961554843037</v>
      </c>
      <c r="Z42" t="e">
        <f t="shared" si="9"/>
        <v>#VALUE!</v>
      </c>
    </row>
    <row r="43" spans="2:26" x14ac:dyDescent="0.25">
      <c r="B43" s="6">
        <f>'Drag Polar Clean'!B41+($N$9*$N$6*COS($N$8*PI()/180))</f>
        <v>4.8128532198819425</v>
      </c>
      <c r="C43" s="6">
        <f>'Drag Polar Clean'!C41</f>
        <v>1.3155920000000001</v>
      </c>
      <c r="D43" s="6">
        <f ca="1">'Drag Polar Clean'!D41+(0.14/$N$7)^2*($M$90-'Drag Polar Clean'!$M$88)^2*COS($B$10*PI()/180)</f>
        <v>0.10010675003589582</v>
      </c>
      <c r="E43" s="6">
        <f>'Drag Polar Clean'!E41</f>
        <v>1.6239E-2</v>
      </c>
      <c r="F43" s="6">
        <f>'Drag Polar Clean'!F41</f>
        <v>7.1831999999999993E-2</v>
      </c>
      <c r="G43" s="6">
        <f>'Drag Polar Clean'!G41</f>
        <v>0</v>
      </c>
      <c r="H43" s="7" t="s">
        <v>899</v>
      </c>
      <c r="I43" s="6">
        <f>'Drag Polar Clean'!I41</f>
        <v>0</v>
      </c>
      <c r="J43" s="6">
        <f>'Drag Polar Clean'!J41</f>
        <v>0</v>
      </c>
      <c r="K43" s="6">
        <f>'Drag Polar Clean'!K41</f>
        <v>0</v>
      </c>
      <c r="L43" s="6">
        <f>'Drag Polar Clean'!L41</f>
        <v>92.601299999999995</v>
      </c>
      <c r="M43" s="6">
        <f>'Drag Polar Clean'!M41</f>
        <v>0.60880000000000001</v>
      </c>
      <c r="N43">
        <f>'CD0 High Lift'!$B$64-$E$51+IF($N$4=1,0.0074,0.0144)*$N$5/CD0!$B$13*$N$6*($N$3-10)</f>
        <v>2.9179467107827168E-2</v>
      </c>
      <c r="O43" s="6">
        <f>$B$5/($F$5*S) * (stdpres($F$2)*(1+(CoolingDrag_IC!$B$27-1)/2*$F$3^2)^(CoolingDrag_IC!$B$27/(CoolingDrag_IC!$B$27-1))/stdpres(0))</f>
        <v>9.743869274026545E-3</v>
      </c>
      <c r="P43">
        <f t="shared" si="1"/>
        <v>0.1107553363818537</v>
      </c>
      <c r="Q43">
        <f t="shared" si="2"/>
        <v>11.878362189828971</v>
      </c>
      <c r="R43">
        <f t="shared" si="7"/>
        <v>13.624393405225739</v>
      </c>
      <c r="T43">
        <f t="shared" si="3"/>
        <v>0.10238890120960099</v>
      </c>
      <c r="U43">
        <f t="shared" si="4"/>
        <v>12.848970781577615</v>
      </c>
      <c r="V43">
        <f t="shared" si="5"/>
        <v>-7.5539792894561346</v>
      </c>
      <c r="W43">
        <f t="shared" si="6"/>
        <v>6.999723749150712E-5</v>
      </c>
      <c r="Y43">
        <f t="shared" si="8"/>
        <v>1.0036596155484303</v>
      </c>
      <c r="Z43" t="e">
        <f t="shared" si="9"/>
        <v>#VALUE!</v>
      </c>
    </row>
    <row r="44" spans="2:26" x14ac:dyDescent="0.25">
      <c r="B44" s="6">
        <f>'Drag Polar Clean'!B42+($N$9*$N$6*COS($N$8*PI()/180))</f>
        <v>5.3128532198819425</v>
      </c>
      <c r="C44" s="6">
        <f>'Drag Polar Clean'!C42</f>
        <v>1.3648670000000001</v>
      </c>
      <c r="D44" s="6">
        <f ca="1">'Drag Polar Clean'!D42+(0.14/$N$7)^2*($M$90-'Drag Polar Clean'!$M$88)^2*COS($B$10*PI()/180)</f>
        <v>0.10440075003589583</v>
      </c>
      <c r="E44" s="6">
        <f>'Drag Polar Clean'!E42</f>
        <v>1.7131E-2</v>
      </c>
      <c r="F44" s="6">
        <f>'Drag Polar Clean'!F42</f>
        <v>7.7018000000000003E-2</v>
      </c>
      <c r="G44" s="6">
        <f>'Drag Polar Clean'!G42</f>
        <v>0</v>
      </c>
      <c r="H44" s="7" t="s">
        <v>899</v>
      </c>
      <c r="I44" s="6">
        <f>'Drag Polar Clean'!I42</f>
        <v>0</v>
      </c>
      <c r="J44" s="6">
        <f>'Drag Polar Clean'!J42</f>
        <v>0</v>
      </c>
      <c r="K44" s="6">
        <f>'Drag Polar Clean'!K42</f>
        <v>0</v>
      </c>
      <c r="L44" s="6">
        <f>'Drag Polar Clean'!L42</f>
        <v>92.601299999999995</v>
      </c>
      <c r="M44" s="6">
        <f>'Drag Polar Clean'!M42</f>
        <v>0.61099999999999999</v>
      </c>
      <c r="N44">
        <f>'CD0 High Lift'!$B$64-$E$51+IF($N$4=1,0.0074,0.0144)*$N$5/CD0!$B$13*$N$6*($N$3-10)</f>
        <v>2.9179467107827168E-2</v>
      </c>
      <c r="O44" s="6">
        <f>$B$5/($F$5*S) * (stdpres($F$2)*(1+(CoolingDrag_IC!$B$27-1)/2*$F$3^2)^(CoolingDrag_IC!$B$27/(CoolingDrag_IC!$B$27-1))/stdpres(0))</f>
        <v>9.743869274026545E-3</v>
      </c>
      <c r="P44">
        <f t="shared" si="1"/>
        <v>0.11594133638185371</v>
      </c>
      <c r="Q44">
        <f t="shared" si="2"/>
        <v>11.772048197760977</v>
      </c>
      <c r="R44">
        <f t="shared" si="7"/>
        <v>13.752992250154499</v>
      </c>
      <c r="T44">
        <f t="shared" si="3"/>
        <v>0.10784533402467178</v>
      </c>
      <c r="U44">
        <f t="shared" si="4"/>
        <v>12.655781655678858</v>
      </c>
      <c r="V44">
        <f t="shared" si="5"/>
        <v>-6.9828437465285722</v>
      </c>
      <c r="W44">
        <f t="shared" si="6"/>
        <v>6.5545254167495329E-5</v>
      </c>
      <c r="Y44">
        <f t="shared" si="8"/>
        <v>1.0526596155484305</v>
      </c>
      <c r="Z44" t="e">
        <f t="shared" si="9"/>
        <v>#VALUE!</v>
      </c>
    </row>
    <row r="45" spans="2:26" x14ac:dyDescent="0.25">
      <c r="B45" s="6">
        <f>'Drag Polar Clean'!B43+($N$9*$N$6*COS($N$8*PI()/180))</f>
        <v>5.8128532198819425</v>
      </c>
      <c r="C45" s="6">
        <f>'Drag Polar Clean'!C43</f>
        <v>1.4140710000000001</v>
      </c>
      <c r="D45" s="6">
        <f ca="1">'Drag Polar Clean'!D43+(0.14/$N$7)^2*($M$90-'Drag Polar Clean'!$M$88)^2*COS($B$10*PI()/180)</f>
        <v>0.10884175003589583</v>
      </c>
      <c r="E45" s="6">
        <f>'Drag Polar Clean'!E43</f>
        <v>1.8110000000000001E-2</v>
      </c>
      <c r="F45" s="6">
        <f>'Drag Polar Clean'!F43</f>
        <v>8.2437999999999997E-2</v>
      </c>
      <c r="G45" s="6">
        <f>'Drag Polar Clean'!G43</f>
        <v>0</v>
      </c>
      <c r="H45" s="7" t="s">
        <v>899</v>
      </c>
      <c r="I45" s="6">
        <f>'Drag Polar Clean'!I43</f>
        <v>0</v>
      </c>
      <c r="J45" s="6">
        <f>'Drag Polar Clean'!J43</f>
        <v>0</v>
      </c>
      <c r="K45" s="6">
        <f>'Drag Polar Clean'!K43</f>
        <v>0</v>
      </c>
      <c r="L45" s="6">
        <f>'Drag Polar Clean'!L43</f>
        <v>92.601299999999995</v>
      </c>
      <c r="M45" s="6">
        <f>'Drag Polar Clean'!M43</f>
        <v>0.61270000000000002</v>
      </c>
      <c r="N45">
        <f>'CD0 High Lift'!$B$64-$E$51+IF($N$4=1,0.0074,0.0144)*$N$5/CD0!$B$13*$N$6*($N$3-10)</f>
        <v>2.9179467107827168E-2</v>
      </c>
      <c r="O45" s="6">
        <f>$B$5/($F$5*S) * (stdpres($F$2)*(1+(CoolingDrag_IC!$B$27-1)/2*$F$3^2)^(CoolingDrag_IC!$B$27/(CoolingDrag_IC!$B$27-1))/stdpres(0))</f>
        <v>9.743869274026545E-3</v>
      </c>
      <c r="P45">
        <f t="shared" si="1"/>
        <v>0.1213613363818537</v>
      </c>
      <c r="Q45">
        <f t="shared" si="2"/>
        <v>11.651742162353413</v>
      </c>
      <c r="R45">
        <f t="shared" si="7"/>
        <v>13.855636257522644</v>
      </c>
      <c r="T45">
        <f t="shared" si="3"/>
        <v>0.11350866241512443</v>
      </c>
      <c r="U45">
        <f t="shared" si="4"/>
        <v>12.457824538786765</v>
      </c>
      <c r="V45">
        <f t="shared" si="5"/>
        <v>-6.4704906857827122</v>
      </c>
      <c r="W45">
        <f t="shared" si="6"/>
        <v>6.1664488427747613E-5</v>
      </c>
      <c r="Y45">
        <f t="shared" si="8"/>
        <v>1.1016596155484304</v>
      </c>
      <c r="Z45" t="e">
        <f t="shared" si="9"/>
        <v>#VALUE!</v>
      </c>
    </row>
    <row r="46" spans="2:26" x14ac:dyDescent="0.25">
      <c r="B46" s="6">
        <f>'Drag Polar Clean'!B44+($N$9*$N$6*COS($N$8*PI()/180))</f>
        <v>6.3128532198819425</v>
      </c>
      <c r="C46" s="6">
        <f>'Drag Polar Clean'!C44</f>
        <v>1.463241</v>
      </c>
      <c r="D46" s="6">
        <f ca="1">'Drag Polar Clean'!D44+(0.14/$N$7)^2*($M$90-'Drag Polar Clean'!$M$88)^2*COS($B$10*PI()/180)</f>
        <v>0.11343475003589581</v>
      </c>
      <c r="E46" s="6">
        <f>'Drag Polar Clean'!E44</f>
        <v>1.9141999999999999E-2</v>
      </c>
      <c r="F46" s="6">
        <f>'Drag Polar Clean'!F44</f>
        <v>8.8063000000000002E-2</v>
      </c>
      <c r="G46" s="6">
        <f>'Drag Polar Clean'!G44</f>
        <v>0</v>
      </c>
      <c r="H46" s="7" t="s">
        <v>899</v>
      </c>
      <c r="I46" s="6">
        <f>'Drag Polar Clean'!I44</f>
        <v>0</v>
      </c>
      <c r="J46" s="6">
        <f>'Drag Polar Clean'!J44</f>
        <v>0</v>
      </c>
      <c r="K46" s="6">
        <f>'Drag Polar Clean'!K44</f>
        <v>0</v>
      </c>
      <c r="L46" s="6">
        <f>'Drag Polar Clean'!L44</f>
        <v>92.601299999999995</v>
      </c>
      <c r="M46" s="6">
        <f>'Drag Polar Clean'!M44</f>
        <v>0.61409999999999998</v>
      </c>
      <c r="N46">
        <f>'CD0 High Lift'!$B$64-$E$51+IF($N$4=1,0.0074,0.0144)*$N$5/CD0!$B$13*$N$6*($N$3-10)</f>
        <v>2.9179467107827168E-2</v>
      </c>
      <c r="O46" s="6">
        <f>$B$5/($F$5*S) * (stdpres($F$2)*(1+(CoolingDrag_IC!$B$27-1)/2*$F$3^2)^(CoolingDrag_IC!$B$27/(CoolingDrag_IC!$B$27-1))/stdpres(0))</f>
        <v>9.743869274026545E-3</v>
      </c>
      <c r="P46">
        <f t="shared" si="1"/>
        <v>0.12698633638185372</v>
      </c>
      <c r="Q46">
        <f t="shared" si="2"/>
        <v>11.522822389331459</v>
      </c>
      <c r="R46">
        <f t="shared" si="7"/>
        <v>13.938524365188529</v>
      </c>
      <c r="T46">
        <f t="shared" si="3"/>
        <v>0.11938245793459222</v>
      </c>
      <c r="U46">
        <f t="shared" si="4"/>
        <v>12.256750491782359</v>
      </c>
      <c r="V46">
        <f t="shared" si="5"/>
        <v>-5.9879500928322633</v>
      </c>
      <c r="W46">
        <f t="shared" si="6"/>
        <v>5.7818967440727959E-5</v>
      </c>
      <c r="Y46">
        <f t="shared" si="8"/>
        <v>1.1506596155484305</v>
      </c>
      <c r="Z46" t="e">
        <f t="shared" si="9"/>
        <v>#VALUE!</v>
      </c>
    </row>
    <row r="47" spans="2:26" x14ac:dyDescent="0.25">
      <c r="B47" s="6">
        <f>'Drag Polar Clean'!B45+($N$9*$N$6*COS($N$8*PI()/180))</f>
        <v>6.8128532198819425</v>
      </c>
      <c r="C47" s="6">
        <f>'Drag Polar Clean'!C45</f>
        <v>1.5123960000000001</v>
      </c>
      <c r="D47" s="6">
        <f ca="1">'Drag Polar Clean'!D45+(0.14/$N$7)^2*($M$90-'Drag Polar Clean'!$M$88)^2*COS($B$10*PI()/180)</f>
        <v>0.11818075003589582</v>
      </c>
      <c r="E47" s="6">
        <f>'Drag Polar Clean'!E45</f>
        <v>2.0205999999999998E-2</v>
      </c>
      <c r="F47" s="6">
        <f>'Drag Polar Clean'!F45</f>
        <v>9.3873999999999999E-2</v>
      </c>
      <c r="G47" s="6">
        <f>'Drag Polar Clean'!G45</f>
        <v>0</v>
      </c>
      <c r="H47" s="7" t="s">
        <v>899</v>
      </c>
      <c r="I47" s="6">
        <f>'Drag Polar Clean'!I45</f>
        <v>0</v>
      </c>
      <c r="J47" s="6">
        <f>'Drag Polar Clean'!J45</f>
        <v>0</v>
      </c>
      <c r="K47" s="6">
        <f>'Drag Polar Clean'!K45</f>
        <v>0</v>
      </c>
      <c r="L47" s="6">
        <f>'Drag Polar Clean'!L45</f>
        <v>92.601299999999995</v>
      </c>
      <c r="M47" s="6">
        <f>'Drag Polar Clean'!M45</f>
        <v>0.61509999999999998</v>
      </c>
      <c r="N47">
        <f>'CD0 High Lift'!$B$64-$E$51+IF($N$4=1,0.0074,0.0144)*$N$5/CD0!$B$13*$N$6*($N$3-10)</f>
        <v>2.9179467107827168E-2</v>
      </c>
      <c r="O47" s="6">
        <f>$B$5/($F$5*S) * (stdpres($F$2)*(1+(CoolingDrag_IC!$B$27-1)/2*$F$3^2)^(CoolingDrag_IC!$B$27/(CoolingDrag_IC!$B$27-1))/stdpres(0))</f>
        <v>9.743869274026545E-3</v>
      </c>
      <c r="P47">
        <f t="shared" si="1"/>
        <v>0.1327973363818537</v>
      </c>
      <c r="Q47">
        <f t="shared" si="2"/>
        <v>11.388752524758198</v>
      </c>
      <c r="R47">
        <f t="shared" si="7"/>
        <v>14.005832105698447</v>
      </c>
      <c r="T47">
        <f t="shared" si="3"/>
        <v>0.12546866991326985</v>
      </c>
      <c r="U47">
        <f t="shared" si="4"/>
        <v>12.053973322945424</v>
      </c>
      <c r="V47">
        <f t="shared" si="5"/>
        <v>-5.5186848383092162</v>
      </c>
      <c r="W47">
        <f t="shared" si="6"/>
        <v>5.3709352207745279E-5</v>
      </c>
      <c r="Y47">
        <f t="shared" si="8"/>
        <v>1.1996596155484305</v>
      </c>
      <c r="Z47" t="e">
        <f t="shared" si="9"/>
        <v>#VALUE!</v>
      </c>
    </row>
    <row r="48" spans="2:26" x14ac:dyDescent="0.25">
      <c r="B48" s="6">
        <f>'Drag Polar Clean'!B46+($N$9*$N$6*COS($N$8*PI()/180))</f>
        <v>7.3128532198819425</v>
      </c>
      <c r="C48" s="6">
        <f>'Drag Polar Clean'!C46</f>
        <v>1.5615380000000001</v>
      </c>
      <c r="D48" s="6">
        <f ca="1">'Drag Polar Clean'!D46+(0.14/$N$7)^2*($M$90-'Drag Polar Clean'!$M$88)^2*COS($B$10*PI()/180)</f>
        <v>0.12308075003589583</v>
      </c>
      <c r="E48" s="6">
        <f>'Drag Polar Clean'!E46</f>
        <v>2.1314E-2</v>
      </c>
      <c r="F48" s="6">
        <f>'Drag Polar Clean'!F46</f>
        <v>9.9880999999999998E-2</v>
      </c>
      <c r="G48" s="6">
        <f>'Drag Polar Clean'!G46</f>
        <v>0</v>
      </c>
      <c r="H48" s="7" t="s">
        <v>899</v>
      </c>
      <c r="I48" s="6">
        <f>'Drag Polar Clean'!I46</f>
        <v>0</v>
      </c>
      <c r="J48" s="6">
        <f>'Drag Polar Clean'!J46</f>
        <v>0</v>
      </c>
      <c r="K48" s="6">
        <f>'Drag Polar Clean'!K46</f>
        <v>0</v>
      </c>
      <c r="L48" s="6">
        <f>'Drag Polar Clean'!L46</f>
        <v>92.601299999999995</v>
      </c>
      <c r="M48" s="6">
        <f>'Drag Polar Clean'!M46</f>
        <v>0.61599999999999999</v>
      </c>
      <c r="N48">
        <f>'CD0 High Lift'!$B$64-$E$51+IF($N$4=1,0.0074,0.0144)*$N$5/CD0!$B$13*$N$6*($N$3-10)</f>
        <v>2.9179467107827168E-2</v>
      </c>
      <c r="O48" s="6">
        <f>$B$5/($F$5*S) * (stdpres($F$2)*(1+(CoolingDrag_IC!$B$27-1)/2*$F$3^2)^(CoolingDrag_IC!$B$27/(CoolingDrag_IC!$B$27-1))/stdpres(0))</f>
        <v>9.743869274026545E-3</v>
      </c>
      <c r="P48">
        <f t="shared" si="1"/>
        <v>0.13880433638185372</v>
      </c>
      <c r="Q48">
        <f t="shared" si="2"/>
        <v>11.249922305771308</v>
      </c>
      <c r="R48">
        <f t="shared" si="7"/>
        <v>14.058073245590599</v>
      </c>
      <c r="T48">
        <f t="shared" si="3"/>
        <v>0.13176736298189776</v>
      </c>
      <c r="U48">
        <f t="shared" si="4"/>
        <v>11.850719060185828</v>
      </c>
      <c r="V48">
        <f t="shared" si="5"/>
        <v>-5.0697071744193165</v>
      </c>
      <c r="W48">
        <f t="shared" si="6"/>
        <v>4.9518994631687731E-5</v>
      </c>
      <c r="Y48">
        <f t="shared" si="8"/>
        <v>1.2486596155484304</v>
      </c>
      <c r="Z48" t="e">
        <f t="shared" si="9"/>
        <v>#VALUE!</v>
      </c>
    </row>
    <row r="49" spans="1:26" x14ac:dyDescent="0.25">
      <c r="B49" s="6">
        <f>'Drag Polar Clean'!B47+($N$9*$N$6*COS($N$8*PI()/180))</f>
        <v>7.8128532198819425</v>
      </c>
      <c r="C49" s="6">
        <f>'Drag Polar Clean'!C47</f>
        <v>1.6106670000000001</v>
      </c>
      <c r="D49" s="6">
        <f ca="1">'Drag Polar Clean'!D47+(0.14/$N$7)^2*($M$90-'Drag Polar Clean'!$M$88)^2*COS($B$10*PI()/180)</f>
        <v>0.12813375003589583</v>
      </c>
      <c r="E49" s="6">
        <f>'Drag Polar Clean'!E47</f>
        <v>2.2540000000000001E-2</v>
      </c>
      <c r="F49" s="6">
        <f>'Drag Polar Clean'!F47</f>
        <v>0.10616</v>
      </c>
      <c r="G49" s="6">
        <f>'Drag Polar Clean'!G47</f>
        <v>0</v>
      </c>
      <c r="H49" s="7" t="s">
        <v>899</v>
      </c>
      <c r="I49" s="6">
        <f>'Drag Polar Clean'!I47</f>
        <v>0</v>
      </c>
      <c r="J49" s="6">
        <f>'Drag Polar Clean'!J47</f>
        <v>0</v>
      </c>
      <c r="K49" s="6">
        <f>'Drag Polar Clean'!K47</f>
        <v>0</v>
      </c>
      <c r="L49" s="6">
        <f>'Drag Polar Clean'!L47</f>
        <v>92.601299999999995</v>
      </c>
      <c r="M49" s="6">
        <f>'Drag Polar Clean'!M47</f>
        <v>0.61660000000000004</v>
      </c>
      <c r="N49">
        <f>'CD0 High Lift'!$B$64-$E$51+IF($N$4=1,0.0074,0.0144)*$N$5/CD0!$B$13*$N$6*($N$3-10)</f>
        <v>2.9179467107827168E-2</v>
      </c>
      <c r="O49" s="6">
        <f>$B$5/($F$5*S) * (stdpres($F$2)*(1+(CoolingDrag_IC!$B$27-1)/2*$F$3^2)^(CoolingDrag_IC!$B$27/(CoolingDrag_IC!$B$27-1))/stdpres(0))</f>
        <v>9.743869274026545E-3</v>
      </c>
      <c r="P49">
        <f t="shared" si="1"/>
        <v>0.14508333638185372</v>
      </c>
      <c r="Q49">
        <f t="shared" si="2"/>
        <v>11.101667773622099</v>
      </c>
      <c r="R49">
        <f t="shared" si="7"/>
        <v>14.089354840098686</v>
      </c>
      <c r="T49">
        <f t="shared" si="3"/>
        <v>0.1382783672566017</v>
      </c>
      <c r="U49">
        <f t="shared" si="4"/>
        <v>11.648004181385092</v>
      </c>
      <c r="V49">
        <f t="shared" si="5"/>
        <v>-4.690386432347827</v>
      </c>
      <c r="W49">
        <f t="shared" si="6"/>
        <v>4.6307604795633309E-5</v>
      </c>
      <c r="Y49">
        <f t="shared" si="8"/>
        <v>1.2976596155484303</v>
      </c>
      <c r="Z49" t="e">
        <f t="shared" si="9"/>
        <v>#VALUE!</v>
      </c>
    </row>
    <row r="50" spans="1:26" x14ac:dyDescent="0.25">
      <c r="M50" s="6"/>
    </row>
    <row r="51" spans="1:26" x14ac:dyDescent="0.25">
      <c r="A51" s="21" t="s">
        <v>89</v>
      </c>
      <c r="B51">
        <f t="shared" ref="B51:Q51" si="10">MIN(B14:B49)</f>
        <v>-9.6871467801180575</v>
      </c>
      <c r="C51">
        <f t="shared" si="10"/>
        <v>-9.9982000000000001E-2</v>
      </c>
      <c r="D51">
        <f t="shared" ca="1" si="10"/>
        <v>4.4989750035895823E-2</v>
      </c>
      <c r="E51">
        <f t="shared" si="10"/>
        <v>4.1809999999999998E-3</v>
      </c>
      <c r="F51">
        <f t="shared" si="10"/>
        <v>7.306E-3</v>
      </c>
      <c r="G51">
        <f t="shared" si="10"/>
        <v>0</v>
      </c>
      <c r="H51" s="7" t="s">
        <v>899</v>
      </c>
      <c r="I51">
        <f t="shared" si="10"/>
        <v>0</v>
      </c>
      <c r="J51">
        <f t="shared" si="10"/>
        <v>0</v>
      </c>
      <c r="K51">
        <f t="shared" si="10"/>
        <v>0</v>
      </c>
      <c r="L51">
        <f t="shared" si="10"/>
        <v>92.601299999999995</v>
      </c>
      <c r="M51">
        <f t="shared" si="10"/>
        <v>-1.6759999999999999</v>
      </c>
      <c r="N51">
        <f t="shared" si="10"/>
        <v>2.9179467107827168E-2</v>
      </c>
      <c r="O51">
        <f t="shared" si="10"/>
        <v>9.743869274026545E-3</v>
      </c>
      <c r="P51">
        <f t="shared" si="10"/>
        <v>4.6229336381853718E-2</v>
      </c>
      <c r="Q51">
        <f t="shared" si="10"/>
        <v>-2.103231009766164</v>
      </c>
      <c r="R51">
        <f t="shared" ref="R51" si="11">MIN(R14:R49)</f>
        <v>0</v>
      </c>
      <c r="T51">
        <f>MIN(T14:T49)</f>
        <v>3.5924137076248738E-2</v>
      </c>
      <c r="U51">
        <f>MIN(U14:U49)</f>
        <v>-2.6633883072599778</v>
      </c>
      <c r="V51">
        <f>MIN(V14:V49)</f>
        <v>-22.303870172530797</v>
      </c>
      <c r="W51" s="1" t="s">
        <v>104</v>
      </c>
    </row>
    <row r="52" spans="1:26" x14ac:dyDescent="0.25">
      <c r="A52" s="21" t="s">
        <v>90</v>
      </c>
      <c r="B52">
        <f t="shared" ref="B52:Q52" si="12">MAX(B14:B49)</f>
        <v>7.8128532198819425</v>
      </c>
      <c r="C52">
        <f t="shared" si="12"/>
        <v>1.6106670000000001</v>
      </c>
      <c r="D52">
        <f t="shared" ca="1" si="12"/>
        <v>0.12813375003589583</v>
      </c>
      <c r="E52">
        <f t="shared" si="12"/>
        <v>2.2540000000000001E-2</v>
      </c>
      <c r="F52">
        <f t="shared" si="12"/>
        <v>0.10616</v>
      </c>
      <c r="G52">
        <f t="shared" si="12"/>
        <v>0</v>
      </c>
      <c r="H52" s="7" t="s">
        <v>899</v>
      </c>
      <c r="I52">
        <f t="shared" si="12"/>
        <v>0</v>
      </c>
      <c r="J52">
        <f t="shared" si="12"/>
        <v>0</v>
      </c>
      <c r="K52">
        <f t="shared" si="12"/>
        <v>0</v>
      </c>
      <c r="L52">
        <f t="shared" si="12"/>
        <v>92.601299999999995</v>
      </c>
      <c r="M52">
        <f t="shared" si="12"/>
        <v>56.1477</v>
      </c>
      <c r="N52">
        <f t="shared" si="12"/>
        <v>2.9179467107827168E-2</v>
      </c>
      <c r="O52">
        <f t="shared" si="12"/>
        <v>9.743869274026545E-3</v>
      </c>
      <c r="P52">
        <f t="shared" si="12"/>
        <v>0.14508333638185372</v>
      </c>
      <c r="Q52">
        <f t="shared" si="12"/>
        <v>12.427420401353345</v>
      </c>
      <c r="R52">
        <f t="shared" ref="R52" si="13">MAX(R14:R49)</f>
        <v>14.089354840098686</v>
      </c>
      <c r="T52">
        <f>MAX(T14:T49)</f>
        <v>0.1382783672566017</v>
      </c>
      <c r="U52">
        <f>MAX(U14:U49)</f>
        <v>13.85811821883456</v>
      </c>
      <c r="V52">
        <f>MAX(V14:V49)</f>
        <v>-4.690386432347827</v>
      </c>
      <c r="W52">
        <f>SUM(W14:W49)</f>
        <v>3.1649349391035895E-3</v>
      </c>
    </row>
    <row r="53" spans="1:26" x14ac:dyDescent="0.25">
      <c r="A53" s="21" t="s">
        <v>92</v>
      </c>
      <c r="B53">
        <f t="shared" ref="B53:Q53" si="14">AVERAGE(B14:B49)</f>
        <v>-0.93714678011805619</v>
      </c>
      <c r="C53">
        <f t="shared" si="14"/>
        <v>0.7543022222222221</v>
      </c>
      <c r="D53">
        <f t="shared" ca="1" si="14"/>
        <v>7.1158444480340269E-2</v>
      </c>
      <c r="E53">
        <f t="shared" si="14"/>
        <v>1.0501194444444445E-2</v>
      </c>
      <c r="F53">
        <f t="shared" si="14"/>
        <v>3.7145833333333336E-2</v>
      </c>
      <c r="G53">
        <f t="shared" si="14"/>
        <v>0</v>
      </c>
      <c r="H53" s="7" t="s">
        <v>899</v>
      </c>
      <c r="I53">
        <f t="shared" si="14"/>
        <v>0</v>
      </c>
      <c r="J53">
        <f t="shared" si="14"/>
        <v>0</v>
      </c>
      <c r="K53">
        <f t="shared" si="14"/>
        <v>0</v>
      </c>
      <c r="L53">
        <f t="shared" si="14"/>
        <v>92.601299999999952</v>
      </c>
      <c r="M53">
        <f t="shared" si="14"/>
        <v>2.0838277777777781</v>
      </c>
      <c r="N53">
        <f t="shared" si="14"/>
        <v>2.9179467107827158E-2</v>
      </c>
      <c r="O53">
        <f t="shared" si="14"/>
        <v>9.7438692740265415E-3</v>
      </c>
      <c r="P53">
        <f t="shared" si="14"/>
        <v>7.6069169715187027E-2</v>
      </c>
      <c r="Q53">
        <f t="shared" si="14"/>
        <v>8.8406283935543541</v>
      </c>
      <c r="R53">
        <f t="shared" ref="R53" si="15">AVERAGE(R14:R49)</f>
        <v>8.4537040690624856</v>
      </c>
      <c r="T53">
        <f>AVERAGE(T14:T49)</f>
        <v>6.6811916841001268E-2</v>
      </c>
      <c r="U53">
        <f>AVERAGE(U14:U49)</f>
        <v>10.098944898144936</v>
      </c>
      <c r="V53">
        <f>AVERAGE(V14:V49)</f>
        <v>-14.291271867282051</v>
      </c>
    </row>
    <row r="54" spans="1:26" x14ac:dyDescent="0.25">
      <c r="A54" s="21" t="s">
        <v>908</v>
      </c>
      <c r="B54">
        <f>MEDIAN(B14:B49)</f>
        <v>-0.93714678011805752</v>
      </c>
      <c r="C54">
        <f t="shared" ref="C54:V54" si="16">MEDIAN(C14:C49)</f>
        <v>0.75429999999999997</v>
      </c>
      <c r="D54">
        <f t="shared" ca="1" si="16"/>
        <v>6.2487250035895829E-2</v>
      </c>
      <c r="E54">
        <f t="shared" si="16"/>
        <v>8.7484999999999993E-3</v>
      </c>
      <c r="F54">
        <f t="shared" si="16"/>
        <v>2.6721499999999999E-2</v>
      </c>
      <c r="G54">
        <f t="shared" si="16"/>
        <v>0</v>
      </c>
      <c r="H54" s="7" t="s">
        <v>899</v>
      </c>
      <c r="I54">
        <f t="shared" si="16"/>
        <v>0</v>
      </c>
      <c r="J54">
        <f t="shared" si="16"/>
        <v>0</v>
      </c>
      <c r="K54">
        <f t="shared" si="16"/>
        <v>0</v>
      </c>
      <c r="L54">
        <f t="shared" si="16"/>
        <v>92.601299999999995</v>
      </c>
      <c r="M54">
        <f t="shared" si="16"/>
        <v>0.58004999999999995</v>
      </c>
      <c r="N54">
        <f t="shared" si="16"/>
        <v>2.9179467107827168E-2</v>
      </c>
      <c r="O54">
        <f t="shared" si="16"/>
        <v>9.743869274026545E-3</v>
      </c>
      <c r="P54">
        <f t="shared" si="16"/>
        <v>6.56448363818537E-2</v>
      </c>
      <c r="Q54">
        <f t="shared" si="16"/>
        <v>11.180180969041865</v>
      </c>
      <c r="R54">
        <f t="shared" ref="R54" si="17">MEDIAN(R14:R49)</f>
        <v>9.9777433274398213</v>
      </c>
      <c r="T54">
        <f t="shared" si="16"/>
        <v>5.5449683502380699E-2</v>
      </c>
      <c r="U54">
        <f t="shared" si="16"/>
        <v>12.357287515284561</v>
      </c>
      <c r="V54">
        <f t="shared" si="16"/>
        <v>-15.913468768333358</v>
      </c>
    </row>
    <row r="56" spans="1:26" x14ac:dyDescent="0.25">
      <c r="K56" s="102" t="s">
        <v>860</v>
      </c>
      <c r="L56" s="103"/>
      <c r="M56" s="103"/>
      <c r="N56" s="104"/>
    </row>
    <row r="57" spans="1:26" x14ac:dyDescent="0.25">
      <c r="K57" s="105" t="s">
        <v>107</v>
      </c>
      <c r="L57" s="103"/>
      <c r="M57" s="103"/>
      <c r="N57" s="104"/>
    </row>
    <row r="58" spans="1:26" x14ac:dyDescent="0.25">
      <c r="K58" s="63" t="s">
        <v>88</v>
      </c>
      <c r="L58" s="40" t="s">
        <v>2</v>
      </c>
      <c r="M58" s="40" t="s">
        <v>1</v>
      </c>
      <c r="N58" s="40" t="s">
        <v>21</v>
      </c>
    </row>
    <row r="59" spans="1:26" x14ac:dyDescent="0.25">
      <c r="K59" s="41">
        <v>3.6290000000000003E-2</v>
      </c>
      <c r="L59" s="41">
        <v>0.7</v>
      </c>
      <c r="M59" s="41">
        <v>10.26</v>
      </c>
      <c r="N59" s="41">
        <v>8.0649999999999993E-3</v>
      </c>
    </row>
    <row r="60" spans="1:26" x14ac:dyDescent="0.25">
      <c r="K60" s="1"/>
    </row>
    <row r="61" spans="1:26" x14ac:dyDescent="0.25">
      <c r="K61" s="1" t="s">
        <v>96</v>
      </c>
    </row>
    <row r="62" spans="1:26" x14ac:dyDescent="0.25">
      <c r="K62" s="1"/>
      <c r="L62" s="21" t="s">
        <v>99</v>
      </c>
      <c r="M62" s="9">
        <v>3</v>
      </c>
      <c r="N62" s="1" t="s">
        <v>100</v>
      </c>
    </row>
    <row r="63" spans="1:26" x14ac:dyDescent="0.25">
      <c r="K63" s="1"/>
      <c r="L63" s="21" t="s">
        <v>97</v>
      </c>
      <c r="M63">
        <f>1.78*(1-0.045*$M$59^(0.68))-0.64</f>
        <v>0.74986696938602548</v>
      </c>
    </row>
    <row r="64" spans="1:26" x14ac:dyDescent="0.25">
      <c r="L64" s="21" t="s">
        <v>98</v>
      </c>
      <c r="M64">
        <f>4.61*(1-0.045*$M$59^(0.68))*(COS(M62*PI()/180))^(0.15)-3.1</f>
        <v>0.49885888566619307</v>
      </c>
    </row>
    <row r="66" spans="11:14" x14ac:dyDescent="0.25">
      <c r="K66" s="1" t="s">
        <v>902</v>
      </c>
    </row>
    <row r="67" spans="11:14" x14ac:dyDescent="0.25">
      <c r="K67" s="1" t="s">
        <v>931</v>
      </c>
      <c r="L67">
        <v>14</v>
      </c>
    </row>
    <row r="68" spans="11:14" x14ac:dyDescent="0.25">
      <c r="K68" s="1" t="s">
        <v>903</v>
      </c>
      <c r="L68" t="str">
        <f>AoAPrint(B14:B49, L67)</f>
        <v>-9.687, -8.187, -6.687, -5.187, -4.187, -2.687, -1.187, -0.187, 1.313, 2.813, 3.813, 5.313, 6.813, 7.813</v>
      </c>
    </row>
    <row r="69" spans="11:14" x14ac:dyDescent="0.25">
      <c r="K69" s="1" t="s">
        <v>118</v>
      </c>
      <c r="L69" s="46" t="str">
        <f>CLPrint(B14:B49, C14:C49, L67)</f>
        <v>-0.1000, 0.0469, 0.1936, 0.3402, 0.4379, 0.5841, 0.7300, 0.8271, 0.9725, 1.1172, 1.2169, 1.3649, 1.5124, 1.6107</v>
      </c>
    </row>
    <row r="70" spans="11:14" x14ac:dyDescent="0.25">
      <c r="K70" s="1" t="s">
        <v>95</v>
      </c>
      <c r="L70" s="46" t="str">
        <f>CDPrint(B14:B49, P14:P49, L67)</f>
        <v>0.04754, 0.04635, 0.04630, 0.04684, 0.04912, 0.05590, 0.06417, 0.07037, 0.08057, 0.09309, 0.10103, 0.11594, 0.13280, 0.14508</v>
      </c>
    </row>
    <row r="79" spans="11:14" x14ac:dyDescent="0.25">
      <c r="K79" s="101" t="s">
        <v>859</v>
      </c>
      <c r="L79" s="101"/>
      <c r="M79" s="47"/>
      <c r="N79" s="47"/>
    </row>
    <row r="80" spans="11:14" x14ac:dyDescent="0.25">
      <c r="K80" s="101" t="s">
        <v>745</v>
      </c>
      <c r="L80" s="101"/>
      <c r="M80" s="47"/>
      <c r="N80" s="47"/>
    </row>
    <row r="81" spans="11:14" x14ac:dyDescent="0.25">
      <c r="K81" s="63" t="s">
        <v>746</v>
      </c>
      <c r="L81" s="63" t="s">
        <v>747</v>
      </c>
    </row>
    <row r="82" spans="11:14" x14ac:dyDescent="0.25">
      <c r="K82" s="41">
        <v>9.8000000000000004E-2</v>
      </c>
      <c r="L82" s="41">
        <v>0.53200000000000003</v>
      </c>
    </row>
    <row r="84" spans="11:14" x14ac:dyDescent="0.25">
      <c r="K84" s="1" t="s">
        <v>748</v>
      </c>
    </row>
    <row r="85" spans="11:14" x14ac:dyDescent="0.25">
      <c r="L85" s="21" t="s">
        <v>753</v>
      </c>
      <c r="M85">
        <f>MATCH(0,C14:C49,1)+ROW(C14)-1</f>
        <v>16</v>
      </c>
    </row>
    <row r="86" spans="11:14" x14ac:dyDescent="0.25">
      <c r="L86" s="1" t="s">
        <v>868</v>
      </c>
      <c r="M86">
        <f ca="1">INDIRECT(CONCATENATE("B",M85+1)) - (INDIRECT(CONCATENATE("B",M85+1))-INDIRECT(CONCATENATE("B",M85))) / (INDIRECT(CONCATENATE("C",M85+1))-INDIRECT(CONCATENATE("C",M85))) * (INDIRECT(CONCATENATE("C",M85+1)) - 0)</f>
        <v>-8.6660623196922817</v>
      </c>
      <c r="N86" s="1" t="s">
        <v>741</v>
      </c>
    </row>
    <row r="87" spans="11:14" x14ac:dyDescent="0.25">
      <c r="L87" s="45"/>
      <c r="M87" s="1"/>
    </row>
    <row r="88" spans="11:14" x14ac:dyDescent="0.25">
      <c r="K88" s="1" t="s">
        <v>747</v>
      </c>
    </row>
    <row r="89" spans="11:14" x14ac:dyDescent="0.25">
      <c r="L89" s="21" t="s">
        <v>904</v>
      </c>
      <c r="M89">
        <f>MATCH(0,B14:B49,1)+ROW(B14)-1</f>
        <v>33</v>
      </c>
    </row>
    <row r="90" spans="11:14" x14ac:dyDescent="0.25">
      <c r="L90" s="21" t="s">
        <v>905</v>
      </c>
      <c r="M90">
        <f ca="1">INDIRECT(CONCATENATE("C",M89+1)) - (INDIRECT(CONCATENATE("C",M89+1))-INDIRECT(CONCATENATE("C",M89))) / (INDIRECT(CONCATENATE("B",M89+1))-INDIRECT(CONCATENATE("B",M89))) * (INDIRECT(CONCATENATE("B",M89+1)) - 0)</f>
        <v>0.84558956659351403</v>
      </c>
    </row>
    <row r="102" spans="11:14" x14ac:dyDescent="0.25">
      <c r="K102" s="101" t="s">
        <v>861</v>
      </c>
      <c r="L102" s="101"/>
    </row>
    <row r="103" spans="11:14" x14ac:dyDescent="0.25">
      <c r="K103" s="101" t="s">
        <v>749</v>
      </c>
      <c r="L103" s="101"/>
    </row>
    <row r="104" spans="11:14" x14ac:dyDescent="0.25">
      <c r="K104" s="63" t="s">
        <v>750</v>
      </c>
      <c r="L104" s="63" t="s">
        <v>751</v>
      </c>
    </row>
    <row r="105" spans="11:14" x14ac:dyDescent="0.25">
      <c r="K105" s="41">
        <v>-3.3000000000000002E-2</v>
      </c>
      <c r="L105" s="41" t="str">
        <f>H19</f>
        <v>Moment Invalid</v>
      </c>
    </row>
    <row r="107" spans="11:14" x14ac:dyDescent="0.25">
      <c r="K107" s="1" t="s">
        <v>752</v>
      </c>
    </row>
    <row r="108" spans="11:14" x14ac:dyDescent="0.25">
      <c r="L108" s="21" t="s">
        <v>736</v>
      </c>
      <c r="M108" t="e">
        <f>MATCH(0,H14:H49,-1)+ROW(H14)-1</f>
        <v>#N/A</v>
      </c>
    </row>
    <row r="109" spans="11:14" x14ac:dyDescent="0.25">
      <c r="L109" s="1" t="s">
        <v>870</v>
      </c>
      <c r="M109" t="e">
        <f ca="1">INDIRECT(CONCATENATE("B",M108+1)) - (INDIRECT(CONCATENATE("B",M108+1))-INDIRECT(CONCATENATE("B",M108))) / (INDIRECT(CONCATENATE("H",M108+1))-INDIRECT(CONCATENATE("H",M108))) * (INDIRECT(CONCATENATE("H",M108+1)) - 0)</f>
        <v>#N/A</v>
      </c>
      <c r="N109" s="1" t="s">
        <v>741</v>
      </c>
    </row>
    <row r="110" spans="11:14" x14ac:dyDescent="0.25">
      <c r="L110" s="45" t="s">
        <v>869</v>
      </c>
      <c r="M110" s="1" t="e">
        <f ca="1">INDIRECT(CONCATENATE("C",M108+1)) - (INDIRECT(CONCATENATE("C",M108+1))-INDIRECT(CONCATENATE("C",M108))) / (INDIRECT(CONCATENATE("H",M108+1))-INDIRECT(CONCATENATE("H",M108))) * (INDIRECT(CONCATENATE("H",M108+1)) - 0)</f>
        <v>#N/A</v>
      </c>
    </row>
  </sheetData>
  <mergeCells count="11">
    <mergeCell ref="K79:L79"/>
    <mergeCell ref="K80:L80"/>
    <mergeCell ref="K102:L102"/>
    <mergeCell ref="K103:L103"/>
    <mergeCell ref="A1:C1"/>
    <mergeCell ref="E1:G1"/>
    <mergeCell ref="I1:K1"/>
    <mergeCell ref="B12:M12"/>
    <mergeCell ref="K56:N56"/>
    <mergeCell ref="K57:N57"/>
    <mergeCell ref="M1:O1"/>
  </mergeCells>
  <pageMargins left="0.7" right="0.7" top="0.75" bottom="0.75" header="0.3" footer="0.3"/>
  <pageSetup orientation="portrait" horizontalDpi="4294967292" verticalDpi="4294967292" r:id="rId1"/>
  <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X61"/>
  <sheetViews>
    <sheetView topLeftCell="D1" workbookViewId="0">
      <selection activeCell="U17" sqref="U17"/>
    </sheetView>
  </sheetViews>
  <sheetFormatPr defaultColWidth="8.88671875" defaultRowHeight="13.2" x14ac:dyDescent="0.25"/>
  <cols>
    <col min="1" max="1" width="12.44140625" bestFit="1" customWidth="1"/>
    <col min="2" max="2" width="9.109375" customWidth="1"/>
    <col min="3" max="3" width="12" bestFit="1" customWidth="1"/>
    <col min="4" max="4" width="17.33203125" bestFit="1" customWidth="1"/>
    <col min="5" max="5" width="18.44140625" bestFit="1" customWidth="1"/>
    <col min="6" max="6" width="16.109375" bestFit="1" customWidth="1"/>
    <col min="7" max="7" width="2.6640625" customWidth="1"/>
    <col min="8" max="10" width="9.6640625" customWidth="1"/>
    <col min="11" max="11" width="12.88671875" customWidth="1"/>
    <col min="12" max="12" width="9.6640625" customWidth="1"/>
    <col min="13" max="13" width="2.6640625" customWidth="1"/>
    <col min="16" max="16" width="10.33203125" customWidth="1"/>
    <col min="19" max="19" width="2" customWidth="1"/>
  </cols>
  <sheetData>
    <row r="1" spans="1:24" x14ac:dyDescent="0.25">
      <c r="A1" s="99" t="s">
        <v>122</v>
      </c>
      <c r="B1" s="99"/>
      <c r="C1" s="99"/>
      <c r="D1" s="99"/>
      <c r="E1" s="99"/>
      <c r="F1" s="99"/>
      <c r="H1" s="99" t="s">
        <v>123</v>
      </c>
      <c r="I1" s="99"/>
      <c r="J1" s="99"/>
      <c r="K1" s="99"/>
      <c r="L1" s="99"/>
      <c r="N1" s="99" t="s">
        <v>127</v>
      </c>
      <c r="O1" s="99"/>
      <c r="P1" s="99"/>
      <c r="Q1" s="99"/>
      <c r="R1" s="99"/>
      <c r="T1" s="99" t="s">
        <v>182</v>
      </c>
      <c r="U1" s="99"/>
      <c r="V1" s="99"/>
      <c r="W1" s="99"/>
      <c r="X1" s="1" t="s">
        <v>933</v>
      </c>
    </row>
    <row r="2" spans="1:24" x14ac:dyDescent="0.25">
      <c r="A2" t="str">
        <f>'Drag Polar Clean'!E2</f>
        <v>Altitude</v>
      </c>
      <c r="B2">
        <f>'Drag Polar Clean'!F2</f>
        <v>8000</v>
      </c>
      <c r="C2" t="str">
        <f>'Drag Polar Clean'!G2</f>
        <v>ft</v>
      </c>
      <c r="H2" s="98" t="s">
        <v>943</v>
      </c>
      <c r="I2" s="98"/>
      <c r="J2" s="98"/>
      <c r="K2" s="98"/>
      <c r="L2" s="98"/>
      <c r="T2" s="1" t="s">
        <v>944</v>
      </c>
    </row>
    <row r="3" spans="1:24" x14ac:dyDescent="0.25">
      <c r="A3" t="str">
        <f>'Drag Polar Clean'!E3</f>
        <v>Mach</v>
      </c>
      <c r="B3">
        <f>'Drag Polar Clean'!F3</f>
        <v>0.20216592434281558</v>
      </c>
    </row>
    <row r="4" spans="1:24" x14ac:dyDescent="0.25">
      <c r="A4" t="str">
        <f>'Drag Polar Clean'!E4</f>
        <v>Velocity</v>
      </c>
      <c r="B4">
        <f>'Drag Polar Clean'!F4</f>
        <v>130</v>
      </c>
      <c r="C4" t="str">
        <f>'Drag Polar Clean'!G4</f>
        <v>knots</v>
      </c>
      <c r="T4" s="20"/>
      <c r="U4" s="106" t="s">
        <v>183</v>
      </c>
      <c r="V4" s="107"/>
      <c r="W4" s="108"/>
    </row>
    <row r="5" spans="1:24" x14ac:dyDescent="0.25">
      <c r="A5" t="str">
        <f>'Drag Polar Clean'!B11</f>
        <v>Alpha</v>
      </c>
      <c r="B5" t="str">
        <f>'Drag Polar Clean'!C11</f>
        <v>CL</v>
      </c>
      <c r="C5" t="str">
        <f>'Drag Polar Clean'!T11</f>
        <v>Analytical CD</v>
      </c>
      <c r="D5" s="1" t="s">
        <v>184</v>
      </c>
      <c r="E5" s="1" t="s">
        <v>121</v>
      </c>
      <c r="F5" s="1" t="s">
        <v>120</v>
      </c>
      <c r="H5" s="1" t="s">
        <v>124</v>
      </c>
      <c r="I5" s="1" t="s">
        <v>118</v>
      </c>
      <c r="J5" s="1" t="s">
        <v>125</v>
      </c>
      <c r="K5" s="1" t="s">
        <v>88</v>
      </c>
      <c r="L5" s="1" t="s">
        <v>126</v>
      </c>
      <c r="N5" s="43" t="s">
        <v>128</v>
      </c>
      <c r="O5" s="43" t="s">
        <v>118</v>
      </c>
      <c r="P5" s="43" t="s">
        <v>93</v>
      </c>
      <c r="Q5" s="43" t="s">
        <v>88</v>
      </c>
      <c r="R5" s="43" t="s">
        <v>126</v>
      </c>
      <c r="T5" s="24" t="s">
        <v>118</v>
      </c>
      <c r="U5" s="34" t="s">
        <v>93</v>
      </c>
      <c r="V5" s="34" t="s">
        <v>88</v>
      </c>
      <c r="W5" s="34" t="s">
        <v>126</v>
      </c>
    </row>
    <row r="6" spans="1:24" x14ac:dyDescent="0.25">
      <c r="A6">
        <f>'Drag Polar Clean'!B12</f>
        <v>-2.5</v>
      </c>
      <c r="B6">
        <f>'Drag Polar Clean'!C12</f>
        <v>-9.9982000000000001E-2</v>
      </c>
      <c r="C6">
        <f>'Drag Polar Clean'!T12</f>
        <v>2.2811160289377325E-2</v>
      </c>
      <c r="D6">
        <f>'Drag Polar Clean'!P12</f>
        <v>2.6019323396594709E-2</v>
      </c>
      <c r="E6">
        <f>'Drag Polar Clean'!N12+'Drag Polar Clean'!O12+'Drag Polar Clean'!$E$49</f>
        <v>2.1586323396594709E-2</v>
      </c>
      <c r="F6">
        <f>D6-E6</f>
        <v>4.4329999999999994E-3</v>
      </c>
      <c r="N6" s="30">
        <f t="shared" ref="N6" si="0">(H6-A6)/ABS(A6)*100</f>
        <v>100</v>
      </c>
      <c r="O6" s="30">
        <f t="shared" ref="O6" si="1">(I6-B6)/ABS(B6)*100</f>
        <v>100</v>
      </c>
      <c r="P6" s="30">
        <f t="shared" ref="P6:R6" si="2">(J6-D6)/ABS(D6)*100</f>
        <v>-100</v>
      </c>
      <c r="Q6" s="30">
        <f t="shared" si="2"/>
        <v>-100</v>
      </c>
      <c r="R6" s="30">
        <f t="shared" si="2"/>
        <v>-100</v>
      </c>
      <c r="T6" s="33">
        <v>4.6882E-2</v>
      </c>
      <c r="U6" s="23">
        <v>7.7675973734034915</v>
      </c>
      <c r="V6" s="23">
        <v>1.0035299989983996E-3</v>
      </c>
      <c r="W6" s="23">
        <v>51.950143781858657</v>
      </c>
    </row>
    <row r="7" spans="1:24" x14ac:dyDescent="0.25">
      <c r="A7">
        <f>'Drag Polar Clean'!B13</f>
        <v>-2</v>
      </c>
      <c r="B7">
        <f>'Drag Polar Clean'!C13</f>
        <v>-5.1019000000000002E-2</v>
      </c>
      <c r="C7">
        <f>'Drag Polar Clean'!T13</f>
        <v>2.2093206945901538E-2</v>
      </c>
      <c r="D7">
        <f>'Drag Polar Clean'!P13</f>
        <v>2.546532339659471E-2</v>
      </c>
      <c r="E7">
        <f>'Drag Polar Clean'!N13+'Drag Polar Clean'!O13+'Drag Polar Clean'!$E$49</f>
        <v>2.1586323396594709E-2</v>
      </c>
      <c r="F7">
        <f t="shared" ref="F7:F41" si="3">D7-E7</f>
        <v>3.8790000000000005E-3</v>
      </c>
      <c r="N7" s="30">
        <f t="shared" ref="N7:N23" si="4">(H7-A7)/ABS(A7)*100</f>
        <v>100</v>
      </c>
      <c r="O7" s="30">
        <f t="shared" ref="O7:O23" si="5">(I7-B7)/ABS(B7)*100</f>
        <v>100</v>
      </c>
      <c r="P7" s="30">
        <f t="shared" ref="P7:P23" si="6">(J7-D7)/ABS(D7)*100</f>
        <v>-100</v>
      </c>
      <c r="Q7" s="30">
        <f t="shared" ref="Q7:Q23" si="7">(K7-E7)/ABS(E7)*100</f>
        <v>-100</v>
      </c>
      <c r="R7" s="30">
        <f t="shared" ref="R7:R23" si="8">(L7-F7)/ABS(F7)*100</f>
        <v>-100</v>
      </c>
      <c r="T7" s="33">
        <v>9.5814999999999997E-2</v>
      </c>
      <c r="U7" s="23">
        <v>3.7849333633133484</v>
      </c>
      <c r="V7" s="23">
        <v>1.0035299989983996E-3</v>
      </c>
      <c r="W7" s="23">
        <v>26.116860978494977</v>
      </c>
    </row>
    <row r="8" spans="1:24" x14ac:dyDescent="0.25">
      <c r="A8">
        <f>'Drag Polar Clean'!B14</f>
        <v>-1.5</v>
      </c>
      <c r="B8">
        <f>'Drag Polar Clean'!C14</f>
        <v>-2.0639999999999999E-3</v>
      </c>
      <c r="C8">
        <f>'Drag Polar Clean'!T14</f>
        <v>2.1584832310327116E-2</v>
      </c>
      <c r="D8">
        <f>'Drag Polar Clean'!P14</f>
        <v>2.5069323396594709E-2</v>
      </c>
      <c r="E8">
        <f>'Drag Polar Clean'!N14+'Drag Polar Clean'!O14+'Drag Polar Clean'!$E$49</f>
        <v>2.1586323396594709E-2</v>
      </c>
      <c r="F8">
        <f t="shared" si="3"/>
        <v>3.483E-3</v>
      </c>
      <c r="N8" s="30">
        <f t="shared" si="4"/>
        <v>100</v>
      </c>
      <c r="O8" s="30">
        <f t="shared" si="5"/>
        <v>100</v>
      </c>
      <c r="P8" s="30">
        <f t="shared" si="6"/>
        <v>-100</v>
      </c>
      <c r="Q8" s="30">
        <f t="shared" si="7"/>
        <v>-100</v>
      </c>
      <c r="R8" s="30">
        <f t="shared" si="8"/>
        <v>-100</v>
      </c>
      <c r="T8" s="33">
        <v>0.144735</v>
      </c>
      <c r="U8" s="23">
        <v>1.1282411440356532</v>
      </c>
      <c r="V8" s="23">
        <v>1.0035299989983996E-3</v>
      </c>
      <c r="W8" s="23">
        <v>7.7407473600493599</v>
      </c>
    </row>
    <row r="9" spans="1:24" x14ac:dyDescent="0.25">
      <c r="A9">
        <f>'Drag Polar Clean'!B15</f>
        <v>-1</v>
      </c>
      <c r="B9">
        <f>'Drag Polar Clean'!C15</f>
        <v>4.6882E-2</v>
      </c>
      <c r="C9">
        <f>'Drag Polar Clean'!T15</f>
        <v>2.1285937671217541E-2</v>
      </c>
      <c r="D9">
        <f>'Drag Polar Clean'!P15</f>
        <v>2.4828323396594708E-2</v>
      </c>
      <c r="E9">
        <f>'Drag Polar Clean'!N15+'Drag Polar Clean'!O15+'Drag Polar Clean'!$E$49</f>
        <v>2.1586323396594709E-2</v>
      </c>
      <c r="F9">
        <f t="shared" si="3"/>
        <v>3.2419999999999984E-3</v>
      </c>
      <c r="I9">
        <v>4.6882E-2</v>
      </c>
      <c r="J9">
        <v>2.3369476366372322E-2</v>
      </c>
      <c r="K9">
        <v>1.8443252704964466E-2</v>
      </c>
      <c r="L9">
        <v>4.9262236614078551E-3</v>
      </c>
      <c r="N9" s="30">
        <f t="shared" si="4"/>
        <v>100</v>
      </c>
      <c r="O9" s="30">
        <f t="shared" si="5"/>
        <v>0</v>
      </c>
      <c r="P9" s="30">
        <f t="shared" si="6"/>
        <v>-5.8757371849863702</v>
      </c>
      <c r="Q9" s="30">
        <f t="shared" si="7"/>
        <v>-14.560472544972944</v>
      </c>
      <c r="R9" s="30">
        <f t="shared" si="8"/>
        <v>51.950143781858657</v>
      </c>
      <c r="T9" s="33">
        <v>0.19363900000000001</v>
      </c>
      <c r="U9" s="23">
        <v>-0.71782380472038576</v>
      </c>
      <c r="V9" s="23">
        <v>1.0035299989983996E-3</v>
      </c>
      <c r="W9" s="23">
        <v>-4.8620504829538529</v>
      </c>
    </row>
    <row r="10" spans="1:24" x14ac:dyDescent="0.25">
      <c r="A10">
        <f>'Drag Polar Clean'!B16</f>
        <v>-0.5</v>
      </c>
      <c r="B10">
        <f>'Drag Polar Clean'!C16</f>
        <v>9.5814999999999997E-2</v>
      </c>
      <c r="C10">
        <f>'Drag Polar Clean'!T16</f>
        <v>2.1196406300879034E-2</v>
      </c>
      <c r="D10">
        <f>'Drag Polar Clean'!P16</f>
        <v>2.4711323396594709E-2</v>
      </c>
      <c r="E10">
        <f>'Drag Polar Clean'!N16+'Drag Polar Clean'!O16+'Drag Polar Clean'!$E$49</f>
        <v>2.1586323396594709E-2</v>
      </c>
      <c r="F10">
        <f t="shared" si="3"/>
        <v>3.1249999999999993E-3</v>
      </c>
      <c r="I10">
        <v>9.5814999999999997E-2</v>
      </c>
      <c r="J10">
        <v>2.2384404610542433E-2</v>
      </c>
      <c r="K10">
        <v>1.8443252704964466E-2</v>
      </c>
      <c r="L10">
        <v>3.9411519055779672E-3</v>
      </c>
      <c r="N10" s="30">
        <f t="shared" si="4"/>
        <v>100</v>
      </c>
      <c r="O10" s="30">
        <f t="shared" si="5"/>
        <v>0</v>
      </c>
      <c r="P10" s="30">
        <f t="shared" si="6"/>
        <v>-9.4164069997680979</v>
      </c>
      <c r="Q10" s="30">
        <f t="shared" si="7"/>
        <v>-14.560472544972944</v>
      </c>
      <c r="R10" s="30">
        <f t="shared" si="8"/>
        <v>26.116860978494977</v>
      </c>
      <c r="T10" s="33">
        <v>0.24252599999999999</v>
      </c>
      <c r="U10" s="23">
        <v>-0.68541520331843486</v>
      </c>
      <c r="V10" s="23">
        <v>1.0035299989983996E-3</v>
      </c>
      <c r="W10" s="23">
        <v>-4.5687486746183046</v>
      </c>
    </row>
    <row r="11" spans="1:24" x14ac:dyDescent="0.25">
      <c r="A11">
        <f>'Drag Polar Clean'!B17</f>
        <v>0</v>
      </c>
      <c r="B11">
        <f>'Drag Polar Clean'!C17</f>
        <v>0.144735</v>
      </c>
      <c r="C11">
        <f>'Drag Polar Clean'!T17</f>
        <v>2.1316071420504588E-2</v>
      </c>
      <c r="D11">
        <f>'Drag Polar Clean'!P17</f>
        <v>2.473032339659471E-2</v>
      </c>
      <c r="E11">
        <f>'Drag Polar Clean'!N17+'Drag Polar Clean'!O17+'Drag Polar Clean'!$E$49</f>
        <v>2.1586323396594709E-2</v>
      </c>
      <c r="F11">
        <f t="shared" si="3"/>
        <v>3.144000000000001E-3</v>
      </c>
      <c r="I11">
        <v>0.144735</v>
      </c>
      <c r="J11">
        <v>2.1830621801964413E-2</v>
      </c>
      <c r="K11">
        <v>1.8443252704964466E-2</v>
      </c>
      <c r="L11">
        <v>3.3873690969999492E-3</v>
      </c>
      <c r="N11" s="30" t="e">
        <f t="shared" si="4"/>
        <v>#DIV/0!</v>
      </c>
      <c r="O11" s="30">
        <f t="shared" si="5"/>
        <v>0</v>
      </c>
      <c r="P11" s="30">
        <f t="shared" si="6"/>
        <v>-11.72528781014476</v>
      </c>
      <c r="Q11" s="30">
        <f t="shared" si="7"/>
        <v>-14.560472544972944</v>
      </c>
      <c r="R11" s="30">
        <f t="shared" si="8"/>
        <v>7.7407473600492409</v>
      </c>
      <c r="T11" s="33">
        <v>0.29139300000000001</v>
      </c>
      <c r="U11" s="23">
        <v>1.0470968517102641</v>
      </c>
      <c r="V11" s="23">
        <v>1.0035299989983996E-3</v>
      </c>
      <c r="W11" s="23">
        <v>7.1467395556460884</v>
      </c>
    </row>
    <row r="12" spans="1:24" x14ac:dyDescent="0.25">
      <c r="A12">
        <f>'Drag Polar Clean'!B18</f>
        <v>0.5</v>
      </c>
      <c r="B12">
        <f>'Drag Polar Clean'!C18</f>
        <v>0.19363900000000001</v>
      </c>
      <c r="C12">
        <f>'Drag Polar Clean'!T18</f>
        <v>2.1644739722383774E-2</v>
      </c>
      <c r="D12">
        <f>'Drag Polar Clean'!P18</f>
        <v>2.478532339659471E-2</v>
      </c>
      <c r="E12">
        <f>'Drag Polar Clean'!N18+'Drag Polar Clean'!O18+'Drag Polar Clean'!$E$49</f>
        <v>2.1586323396594709E-2</v>
      </c>
      <c r="F12">
        <f t="shared" si="3"/>
        <v>3.1990000000000005E-3</v>
      </c>
      <c r="I12">
        <v>0.19363900000000001</v>
      </c>
      <c r="J12">
        <v>2.1486715710014773E-2</v>
      </c>
      <c r="K12">
        <v>1.8443252704964466E-2</v>
      </c>
      <c r="L12">
        <v>3.0434630050503067E-3</v>
      </c>
      <c r="N12" s="30">
        <f t="shared" si="4"/>
        <v>-100</v>
      </c>
      <c r="O12" s="30">
        <f t="shared" si="5"/>
        <v>0</v>
      </c>
      <c r="P12" s="30">
        <f t="shared" si="6"/>
        <v>-13.308713522911455</v>
      </c>
      <c r="Q12" s="30">
        <f t="shared" si="7"/>
        <v>-14.560472544972944</v>
      </c>
      <c r="R12" s="30">
        <f t="shared" si="8"/>
        <v>-4.8620504829538529</v>
      </c>
      <c r="T12" s="33">
        <v>0.34023900000000001</v>
      </c>
      <c r="U12" s="23">
        <v>1.446732239623729</v>
      </c>
      <c r="V12" s="23">
        <v>1.0035299989983996E-3</v>
      </c>
      <c r="W12" s="23">
        <v>8.5798709117693246</v>
      </c>
    </row>
    <row r="13" spans="1:24" x14ac:dyDescent="0.25">
      <c r="A13">
        <f>'Drag Polar Clean'!B19</f>
        <v>1</v>
      </c>
      <c r="B13">
        <f>'Drag Polar Clean'!C19</f>
        <v>0.24252599999999999</v>
      </c>
      <c r="C13">
        <f>'Drag Polar Clean'!T19</f>
        <v>2.2182192931933641E-2</v>
      </c>
      <c r="D13">
        <f>'Drag Polar Clean'!P19</f>
        <v>2.4846323396594708E-2</v>
      </c>
      <c r="E13">
        <f>'Drag Polar Clean'!N19+'Drag Polar Clean'!O19+'Drag Polar Clean'!$E$49</f>
        <v>2.1586323396594709E-2</v>
      </c>
      <c r="F13">
        <f t="shared" si="3"/>
        <v>3.259999999999999E-3</v>
      </c>
      <c r="I13">
        <v>0.24252599999999999</v>
      </c>
      <c r="J13">
        <v>2.1554311498171906E-2</v>
      </c>
      <c r="K13">
        <v>1.8443252704964466E-2</v>
      </c>
      <c r="L13">
        <v>3.1110587932074423E-3</v>
      </c>
      <c r="N13" s="30">
        <f t="shared" si="4"/>
        <v>-100</v>
      </c>
      <c r="O13" s="30">
        <f t="shared" si="5"/>
        <v>0</v>
      </c>
      <c r="P13" s="30">
        <f t="shared" si="6"/>
        <v>-13.249493077410342</v>
      </c>
      <c r="Q13" s="30">
        <f t="shared" si="7"/>
        <v>-14.560472544972944</v>
      </c>
      <c r="R13" s="30">
        <f t="shared" si="8"/>
        <v>-4.5687486746183046</v>
      </c>
      <c r="T13" s="33">
        <v>0.38906200000000002</v>
      </c>
      <c r="U13" s="23">
        <v>0.91194580780415957</v>
      </c>
      <c r="V13" s="23">
        <v>1.0035299989983996E-3</v>
      </c>
      <c r="W13" s="23">
        <v>4.4616119879089968</v>
      </c>
    </row>
    <row r="14" spans="1:24" x14ac:dyDescent="0.25">
      <c r="A14">
        <f>'Drag Polar Clean'!B20</f>
        <v>1.5</v>
      </c>
      <c r="B14">
        <f>'Drag Polar Clean'!C20</f>
        <v>0.29139300000000001</v>
      </c>
      <c r="C14">
        <f>'Drag Polar Clean'!T20</f>
        <v>2.2928160956688558E-2</v>
      </c>
      <c r="D14">
        <f>'Drag Polar Clean'!P20</f>
        <v>2.4749323396594709E-2</v>
      </c>
      <c r="E14">
        <f>'Drag Polar Clean'!N20+'Drag Polar Clean'!O20+'Drag Polar Clean'!$E$49</f>
        <v>2.1586323396594709E-2</v>
      </c>
      <c r="F14">
        <f t="shared" si="3"/>
        <v>3.1629999999999991E-3</v>
      </c>
      <c r="I14">
        <v>0.29139300000000001</v>
      </c>
      <c r="J14">
        <v>2.1832304077109552E-2</v>
      </c>
      <c r="K14">
        <v>1.8443252704964466E-2</v>
      </c>
      <c r="L14">
        <v>3.3890513721450848E-3</v>
      </c>
      <c r="N14" s="30">
        <f t="shared" si="4"/>
        <v>-100</v>
      </c>
      <c r="O14" s="30">
        <f t="shared" si="5"/>
        <v>0</v>
      </c>
      <c r="P14" s="30">
        <f t="shared" si="6"/>
        <v>-11.786258851369299</v>
      </c>
      <c r="Q14" s="30">
        <f t="shared" si="7"/>
        <v>-14.560472544972944</v>
      </c>
      <c r="R14" s="30">
        <f t="shared" si="8"/>
        <v>7.1467395556460884</v>
      </c>
      <c r="T14" s="33">
        <v>0.43786000000000003</v>
      </c>
      <c r="U14" s="23">
        <v>0.81918784708518588</v>
      </c>
      <c r="V14" s="23">
        <v>1.0035299989983996E-3</v>
      </c>
      <c r="W14" s="23">
        <v>3.3262203588482109</v>
      </c>
    </row>
    <row r="15" spans="1:24" x14ac:dyDescent="0.25">
      <c r="A15">
        <f>'Drag Polar Clean'!B21</f>
        <v>2</v>
      </c>
      <c r="B15">
        <f>'Drag Polar Clean'!C21</f>
        <v>0.34023900000000001</v>
      </c>
      <c r="C15">
        <f>'Drag Polar Clean'!T21</f>
        <v>2.3882365890545373E-2</v>
      </c>
      <c r="D15">
        <f>'Drag Polar Clean'!P21</f>
        <v>2.5324323396594708E-2</v>
      </c>
      <c r="E15">
        <f>'Drag Polar Clean'!N21+'Drag Polar Clean'!O21+'Drag Polar Clean'!$E$49</f>
        <v>2.1586323396594709E-2</v>
      </c>
      <c r="F15">
        <f t="shared" si="3"/>
        <v>3.7379999999999983E-3</v>
      </c>
      <c r="I15">
        <v>0.34023900000000001</v>
      </c>
      <c r="J15">
        <v>2.2501968279646404E-2</v>
      </c>
      <c r="K15">
        <v>1.8443252704964466E-2</v>
      </c>
      <c r="L15">
        <v>4.0587155746819393E-3</v>
      </c>
      <c r="N15" s="30">
        <f t="shared" si="4"/>
        <v>-100</v>
      </c>
      <c r="O15" s="30">
        <f t="shared" si="5"/>
        <v>0</v>
      </c>
      <c r="P15" s="30">
        <f t="shared" si="6"/>
        <v>-11.144839183848909</v>
      </c>
      <c r="Q15" s="30">
        <f t="shared" si="7"/>
        <v>-14.560472544972944</v>
      </c>
      <c r="R15" s="30">
        <f t="shared" si="8"/>
        <v>8.5798709117694258</v>
      </c>
      <c r="T15" s="33">
        <v>0.48663099999999998</v>
      </c>
      <c r="U15" s="23">
        <v>-8.5171050187779609E-2</v>
      </c>
      <c r="V15" s="23">
        <v>1.0035299989983996E-3</v>
      </c>
      <c r="W15" s="23">
        <v>-0.29029800034133735</v>
      </c>
    </row>
    <row r="16" spans="1:24" x14ac:dyDescent="0.25">
      <c r="A16">
        <f>'Drag Polar Clean'!B22</f>
        <v>2.5</v>
      </c>
      <c r="B16">
        <f>'Drag Polar Clean'!C22</f>
        <v>0.38906200000000002</v>
      </c>
      <c r="C16">
        <f>'Drag Polar Clean'!T22</f>
        <v>2.5044486928167995E-2</v>
      </c>
      <c r="D16">
        <f>'Drag Polar Clean'!P22</f>
        <v>2.6319323396594711E-2</v>
      </c>
      <c r="E16">
        <f>'Drag Polar Clean'!N22+'Drag Polar Clean'!O22+'Drag Polar Clean'!$E$49</f>
        <v>2.1586323396594709E-2</v>
      </c>
      <c r="F16">
        <f t="shared" si="3"/>
        <v>4.7330000000000011E-3</v>
      </c>
      <c r="I16">
        <v>0.38906200000000002</v>
      </c>
      <c r="J16">
        <v>2.3387420800352197E-2</v>
      </c>
      <c r="K16">
        <v>1.8443252704964466E-2</v>
      </c>
      <c r="L16">
        <v>4.9441680953877304E-3</v>
      </c>
      <c r="N16" s="30">
        <f t="shared" si="4"/>
        <v>-100</v>
      </c>
      <c r="O16" s="30">
        <f t="shared" si="5"/>
        <v>0</v>
      </c>
      <c r="P16" s="30">
        <f t="shared" si="6"/>
        <v>-11.139733921206552</v>
      </c>
      <c r="Q16" s="30">
        <f t="shared" si="7"/>
        <v>-14.560472544972944</v>
      </c>
      <c r="R16" s="30">
        <f t="shared" si="8"/>
        <v>4.4616119879089204</v>
      </c>
      <c r="T16" s="33">
        <v>0.53537400000000002</v>
      </c>
      <c r="U16" s="23">
        <v>-1.924444961746715</v>
      </c>
      <c r="V16" s="23">
        <v>1.0035299989983996E-3</v>
      </c>
      <c r="W16" s="23">
        <v>-5.4282611174790585</v>
      </c>
    </row>
    <row r="17" spans="1:23" x14ac:dyDescent="0.25">
      <c r="A17">
        <f>'Drag Polar Clean'!B23</f>
        <v>3</v>
      </c>
      <c r="B17">
        <f>'Drag Polar Clean'!C23</f>
        <v>0.43786000000000003</v>
      </c>
      <c r="C17">
        <f>'Drag Polar Clean'!T23</f>
        <v>2.641416926108988E-2</v>
      </c>
      <c r="D17">
        <f>'Drag Polar Clean'!P23</f>
        <v>2.760532339659471E-2</v>
      </c>
      <c r="E17">
        <f>'Drag Polar Clean'!N23+'Drag Polar Clean'!O23+'Drag Polar Clean'!$E$49</f>
        <v>2.1586323396594709E-2</v>
      </c>
      <c r="F17">
        <f t="shared" si="3"/>
        <v>6.019E-3</v>
      </c>
      <c r="I17">
        <v>0.43786000000000003</v>
      </c>
      <c r="J17">
        <v>2.4662457908363539E-2</v>
      </c>
      <c r="K17">
        <v>1.8443252704964466E-2</v>
      </c>
      <c r="L17">
        <v>6.2192052033990738E-3</v>
      </c>
      <c r="N17" s="30">
        <f t="shared" si="4"/>
        <v>-100</v>
      </c>
      <c r="O17" s="30">
        <f t="shared" si="5"/>
        <v>0</v>
      </c>
      <c r="P17" s="30">
        <f t="shared" si="6"/>
        <v>-10.660499954853602</v>
      </c>
      <c r="Q17" s="30">
        <f t="shared" si="7"/>
        <v>-14.560472544972944</v>
      </c>
      <c r="R17" s="30">
        <f t="shared" si="8"/>
        <v>3.3262203588482109</v>
      </c>
      <c r="T17" s="33">
        <v>0.58408499999999997</v>
      </c>
      <c r="U17" s="23">
        <v>-3.5722561651397573</v>
      </c>
      <c r="V17" s="23">
        <v>1.0035299989983996E-3</v>
      </c>
      <c r="W17" s="23">
        <v>-8.7224492092841199</v>
      </c>
    </row>
    <row r="18" spans="1:23" x14ac:dyDescent="0.25">
      <c r="A18">
        <f>'Drag Polar Clean'!B24</f>
        <v>3.5</v>
      </c>
      <c r="B18">
        <f>'Drag Polar Clean'!C24</f>
        <v>0.48663099999999998</v>
      </c>
      <c r="C18">
        <f>'Drag Polar Clean'!T24</f>
        <v>2.799102411966245E-2</v>
      </c>
      <c r="D18">
        <f>'Drag Polar Clean'!P24</f>
        <v>2.9334323396594707E-2</v>
      </c>
      <c r="E18">
        <f>'Drag Polar Clean'!N24+'Drag Polar Clean'!O24+'Drag Polar Clean'!$E$49</f>
        <v>2.1586323396594709E-2</v>
      </c>
      <c r="F18">
        <f t="shared" si="3"/>
        <v>7.7479999999999979E-3</v>
      </c>
      <c r="I18">
        <v>0.48663099999999998</v>
      </c>
      <c r="J18">
        <v>2.616876041589802E-2</v>
      </c>
      <c r="K18">
        <v>1.8443252704964466E-2</v>
      </c>
      <c r="L18">
        <v>7.7255077109335546E-3</v>
      </c>
      <c r="N18" s="30">
        <f t="shared" si="4"/>
        <v>-100</v>
      </c>
      <c r="O18" s="30">
        <f t="shared" si="5"/>
        <v>0</v>
      </c>
      <c r="P18" s="30">
        <f t="shared" si="6"/>
        <v>-10.791327749063282</v>
      </c>
      <c r="Q18" s="30">
        <f t="shared" si="7"/>
        <v>-14.560472544972944</v>
      </c>
      <c r="R18" s="30">
        <f t="shared" si="8"/>
        <v>-0.29029800034129266</v>
      </c>
      <c r="T18" s="33">
        <v>0.63276399999999999</v>
      </c>
      <c r="U18" s="23">
        <v>-4.7381279976979194</v>
      </c>
      <c r="V18" s="23">
        <v>1.0035299989983996E-3</v>
      </c>
      <c r="W18" s="23">
        <v>-10.381108386411283</v>
      </c>
    </row>
    <row r="19" spans="1:23" x14ac:dyDescent="0.25">
      <c r="A19">
        <f>'Drag Polar Clean'!B25</f>
        <v>4</v>
      </c>
      <c r="B19">
        <f>'Drag Polar Clean'!C25</f>
        <v>0.53537400000000002</v>
      </c>
      <c r="C19">
        <f>'Drag Polar Clean'!T25</f>
        <v>2.9774667541154792E-2</v>
      </c>
      <c r="D19">
        <f>'Drag Polar Clean'!P25</f>
        <v>3.1721323396594704E-2</v>
      </c>
      <c r="E19">
        <f>'Drag Polar Clean'!N25+'Drag Polar Clean'!O25+'Drag Polar Clean'!$E$49</f>
        <v>2.1586323396594709E-2</v>
      </c>
      <c r="F19">
        <f t="shared" si="3"/>
        <v>1.0134999999999995E-2</v>
      </c>
      <c r="I19">
        <v>0.53537400000000002</v>
      </c>
      <c r="J19">
        <v>2.8028098440707964E-2</v>
      </c>
      <c r="K19">
        <v>1.8443252704964466E-2</v>
      </c>
      <c r="L19">
        <v>9.5848457357434989E-3</v>
      </c>
      <c r="N19" s="30">
        <f t="shared" si="4"/>
        <v>-100</v>
      </c>
      <c r="O19" s="30">
        <f t="shared" si="5"/>
        <v>0</v>
      </c>
      <c r="P19" s="30">
        <f t="shared" si="6"/>
        <v>-11.642720291686219</v>
      </c>
      <c r="Q19" s="30">
        <f t="shared" si="7"/>
        <v>-14.560472544972944</v>
      </c>
      <c r="R19" s="30">
        <f t="shared" si="8"/>
        <v>-5.4282611174789945</v>
      </c>
      <c r="T19" s="33">
        <v>0.68140699999999998</v>
      </c>
      <c r="U19" s="23">
        <v>-5.0511338229646991</v>
      </c>
      <c r="V19" s="23">
        <v>1.0035299989983996E-3</v>
      </c>
      <c r="W19" s="23">
        <v>-10.163441012838923</v>
      </c>
    </row>
    <row r="20" spans="1:23" x14ac:dyDescent="0.25">
      <c r="A20">
        <f>'Drag Polar Clean'!B26</f>
        <v>4.5</v>
      </c>
      <c r="B20">
        <f>'Drag Polar Clean'!C26</f>
        <v>0.58408499999999997</v>
      </c>
      <c r="C20">
        <f>'Drag Polar Clean'!T26</f>
        <v>3.1764569785049712E-2</v>
      </c>
      <c r="D20">
        <f>'Drag Polar Clean'!P26</f>
        <v>3.4382323396594701E-2</v>
      </c>
      <c r="E20">
        <f>'Drag Polar Clean'!N26+'Drag Polar Clean'!O26+'Drag Polar Clean'!$E$49</f>
        <v>2.1586323396594709E-2</v>
      </c>
      <c r="F20">
        <f t="shared" si="3"/>
        <v>1.2795999999999991E-2</v>
      </c>
      <c r="I20">
        <v>0.58408499999999997</v>
      </c>
      <c r="J20">
        <v>3.012312810414447E-2</v>
      </c>
      <c r="K20">
        <v>1.8443252704964466E-2</v>
      </c>
      <c r="L20">
        <v>1.1679875399180003E-2</v>
      </c>
      <c r="N20" s="30">
        <f t="shared" si="4"/>
        <v>-100</v>
      </c>
      <c r="O20" s="30">
        <f t="shared" si="5"/>
        <v>0</v>
      </c>
      <c r="P20" s="30">
        <f t="shared" si="6"/>
        <v>-12.387747166824889</v>
      </c>
      <c r="Q20" s="30">
        <f t="shared" si="7"/>
        <v>-14.560472544972944</v>
      </c>
      <c r="R20" s="30">
        <f t="shared" si="8"/>
        <v>-8.7224492092840702</v>
      </c>
      <c r="T20" s="33">
        <v>0.73001400000000005</v>
      </c>
      <c r="U20" s="23">
        <v>-4.1059134450680039</v>
      </c>
      <c r="V20" s="23">
        <v>1.0035299989983996E-3</v>
      </c>
      <c r="W20" s="23">
        <v>-7.7019893836440092</v>
      </c>
    </row>
    <row r="21" spans="1:23" x14ac:dyDescent="0.25">
      <c r="A21">
        <f>'Drag Polar Clean'!B27</f>
        <v>5</v>
      </c>
      <c r="B21">
        <f>'Drag Polar Clean'!C27</f>
        <v>0.63276399999999999</v>
      </c>
      <c r="C21">
        <f>'Drag Polar Clean'!T27</f>
        <v>3.3960322181409257E-2</v>
      </c>
      <c r="D21">
        <f>'Drag Polar Clean'!P27</f>
        <v>3.7075323396594702E-2</v>
      </c>
      <c r="E21">
        <f>'Drag Polar Clean'!N27+'Drag Polar Clean'!O27+'Drag Polar Clean'!$E$49</f>
        <v>2.1586323396594709E-2</v>
      </c>
      <c r="F21">
        <f t="shared" si="3"/>
        <v>1.5488999999999992E-2</v>
      </c>
      <c r="I21">
        <v>0.63276399999999999</v>
      </c>
      <c r="J21">
        <v>3.232432282699322E-2</v>
      </c>
      <c r="K21">
        <v>1.8443252704964466E-2</v>
      </c>
      <c r="L21">
        <v>1.3881070122028756E-2</v>
      </c>
      <c r="N21" s="30">
        <f t="shared" si="4"/>
        <v>-100</v>
      </c>
      <c r="O21" s="30">
        <f t="shared" si="5"/>
        <v>0</v>
      </c>
      <c r="P21" s="30">
        <f t="shared" si="6"/>
        <v>-12.814454829645133</v>
      </c>
      <c r="Q21" s="30">
        <f t="shared" si="7"/>
        <v>-14.560472544972944</v>
      </c>
      <c r="R21" s="30">
        <f t="shared" si="8"/>
        <v>-10.381108386411244</v>
      </c>
      <c r="T21" s="33">
        <v>0.778586</v>
      </c>
      <c r="U21" s="23">
        <v>-2.6965970210261805</v>
      </c>
      <c r="V21" s="23">
        <v>1.0035299989983996E-3</v>
      </c>
      <c r="W21" s="23">
        <v>-4.7680446595918049</v>
      </c>
    </row>
    <row r="22" spans="1:23" x14ac:dyDescent="0.25">
      <c r="A22">
        <f>'Drag Polar Clean'!B28</f>
        <v>5.5</v>
      </c>
      <c r="B22">
        <f>'Drag Polar Clean'!C28</f>
        <v>0.68140699999999998</v>
      </c>
      <c r="C22">
        <f>'Drag Polar Clean'!T28</f>
        <v>3.636131038848394E-2</v>
      </c>
      <c r="D22">
        <f>'Drag Polar Clean'!P28</f>
        <v>3.9812323396594705E-2</v>
      </c>
      <c r="E22">
        <f>'Drag Polar Clean'!N28+'Drag Polar Clean'!O28+'Drag Polar Clean'!$E$49</f>
        <v>2.1586323396594709E-2</v>
      </c>
      <c r="F22">
        <f t="shared" si="3"/>
        <v>1.8225999999999996E-2</v>
      </c>
      <c r="I22">
        <v>0.68140699999999998</v>
      </c>
      <c r="J22">
        <v>3.4816863945964449E-2</v>
      </c>
      <c r="K22">
        <v>1.8443252704964466E-2</v>
      </c>
      <c r="L22">
        <v>1.637361124099998E-2</v>
      </c>
      <c r="N22" s="30">
        <f t="shared" si="4"/>
        <v>-100</v>
      </c>
      <c r="O22" s="30">
        <f t="shared" si="5"/>
        <v>0</v>
      </c>
      <c r="P22" s="30">
        <f t="shared" si="6"/>
        <v>-12.547520527419245</v>
      </c>
      <c r="Q22" s="30">
        <f t="shared" si="7"/>
        <v>-14.560472544972944</v>
      </c>
      <c r="R22" s="30">
        <f t="shared" si="8"/>
        <v>-10.16344101283889</v>
      </c>
      <c r="T22" s="33">
        <v>0.82714699999999997</v>
      </c>
      <c r="U22" s="23">
        <v>-1.5990830171446209</v>
      </c>
      <c r="V22" s="23">
        <v>1.0035299989983996E-3</v>
      </c>
      <c r="W22" s="23">
        <v>-2.6814415130925164</v>
      </c>
    </row>
    <row r="23" spans="1:23" x14ac:dyDescent="0.25">
      <c r="A23">
        <f>'Drag Polar Clean'!B29</f>
        <v>6</v>
      </c>
      <c r="B23">
        <f>'Drag Polar Clean'!C29</f>
        <v>0.73001400000000005</v>
      </c>
      <c r="C23">
        <f>'Drag Polar Clean'!T29</f>
        <v>3.8967075294404421E-2</v>
      </c>
      <c r="D23">
        <f>'Drag Polar Clean'!P29</f>
        <v>4.2649323396594704E-2</v>
      </c>
      <c r="E23">
        <f>'Drag Polar Clean'!N29+'Drag Polar Clean'!O29+'Drag Polar Clean'!$E$49</f>
        <v>2.1586323396594709E-2</v>
      </c>
      <c r="F23">
        <f t="shared" si="3"/>
        <v>2.1062999999999995E-2</v>
      </c>
      <c r="I23">
        <v>0.73001400000000005</v>
      </c>
      <c r="J23">
        <v>3.7883982681087523E-2</v>
      </c>
      <c r="K23">
        <v>1.8443252704964466E-2</v>
      </c>
      <c r="L23">
        <v>1.9440729976123058E-2</v>
      </c>
      <c r="N23" s="30">
        <f t="shared" si="4"/>
        <v>-100</v>
      </c>
      <c r="O23" s="30">
        <f t="shared" si="5"/>
        <v>0</v>
      </c>
      <c r="P23" s="30">
        <f t="shared" si="6"/>
        <v>-11.173309060953745</v>
      </c>
      <c r="Q23" s="30">
        <f t="shared" si="7"/>
        <v>-14.560472544972944</v>
      </c>
      <c r="R23" s="30">
        <f t="shared" si="8"/>
        <v>-7.7019893836440092</v>
      </c>
      <c r="T23" s="33">
        <v>0.87641999999999998</v>
      </c>
      <c r="U23" s="23">
        <v>-3.4166507358079321</v>
      </c>
      <c r="V23" s="23">
        <v>1.0035299989983996E-3</v>
      </c>
      <c r="W23" s="23">
        <v>-5.3661150211250899</v>
      </c>
    </row>
    <row r="24" spans="1:23" x14ac:dyDescent="0.25">
      <c r="A24">
        <f>'Drag Polar Clean'!B30</f>
        <v>6.5</v>
      </c>
      <c r="B24">
        <f>'Drag Polar Clean'!C30</f>
        <v>0.778586</v>
      </c>
      <c r="C24">
        <f>'Drag Polar Clean'!T30</f>
        <v>4.1777218104656108E-2</v>
      </c>
      <c r="D24">
        <f>'Drag Polar Clean'!P30</f>
        <v>4.5604323396594704E-2</v>
      </c>
      <c r="E24">
        <f>'Drag Polar Clean'!N30+'Drag Polar Clean'!O30+'Drag Polar Clean'!$E$49</f>
        <v>2.1586323396594709E-2</v>
      </c>
      <c r="F24">
        <f t="shared" si="3"/>
        <v>2.4017999999999994E-2</v>
      </c>
      <c r="I24">
        <v>0.778586</v>
      </c>
      <c r="J24">
        <v>4.1316063738623704E-2</v>
      </c>
      <c r="K24">
        <v>1.8443252704964466E-2</v>
      </c>
      <c r="L24">
        <v>2.2872811033659235E-2</v>
      </c>
      <c r="N24" s="30">
        <f t="shared" ref="N24:N60" si="9">(H24-A24)/ABS(A24)*100</f>
        <v>-100</v>
      </c>
      <c r="O24" s="30">
        <f t="shared" ref="O24:O60" si="10">(I24-B24)/ABS(B24)*100</f>
        <v>0</v>
      </c>
      <c r="P24" s="30">
        <f t="shared" ref="P24:P60" si="11">(J24-D24)/ABS(D24)*100</f>
        <v>-9.4031866686815171</v>
      </c>
      <c r="Q24" s="30">
        <f t="shared" ref="Q24:Q60" si="12">(K24-E24)/ABS(E24)*100</f>
        <v>-14.560472544972944</v>
      </c>
      <c r="R24" s="30">
        <f t="shared" ref="R24:R60" si="13">(L24-F24)/ABS(F24)*100</f>
        <v>-4.7680446595918049</v>
      </c>
      <c r="T24" s="33">
        <v>0.92276499999999995</v>
      </c>
      <c r="U24" s="23">
        <v>7.4433487137818055</v>
      </c>
      <c r="V24" s="23">
        <v>1.0035299989983996E-3</v>
      </c>
      <c r="W24" s="23">
        <v>11.850041775938637</v>
      </c>
    </row>
    <row r="25" spans="1:23" x14ac:dyDescent="0.25">
      <c r="A25">
        <f>'Drag Polar Clean'!B31</f>
        <v>7</v>
      </c>
      <c r="B25">
        <f>'Drag Polar Clean'!C31</f>
        <v>0.82714699999999997</v>
      </c>
      <c r="C25">
        <f>'Drag Polar Clean'!T31</f>
        <v>4.4792834402480039E-2</v>
      </c>
      <c r="D25">
        <f>'Drag Polar Clean'!P31</f>
        <v>4.8851323396594711E-2</v>
      </c>
      <c r="E25">
        <f>'Drag Polar Clean'!N31+'Drag Polar Clean'!O31+'Drag Polar Clean'!$E$49</f>
        <v>2.1586323396594709E-2</v>
      </c>
      <c r="F25">
        <f t="shared" si="3"/>
        <v>2.7265000000000001E-2</v>
      </c>
      <c r="I25">
        <v>0.82714699999999997</v>
      </c>
      <c r="J25">
        <v>4.4977157676419792E-2</v>
      </c>
      <c r="K25">
        <v>1.8443252704964466E-2</v>
      </c>
      <c r="L25">
        <v>2.6533904971455326E-2</v>
      </c>
      <c r="N25" s="30">
        <f t="shared" si="9"/>
        <v>-100</v>
      </c>
      <c r="O25" s="30">
        <f t="shared" si="10"/>
        <v>0</v>
      </c>
      <c r="P25" s="30">
        <f t="shared" si="11"/>
        <v>-7.9305235780879082</v>
      </c>
      <c r="Q25" s="30">
        <f t="shared" si="12"/>
        <v>-14.560472544972944</v>
      </c>
      <c r="R25" s="30">
        <f t="shared" si="13"/>
        <v>-2.6814415130925164</v>
      </c>
      <c r="T25" s="33">
        <v>0.97250300000000001</v>
      </c>
      <c r="U25" s="23">
        <v>5.4393649404647162</v>
      </c>
      <c r="V25" s="23">
        <v>1.0035299989983996E-3</v>
      </c>
      <c r="W25" s="23">
        <v>8.1163177335917123</v>
      </c>
    </row>
    <row r="26" spans="1:23" x14ac:dyDescent="0.25">
      <c r="A26">
        <f>'Drag Polar Clean'!B32</f>
        <v>7.5</v>
      </c>
      <c r="B26">
        <f>'Drag Polar Clean'!C32</f>
        <v>0.87641999999999998</v>
      </c>
      <c r="C26">
        <f>'Drag Polar Clean'!T32</f>
        <v>4.8063306738476516E-2</v>
      </c>
      <c r="D26">
        <f>'Drag Polar Clean'!P32</f>
        <v>5.39193233965947E-2</v>
      </c>
      <c r="E26">
        <f>'Drag Polar Clean'!N32+'Drag Polar Clean'!O32+'Drag Polar Clean'!$E$49</f>
        <v>2.1586323396594709E-2</v>
      </c>
      <c r="F26">
        <f t="shared" si="3"/>
        <v>3.2332999999999987E-2</v>
      </c>
      <c r="I26">
        <v>0.87641999999999998</v>
      </c>
      <c r="J26">
        <v>4.9041226735184087E-2</v>
      </c>
      <c r="K26">
        <v>1.8443252704964466E-2</v>
      </c>
      <c r="L26">
        <v>3.0597974030219625E-2</v>
      </c>
      <c r="N26" s="30">
        <f t="shared" si="9"/>
        <v>-100</v>
      </c>
      <c r="O26" s="30">
        <f t="shared" si="10"/>
        <v>0</v>
      </c>
      <c r="P26" s="30">
        <f t="shared" si="11"/>
        <v>-9.0470286979133174</v>
      </c>
      <c r="Q26" s="30">
        <f t="shared" si="12"/>
        <v>-14.560472544972944</v>
      </c>
      <c r="R26" s="30">
        <f t="shared" si="13"/>
        <v>-5.366115021125049</v>
      </c>
      <c r="T26" s="33">
        <v>1.0192099999999999</v>
      </c>
      <c r="U26" s="23">
        <v>2.0189305678685638</v>
      </c>
      <c r="V26" s="23">
        <v>1.0035299989983996E-3</v>
      </c>
      <c r="W26" s="23">
        <v>2.837367108633615</v>
      </c>
    </row>
    <row r="27" spans="1:23" x14ac:dyDescent="0.25">
      <c r="A27">
        <f>'Drag Polar Clean'!B33</f>
        <v>8</v>
      </c>
      <c r="B27">
        <f>'Drag Polar Clean'!C33</f>
        <v>0.92276499999999995</v>
      </c>
      <c r="C27">
        <f>'Drag Polar Clean'!T33</f>
        <v>5.1333070825697186E-2</v>
      </c>
      <c r="D27">
        <f>'Drag Polar Clean'!P33</f>
        <v>5.2734323396594708E-2</v>
      </c>
      <c r="E27">
        <f>'Drag Polar Clean'!N33+'Drag Polar Clean'!O33+'Drag Polar Clean'!$E$49</f>
        <v>2.1586323396594709E-2</v>
      </c>
      <c r="F27">
        <f t="shared" si="3"/>
        <v>3.1147999999999999E-2</v>
      </c>
      <c r="I27">
        <v>0.92276499999999995</v>
      </c>
      <c r="J27">
        <v>5.3282303717333834E-2</v>
      </c>
      <c r="K27">
        <v>1.8443252704964466E-2</v>
      </c>
      <c r="L27">
        <v>3.4839051012369365E-2</v>
      </c>
      <c r="N27" s="30">
        <f t="shared" si="9"/>
        <v>-100</v>
      </c>
      <c r="O27" s="30">
        <f t="shared" si="10"/>
        <v>0</v>
      </c>
      <c r="P27" s="30">
        <f t="shared" si="11"/>
        <v>1.039134069509104</v>
      </c>
      <c r="Q27" s="30">
        <f t="shared" si="12"/>
        <v>-14.560472544972944</v>
      </c>
      <c r="R27" s="30">
        <f t="shared" si="13"/>
        <v>11.850041775938637</v>
      </c>
      <c r="T27" s="33">
        <v>1.0696639999999999</v>
      </c>
      <c r="U27" s="23">
        <v>15.011074368374523</v>
      </c>
      <c r="V27" s="23">
        <v>1.0035299989983996E-3</v>
      </c>
      <c r="W27" s="23">
        <v>21.27154501451993</v>
      </c>
    </row>
    <row r="28" spans="1:23" x14ac:dyDescent="0.25">
      <c r="A28">
        <f>'Drag Polar Clean'!B34</f>
        <v>8.5</v>
      </c>
      <c r="B28">
        <f>'Drag Polar Clean'!C34</f>
        <v>0.97250300000000001</v>
      </c>
      <c r="C28">
        <f>'Drag Polar Clean'!T34</f>
        <v>5.505104362734569E-2</v>
      </c>
      <c r="D28">
        <f>'Drag Polar Clean'!P34</f>
        <v>5.90543233965947E-2</v>
      </c>
      <c r="E28">
        <f>'Drag Polar Clean'!N34+'Drag Polar Clean'!O34+'Drag Polar Clean'!$E$49</f>
        <v>2.1586323396594709E-2</v>
      </c>
      <c r="F28">
        <f t="shared" si="3"/>
        <v>3.7467999999999987E-2</v>
      </c>
      <c r="I28">
        <v>0.97250300000000001</v>
      </c>
      <c r="J28">
        <v>5.8952274633386606E-2</v>
      </c>
      <c r="K28">
        <v>1.8443252704964466E-2</v>
      </c>
      <c r="L28">
        <v>4.0509021928422144E-2</v>
      </c>
      <c r="N28" s="30">
        <f t="shared" si="9"/>
        <v>-100</v>
      </c>
      <c r="O28" s="30">
        <f t="shared" si="10"/>
        <v>0</v>
      </c>
      <c r="P28" s="30">
        <f t="shared" si="11"/>
        <v>-0.17280489782730943</v>
      </c>
      <c r="Q28" s="30">
        <f t="shared" si="12"/>
        <v>-14.560472544972944</v>
      </c>
      <c r="R28" s="30">
        <f t="shared" si="13"/>
        <v>8.1163177335917513</v>
      </c>
      <c r="T28" s="33">
        <v>1.117224</v>
      </c>
      <c r="U28" s="23">
        <v>14.941363688792574</v>
      </c>
      <c r="V28" s="23">
        <v>1.0035299989983996E-3</v>
      </c>
      <c r="W28" s="23">
        <v>20.453828633463324</v>
      </c>
    </row>
    <row r="29" spans="1:23" x14ac:dyDescent="0.25">
      <c r="A29">
        <f>'Drag Polar Clean'!B35</f>
        <v>9</v>
      </c>
      <c r="B29">
        <f>'Drag Polar Clean'!C35</f>
        <v>1.0192099999999999</v>
      </c>
      <c r="C29">
        <f>'Drag Polar Clean'!T35</f>
        <v>5.8739282402115706E-2</v>
      </c>
      <c r="D29">
        <f>'Drag Polar Clean'!P35</f>
        <v>6.7059323396594706E-2</v>
      </c>
      <c r="E29">
        <f>'Drag Polar Clean'!N35+'Drag Polar Clean'!O35+'Drag Polar Clean'!$E$49</f>
        <v>2.1586323396594709E-2</v>
      </c>
      <c r="F29">
        <f t="shared" si="3"/>
        <v>4.5473E-2</v>
      </c>
      <c r="I29">
        <v>1.0192099999999999</v>
      </c>
      <c r="J29">
        <v>6.5206488650273425E-2</v>
      </c>
      <c r="K29">
        <v>1.8443252704964466E-2</v>
      </c>
      <c r="L29">
        <v>4.6763235945308963E-2</v>
      </c>
      <c r="N29" s="30">
        <f t="shared" si="9"/>
        <v>-100</v>
      </c>
      <c r="O29" s="30">
        <f t="shared" si="10"/>
        <v>0</v>
      </c>
      <c r="P29" s="30">
        <f t="shared" si="11"/>
        <v>-2.7629785874269168</v>
      </c>
      <c r="Q29" s="30">
        <f t="shared" si="12"/>
        <v>-14.560472544972944</v>
      </c>
      <c r="R29" s="30">
        <f t="shared" si="13"/>
        <v>2.837367108633615</v>
      </c>
      <c r="T29" s="33">
        <v>1.166849</v>
      </c>
      <c r="U29" s="23">
        <v>19.253065166749955</v>
      </c>
      <c r="V29" s="23">
        <v>1.0035299989983996E-3</v>
      </c>
      <c r="W29" s="23">
        <v>25.903631288114621</v>
      </c>
    </row>
    <row r="30" spans="1:23" x14ac:dyDescent="0.25">
      <c r="A30">
        <f>'Drag Polar Clean'!B36</f>
        <v>9.5</v>
      </c>
      <c r="B30">
        <f>'Drag Polar Clean'!C36</f>
        <v>1.0696639999999999</v>
      </c>
      <c r="C30">
        <f>'Drag Polar Clean'!T36</f>
        <v>6.2937610858199114E-2</v>
      </c>
      <c r="D30">
        <f>'Drag Polar Clean'!P36</f>
        <v>6.5805323396594714E-2</v>
      </c>
      <c r="E30">
        <f>'Drag Polar Clean'!N36+'Drag Polar Clean'!O36+'Drag Polar Clean'!$E$49</f>
        <v>2.1586323396594709E-2</v>
      </c>
      <c r="F30">
        <f t="shared" si="3"/>
        <v>4.4219000000000008E-2</v>
      </c>
      <c r="I30">
        <v>1.0696639999999999</v>
      </c>
      <c r="J30">
        <v>7.2068317194935047E-2</v>
      </c>
      <c r="K30">
        <v>1.8443252704964466E-2</v>
      </c>
      <c r="L30">
        <v>5.3625064489970578E-2</v>
      </c>
      <c r="N30" s="30">
        <f t="shared" si="9"/>
        <v>-100</v>
      </c>
      <c r="O30" s="30">
        <f t="shared" si="10"/>
        <v>0</v>
      </c>
      <c r="P30" s="30">
        <f t="shared" si="11"/>
        <v>9.5174576691836901</v>
      </c>
      <c r="Q30" s="30">
        <f t="shared" si="12"/>
        <v>-14.560472544972944</v>
      </c>
      <c r="R30" s="30">
        <f t="shared" si="13"/>
        <v>21.27154501451993</v>
      </c>
      <c r="T30" s="33">
        <v>1.2169140000000001</v>
      </c>
      <c r="U30" s="23">
        <v>21.63504559929827</v>
      </c>
      <c r="V30" s="23">
        <v>1.0035299989983996E-3</v>
      </c>
      <c r="W30" s="23">
        <v>28.522992512625052</v>
      </c>
    </row>
    <row r="31" spans="1:23" x14ac:dyDescent="0.25">
      <c r="A31">
        <f>'Drag Polar Clean'!B37</f>
        <v>10</v>
      </c>
      <c r="B31">
        <f>'Drag Polar Clean'!C37</f>
        <v>1.117224</v>
      </c>
      <c r="C31">
        <f>'Drag Polar Clean'!T37</f>
        <v>6.7098818832099644E-2</v>
      </c>
      <c r="D31">
        <f>'Drag Polar Clean'!P37</f>
        <v>7.1572323396594709E-2</v>
      </c>
      <c r="E31">
        <f>'Drag Polar Clean'!N37+'Drag Polar Clean'!O37+'Drag Polar Clean'!$E$49</f>
        <v>2.1586323396594709E-2</v>
      </c>
      <c r="F31">
        <f t="shared" si="3"/>
        <v>4.9986000000000003E-2</v>
      </c>
      <c r="I31">
        <v>1.117224</v>
      </c>
      <c r="J31">
        <v>7.8653303485687442E-2</v>
      </c>
      <c r="K31">
        <v>1.8443252704964466E-2</v>
      </c>
      <c r="L31">
        <v>6.021005078072298E-2</v>
      </c>
      <c r="N31" s="30">
        <f t="shared" si="9"/>
        <v>-100</v>
      </c>
      <c r="O31" s="30">
        <f t="shared" si="10"/>
        <v>0</v>
      </c>
      <c r="P31" s="30">
        <f t="shared" si="11"/>
        <v>9.8934612613534831</v>
      </c>
      <c r="Q31" s="30">
        <f t="shared" si="12"/>
        <v>-14.560472544972944</v>
      </c>
      <c r="R31" s="30">
        <f t="shared" si="13"/>
        <v>20.453828633463324</v>
      </c>
      <c r="T31" s="33"/>
      <c r="U31" s="23"/>
      <c r="V31" s="23"/>
      <c r="W31" s="23"/>
    </row>
    <row r="32" spans="1:23" x14ac:dyDescent="0.25">
      <c r="A32">
        <f>'Drag Polar Clean'!B38</f>
        <v>10.5</v>
      </c>
      <c r="B32">
        <f>'Drag Polar Clean'!C38</f>
        <v>1.166849</v>
      </c>
      <c r="C32">
        <f>'Drag Polar Clean'!T38</f>
        <v>7.1651440268300517E-2</v>
      </c>
      <c r="D32">
        <f>'Drag Polar Clean'!P38</f>
        <v>7.4975323396594712E-2</v>
      </c>
      <c r="E32">
        <f>'Drag Polar Clean'!N38+'Drag Polar Clean'!O38+'Drag Polar Clean'!$E$49</f>
        <v>2.1586323396594709E-2</v>
      </c>
      <c r="F32">
        <f t="shared" si="3"/>
        <v>5.3389000000000006E-2</v>
      </c>
      <c r="I32">
        <v>1.166849</v>
      </c>
      <c r="J32">
        <v>8.5661942413375991E-2</v>
      </c>
      <c r="K32">
        <v>1.8443252704964466E-2</v>
      </c>
      <c r="L32">
        <v>6.7218689708411522E-2</v>
      </c>
      <c r="N32" s="30">
        <f t="shared" si="9"/>
        <v>-100</v>
      </c>
      <c r="O32" s="30">
        <f t="shared" si="10"/>
        <v>0</v>
      </c>
      <c r="P32" s="30">
        <f t="shared" si="11"/>
        <v>14.253515066887532</v>
      </c>
      <c r="Q32" s="30">
        <f t="shared" si="12"/>
        <v>-14.560472544972944</v>
      </c>
      <c r="R32" s="30">
        <f t="shared" si="13"/>
        <v>25.903631288114621</v>
      </c>
      <c r="T32" s="33"/>
      <c r="U32" s="23"/>
      <c r="V32" s="23"/>
      <c r="W32" s="23"/>
    </row>
    <row r="33" spans="1:23" x14ac:dyDescent="0.25">
      <c r="A33">
        <f>'Drag Polar Clean'!B39</f>
        <v>11</v>
      </c>
      <c r="B33">
        <f>'Drag Polar Clean'!C39</f>
        <v>1.2169140000000001</v>
      </c>
      <c r="C33">
        <f>'Drag Polar Clean'!T39</f>
        <v>7.6462514745680318E-2</v>
      </c>
      <c r="D33">
        <f>'Drag Polar Clean'!P39</f>
        <v>7.9513323396594712E-2</v>
      </c>
      <c r="E33">
        <f>'Drag Polar Clean'!N39+'Drag Polar Clean'!O39+'Drag Polar Clean'!$E$49</f>
        <v>2.1586323396594709E-2</v>
      </c>
      <c r="F33">
        <f t="shared" si="3"/>
        <v>5.7927000000000006E-2</v>
      </c>
      <c r="I33">
        <v>1.2169140000000001</v>
      </c>
      <c r="J33">
        <v>9.2892766577752792E-2</v>
      </c>
      <c r="K33">
        <v>1.8443252704964466E-2</v>
      </c>
      <c r="L33">
        <v>7.4449513872788323E-2</v>
      </c>
      <c r="N33" s="30">
        <f t="shared" si="9"/>
        <v>-100</v>
      </c>
      <c r="O33" s="30">
        <f t="shared" si="10"/>
        <v>0</v>
      </c>
      <c r="P33" s="30">
        <f t="shared" si="11"/>
        <v>16.826668298625126</v>
      </c>
      <c r="Q33" s="30">
        <f t="shared" si="12"/>
        <v>-14.560472544972944</v>
      </c>
      <c r="R33" s="30">
        <f t="shared" si="13"/>
        <v>28.522992512625052</v>
      </c>
      <c r="T33" s="33"/>
      <c r="U33" s="23"/>
      <c r="V33" s="23"/>
      <c r="W33" s="23"/>
    </row>
    <row r="34" spans="1:23" x14ac:dyDescent="0.25">
      <c r="A34">
        <f>'Drag Polar Clean'!B40</f>
        <v>11.5</v>
      </c>
      <c r="B34">
        <f>'Drag Polar Clean'!C40</f>
        <v>1.265865</v>
      </c>
      <c r="C34">
        <f>'Drag Polar Clean'!T40</f>
        <v>8.1378330534642274E-2</v>
      </c>
      <c r="D34">
        <f>'Drag Polar Clean'!P40</f>
        <v>8.4220323396594715E-2</v>
      </c>
      <c r="E34">
        <f>'Drag Polar Clean'!N40+'Drag Polar Clean'!O40+'Drag Polar Clean'!$E$49</f>
        <v>2.1586323396594709E-2</v>
      </c>
      <c r="F34">
        <f t="shared" si="3"/>
        <v>6.2634000000000009E-2</v>
      </c>
      <c r="N34" s="30">
        <f t="shared" si="9"/>
        <v>-100</v>
      </c>
      <c r="O34" s="30">
        <f t="shared" si="10"/>
        <v>-100</v>
      </c>
      <c r="P34" s="30">
        <f t="shared" si="11"/>
        <v>-100</v>
      </c>
      <c r="Q34" s="30">
        <f t="shared" si="12"/>
        <v>-100</v>
      </c>
      <c r="R34" s="30">
        <f t="shared" si="13"/>
        <v>-100</v>
      </c>
      <c r="T34" s="33"/>
      <c r="U34" s="23"/>
      <c r="V34" s="23"/>
      <c r="W34" s="23"/>
    </row>
    <row r="35" spans="1:23" x14ac:dyDescent="0.25">
      <c r="A35">
        <f>'Drag Polar Clean'!B41</f>
        <v>12</v>
      </c>
      <c r="B35">
        <f>'Drag Polar Clean'!C41</f>
        <v>1.3155920000000001</v>
      </c>
      <c r="C35">
        <f>'Drag Polar Clean'!T41</f>
        <v>8.6586490636508015E-2</v>
      </c>
      <c r="D35">
        <f>'Drag Polar Clean'!P41</f>
        <v>8.9237323396594709E-2</v>
      </c>
      <c r="E35">
        <f>'Drag Polar Clean'!N41+'Drag Polar Clean'!O41+'Drag Polar Clean'!$E$49</f>
        <v>2.1586323396594709E-2</v>
      </c>
      <c r="F35">
        <f t="shared" si="3"/>
        <v>6.7651000000000003E-2</v>
      </c>
      <c r="N35" s="30">
        <f t="shared" si="9"/>
        <v>-100</v>
      </c>
      <c r="O35" s="30">
        <f t="shared" si="10"/>
        <v>-100</v>
      </c>
      <c r="P35" s="30">
        <f t="shared" si="11"/>
        <v>-100</v>
      </c>
      <c r="Q35" s="30">
        <f t="shared" si="12"/>
        <v>-100</v>
      </c>
      <c r="R35" s="30">
        <f t="shared" si="13"/>
        <v>-100</v>
      </c>
      <c r="T35" s="33"/>
      <c r="U35" s="23"/>
      <c r="V35" s="23"/>
      <c r="W35" s="23"/>
    </row>
    <row r="36" spans="1:23" x14ac:dyDescent="0.25">
      <c r="A36">
        <f>'Drag Polar Clean'!B42</f>
        <v>12.5</v>
      </c>
      <c r="B36">
        <f>'Drag Polar Clean'!C42</f>
        <v>1.3648670000000001</v>
      </c>
      <c r="C36">
        <f>'Drag Polar Clean'!T42</f>
        <v>9.1960475061577812E-2</v>
      </c>
      <c r="D36">
        <f>'Drag Polar Clean'!P42</f>
        <v>9.4423323396594719E-2</v>
      </c>
      <c r="E36">
        <f>'Drag Polar Clean'!N42+'Drag Polar Clean'!O42+'Drag Polar Clean'!$E$49</f>
        <v>2.1586323396594709E-2</v>
      </c>
      <c r="F36">
        <f t="shared" si="3"/>
        <v>7.2837000000000013E-2</v>
      </c>
      <c r="N36" s="30">
        <f t="shared" si="9"/>
        <v>-100</v>
      </c>
      <c r="O36" s="30">
        <f t="shared" si="10"/>
        <v>-100</v>
      </c>
      <c r="P36" s="30">
        <f t="shared" si="11"/>
        <v>-100</v>
      </c>
      <c r="Q36" s="30">
        <f t="shared" si="12"/>
        <v>-100</v>
      </c>
      <c r="R36" s="30">
        <f t="shared" si="13"/>
        <v>-100</v>
      </c>
      <c r="T36" s="33"/>
      <c r="U36" s="23"/>
      <c r="V36" s="23"/>
      <c r="W36" s="23"/>
    </row>
    <row r="37" spans="1:23" x14ac:dyDescent="0.25">
      <c r="A37">
        <f>'Drag Polar Clean'!B43</f>
        <v>13</v>
      </c>
      <c r="B37">
        <f>'Drag Polar Clean'!C43</f>
        <v>1.4140710000000001</v>
      </c>
      <c r="C37">
        <f>'Drag Polar Clean'!T43</f>
        <v>9.7538449104840996E-2</v>
      </c>
      <c r="D37">
        <f>'Drag Polar Clean'!P43</f>
        <v>9.9843323396594713E-2</v>
      </c>
      <c r="E37">
        <f>'Drag Polar Clean'!N43+'Drag Polar Clean'!O43+'Drag Polar Clean'!$E$49</f>
        <v>2.1586323396594709E-2</v>
      </c>
      <c r="F37">
        <f t="shared" si="3"/>
        <v>7.8257000000000007E-2</v>
      </c>
      <c r="N37" s="30">
        <f t="shared" si="9"/>
        <v>-100</v>
      </c>
      <c r="O37" s="30">
        <f t="shared" si="10"/>
        <v>-100</v>
      </c>
      <c r="P37" s="30">
        <f t="shared" si="11"/>
        <v>-100</v>
      </c>
      <c r="Q37" s="30">
        <f t="shared" si="12"/>
        <v>-100</v>
      </c>
      <c r="R37" s="30">
        <f t="shared" si="13"/>
        <v>-100</v>
      </c>
      <c r="T37" s="33"/>
      <c r="U37" s="23"/>
      <c r="V37" s="23"/>
      <c r="W37" s="23"/>
    </row>
    <row r="38" spans="1:23" x14ac:dyDescent="0.25">
      <c r="A38">
        <f>'Drag Polar Clean'!B44</f>
        <v>13.5</v>
      </c>
      <c r="B38">
        <f>'Drag Polar Clean'!C44</f>
        <v>1.463241</v>
      </c>
      <c r="C38">
        <f>'Drag Polar Clean'!T44</f>
        <v>0.10332392981347119</v>
      </c>
      <c r="D38">
        <f>'Drag Polar Clean'!P44</f>
        <v>0.10546832339659472</v>
      </c>
      <c r="E38">
        <f>'Drag Polar Clean'!N44+'Drag Polar Clean'!O44+'Drag Polar Clean'!$E$49</f>
        <v>2.1586323396594709E-2</v>
      </c>
      <c r="F38">
        <f t="shared" si="3"/>
        <v>8.3882000000000012E-2</v>
      </c>
      <c r="N38" s="30">
        <f t="shared" si="9"/>
        <v>-100</v>
      </c>
      <c r="O38" s="30">
        <f t="shared" si="10"/>
        <v>-100</v>
      </c>
      <c r="P38" s="30">
        <f t="shared" si="11"/>
        <v>-100</v>
      </c>
      <c r="Q38" s="30">
        <f t="shared" si="12"/>
        <v>-100</v>
      </c>
      <c r="R38" s="30">
        <f t="shared" si="13"/>
        <v>-100</v>
      </c>
      <c r="T38" s="33"/>
      <c r="U38" s="23"/>
      <c r="V38" s="23"/>
      <c r="W38" s="23"/>
    </row>
    <row r="39" spans="1:23" x14ac:dyDescent="0.25">
      <c r="A39">
        <f>'Drag Polar Clean'!B45</f>
        <v>14</v>
      </c>
      <c r="B39">
        <f>'Drag Polar Clean'!C45</f>
        <v>1.5123960000000001</v>
      </c>
      <c r="C39">
        <f>'Drag Polar Clean'!T45</f>
        <v>0.10931883690406885</v>
      </c>
      <c r="D39">
        <f>'Drag Polar Clean'!P45</f>
        <v>0.11127932339659471</v>
      </c>
      <c r="E39">
        <f>'Drag Polar Clean'!N45+'Drag Polar Clean'!O45+'Drag Polar Clean'!$E$49</f>
        <v>2.1586323396594709E-2</v>
      </c>
      <c r="F39">
        <f t="shared" si="3"/>
        <v>8.9693000000000009E-2</v>
      </c>
      <c r="N39" s="30">
        <f t="shared" si="9"/>
        <v>-100</v>
      </c>
      <c r="O39" s="30">
        <f t="shared" si="10"/>
        <v>-100</v>
      </c>
      <c r="P39" s="30">
        <f t="shared" si="11"/>
        <v>-100</v>
      </c>
      <c r="Q39" s="30">
        <f t="shared" si="12"/>
        <v>-100</v>
      </c>
      <c r="R39" s="30">
        <f t="shared" si="13"/>
        <v>-100</v>
      </c>
      <c r="T39" s="33"/>
      <c r="U39" s="23"/>
      <c r="V39" s="23"/>
      <c r="W39" s="23"/>
    </row>
    <row r="40" spans="1:23" x14ac:dyDescent="0.25">
      <c r="A40">
        <f>'Drag Polar Clean'!B46</f>
        <v>14.5</v>
      </c>
      <c r="B40">
        <f>'Drag Polar Clean'!C46</f>
        <v>1.5615380000000001</v>
      </c>
      <c r="C40">
        <f>'Drag Polar Clean'!T46</f>
        <v>0.1155232338698992</v>
      </c>
      <c r="D40">
        <f>'Drag Polar Clean'!P46</f>
        <v>0.11728632339659471</v>
      </c>
      <c r="E40">
        <f>'Drag Polar Clean'!N46+'Drag Polar Clean'!O46+'Drag Polar Clean'!$E$49</f>
        <v>2.1586323396594709E-2</v>
      </c>
      <c r="F40">
        <f t="shared" si="3"/>
        <v>9.5700000000000007E-2</v>
      </c>
      <c r="N40" s="30">
        <f t="shared" si="9"/>
        <v>-100</v>
      </c>
      <c r="O40" s="30">
        <f t="shared" si="10"/>
        <v>-100</v>
      </c>
      <c r="P40" s="30">
        <f t="shared" si="11"/>
        <v>-100</v>
      </c>
      <c r="Q40" s="30">
        <f t="shared" si="12"/>
        <v>-100</v>
      </c>
      <c r="R40" s="30">
        <f t="shared" si="13"/>
        <v>-100</v>
      </c>
      <c r="T40" s="33"/>
      <c r="U40" s="23"/>
      <c r="V40" s="23"/>
      <c r="W40" s="23"/>
    </row>
    <row r="41" spans="1:23" x14ac:dyDescent="0.25">
      <c r="A41">
        <f>'Drag Polar Clean'!B47</f>
        <v>15</v>
      </c>
      <c r="B41">
        <f>'Drag Polar Clean'!C47</f>
        <v>1.6106670000000001</v>
      </c>
      <c r="C41">
        <f>'Drag Polar Clean'!T47</f>
        <v>0.12193695321981858</v>
      </c>
      <c r="D41">
        <f>'Drag Polar Clean'!P47</f>
        <v>0.12356532339659472</v>
      </c>
      <c r="E41">
        <f>'Drag Polar Clean'!N47+'Drag Polar Clean'!O47+'Drag Polar Clean'!$E$49</f>
        <v>2.1586323396594709E-2</v>
      </c>
      <c r="F41">
        <f t="shared" si="3"/>
        <v>0.10197900000000001</v>
      </c>
      <c r="N41" s="30">
        <f t="shared" si="9"/>
        <v>-100</v>
      </c>
      <c r="O41" s="30">
        <f t="shared" si="10"/>
        <v>-100</v>
      </c>
      <c r="P41" s="30">
        <f t="shared" si="11"/>
        <v>-100</v>
      </c>
      <c r="Q41" s="30">
        <f t="shared" si="12"/>
        <v>-100</v>
      </c>
      <c r="R41" s="30">
        <f t="shared" si="13"/>
        <v>-100</v>
      </c>
      <c r="T41" s="33"/>
      <c r="U41" s="23"/>
      <c r="V41" s="23"/>
      <c r="W41" s="23"/>
    </row>
    <row r="42" spans="1:23" x14ac:dyDescent="0.25">
      <c r="N42" s="30" t="e">
        <f t="shared" si="9"/>
        <v>#DIV/0!</v>
      </c>
      <c r="O42" s="30" t="e">
        <f t="shared" si="10"/>
        <v>#DIV/0!</v>
      </c>
      <c r="P42" s="30" t="e">
        <f t="shared" si="11"/>
        <v>#DIV/0!</v>
      </c>
      <c r="Q42" s="30" t="e">
        <f t="shared" si="12"/>
        <v>#DIV/0!</v>
      </c>
      <c r="R42" s="30" t="e">
        <f t="shared" si="13"/>
        <v>#DIV/0!</v>
      </c>
      <c r="T42" s="33"/>
      <c r="U42" s="23"/>
      <c r="V42" s="23"/>
      <c r="W42" s="23"/>
    </row>
    <row r="43" spans="1:23" x14ac:dyDescent="0.25">
      <c r="N43" s="30" t="e">
        <f t="shared" si="9"/>
        <v>#DIV/0!</v>
      </c>
      <c r="O43" s="30" t="e">
        <f t="shared" si="10"/>
        <v>#DIV/0!</v>
      </c>
      <c r="P43" s="30" t="e">
        <f t="shared" si="11"/>
        <v>#DIV/0!</v>
      </c>
      <c r="Q43" s="30" t="e">
        <f t="shared" si="12"/>
        <v>#DIV/0!</v>
      </c>
      <c r="R43" s="30" t="e">
        <f t="shared" si="13"/>
        <v>#DIV/0!</v>
      </c>
      <c r="T43" s="33"/>
      <c r="U43" s="23"/>
      <c r="V43" s="23"/>
      <c r="W43" s="23"/>
    </row>
    <row r="44" spans="1:23" x14ac:dyDescent="0.25">
      <c r="N44" s="30" t="e">
        <f t="shared" si="9"/>
        <v>#DIV/0!</v>
      </c>
      <c r="O44" s="30" t="e">
        <f t="shared" si="10"/>
        <v>#DIV/0!</v>
      </c>
      <c r="P44" s="30" t="e">
        <f t="shared" si="11"/>
        <v>#DIV/0!</v>
      </c>
      <c r="Q44" s="30" t="e">
        <f t="shared" si="12"/>
        <v>#DIV/0!</v>
      </c>
      <c r="R44" s="30" t="e">
        <f t="shared" si="13"/>
        <v>#DIV/0!</v>
      </c>
      <c r="T44" s="33"/>
      <c r="U44" s="23"/>
      <c r="V44" s="23"/>
      <c r="W44" s="23"/>
    </row>
    <row r="45" spans="1:23" x14ac:dyDescent="0.25">
      <c r="N45" s="30" t="e">
        <f t="shared" si="9"/>
        <v>#DIV/0!</v>
      </c>
      <c r="O45" s="30" t="e">
        <f t="shared" si="10"/>
        <v>#DIV/0!</v>
      </c>
      <c r="P45" s="30" t="e">
        <f t="shared" si="11"/>
        <v>#DIV/0!</v>
      </c>
      <c r="Q45" s="30" t="e">
        <f t="shared" si="12"/>
        <v>#DIV/0!</v>
      </c>
      <c r="R45" s="30" t="e">
        <f t="shared" si="13"/>
        <v>#DIV/0!</v>
      </c>
      <c r="T45" s="33"/>
      <c r="U45" s="23"/>
      <c r="V45" s="23"/>
      <c r="W45" s="23"/>
    </row>
    <row r="46" spans="1:23" x14ac:dyDescent="0.25">
      <c r="N46" s="30" t="e">
        <f t="shared" si="9"/>
        <v>#DIV/0!</v>
      </c>
      <c r="O46" s="30" t="e">
        <f t="shared" si="10"/>
        <v>#DIV/0!</v>
      </c>
      <c r="P46" s="30" t="e">
        <f t="shared" si="11"/>
        <v>#DIV/0!</v>
      </c>
      <c r="Q46" s="30" t="e">
        <f t="shared" si="12"/>
        <v>#DIV/0!</v>
      </c>
      <c r="R46" s="30" t="e">
        <f t="shared" si="13"/>
        <v>#DIV/0!</v>
      </c>
      <c r="T46" s="33"/>
      <c r="U46" s="23"/>
      <c r="V46" s="23"/>
      <c r="W46" s="23"/>
    </row>
    <row r="47" spans="1:23" x14ac:dyDescent="0.25">
      <c r="N47" s="30" t="e">
        <f t="shared" si="9"/>
        <v>#DIV/0!</v>
      </c>
      <c r="O47" s="30" t="e">
        <f t="shared" si="10"/>
        <v>#DIV/0!</v>
      </c>
      <c r="P47" s="30" t="e">
        <f t="shared" si="11"/>
        <v>#DIV/0!</v>
      </c>
      <c r="Q47" s="30" t="e">
        <f t="shared" si="12"/>
        <v>#DIV/0!</v>
      </c>
      <c r="R47" s="30" t="e">
        <f t="shared" si="13"/>
        <v>#DIV/0!</v>
      </c>
      <c r="T47" s="33"/>
      <c r="U47" s="23"/>
      <c r="V47" s="23"/>
      <c r="W47" s="23"/>
    </row>
    <row r="48" spans="1:23" x14ac:dyDescent="0.25">
      <c r="N48" s="30" t="e">
        <f t="shared" si="9"/>
        <v>#DIV/0!</v>
      </c>
      <c r="O48" s="30" t="e">
        <f t="shared" si="10"/>
        <v>#DIV/0!</v>
      </c>
      <c r="P48" s="30" t="e">
        <f t="shared" si="11"/>
        <v>#DIV/0!</v>
      </c>
      <c r="Q48" s="30" t="e">
        <f t="shared" si="12"/>
        <v>#DIV/0!</v>
      </c>
      <c r="R48" s="30" t="e">
        <f t="shared" si="13"/>
        <v>#DIV/0!</v>
      </c>
      <c r="T48" s="33"/>
      <c r="U48" s="23"/>
      <c r="V48" s="23"/>
      <c r="W48" s="23"/>
    </row>
    <row r="49" spans="1:23" x14ac:dyDescent="0.25">
      <c r="N49" s="30" t="e">
        <f t="shared" si="9"/>
        <v>#DIV/0!</v>
      </c>
      <c r="O49" s="30" t="e">
        <f t="shared" si="10"/>
        <v>#DIV/0!</v>
      </c>
      <c r="P49" s="30" t="e">
        <f t="shared" si="11"/>
        <v>#DIV/0!</v>
      </c>
      <c r="Q49" s="30" t="e">
        <f t="shared" si="12"/>
        <v>#DIV/0!</v>
      </c>
      <c r="R49" s="30" t="e">
        <f t="shared" si="13"/>
        <v>#DIV/0!</v>
      </c>
      <c r="T49" s="33"/>
      <c r="U49" s="23"/>
      <c r="V49" s="23"/>
      <c r="W49" s="23"/>
    </row>
    <row r="50" spans="1:23" x14ac:dyDescent="0.25">
      <c r="N50" s="30" t="e">
        <f t="shared" si="9"/>
        <v>#DIV/0!</v>
      </c>
      <c r="O50" s="30" t="e">
        <f t="shared" si="10"/>
        <v>#DIV/0!</v>
      </c>
      <c r="P50" s="30" t="e">
        <f t="shared" si="11"/>
        <v>#DIV/0!</v>
      </c>
      <c r="Q50" s="30" t="e">
        <f t="shared" si="12"/>
        <v>#DIV/0!</v>
      </c>
      <c r="R50" s="30" t="e">
        <f t="shared" si="13"/>
        <v>#DIV/0!</v>
      </c>
      <c r="T50" s="33"/>
      <c r="U50" s="23"/>
      <c r="V50" s="23"/>
      <c r="W50" s="23"/>
    </row>
    <row r="51" spans="1:23" x14ac:dyDescent="0.25">
      <c r="N51" s="30" t="e">
        <f t="shared" si="9"/>
        <v>#DIV/0!</v>
      </c>
      <c r="O51" s="30" t="e">
        <f t="shared" si="10"/>
        <v>#DIV/0!</v>
      </c>
      <c r="P51" s="30" t="e">
        <f t="shared" si="11"/>
        <v>#DIV/0!</v>
      </c>
      <c r="Q51" s="30" t="e">
        <f t="shared" si="12"/>
        <v>#DIV/0!</v>
      </c>
      <c r="R51" s="30" t="e">
        <f t="shared" si="13"/>
        <v>#DIV/0!</v>
      </c>
      <c r="T51" s="33"/>
      <c r="U51" s="23"/>
      <c r="V51" s="23"/>
      <c r="W51" s="23"/>
    </row>
    <row r="52" spans="1:23" x14ac:dyDescent="0.25">
      <c r="N52" s="30" t="e">
        <f t="shared" si="9"/>
        <v>#DIV/0!</v>
      </c>
      <c r="O52" s="30" t="e">
        <f t="shared" si="10"/>
        <v>#DIV/0!</v>
      </c>
      <c r="P52" s="30" t="e">
        <f t="shared" si="11"/>
        <v>#DIV/0!</v>
      </c>
      <c r="Q52" s="30" t="e">
        <f t="shared" si="12"/>
        <v>#DIV/0!</v>
      </c>
      <c r="R52" s="30" t="e">
        <f t="shared" si="13"/>
        <v>#DIV/0!</v>
      </c>
      <c r="T52" s="33"/>
      <c r="U52" s="23"/>
      <c r="V52" s="23"/>
      <c r="W52" s="23"/>
    </row>
    <row r="53" spans="1:23" x14ac:dyDescent="0.25">
      <c r="N53" s="30" t="e">
        <f t="shared" si="9"/>
        <v>#DIV/0!</v>
      </c>
      <c r="O53" s="30" t="e">
        <f t="shared" si="10"/>
        <v>#DIV/0!</v>
      </c>
      <c r="P53" s="30" t="e">
        <f t="shared" si="11"/>
        <v>#DIV/0!</v>
      </c>
      <c r="Q53" s="30" t="e">
        <f t="shared" si="12"/>
        <v>#DIV/0!</v>
      </c>
      <c r="R53" s="30" t="e">
        <f t="shared" si="13"/>
        <v>#DIV/0!</v>
      </c>
      <c r="T53" s="33"/>
      <c r="U53" s="23"/>
      <c r="V53" s="23"/>
      <c r="W53" s="23"/>
    </row>
    <row r="54" spans="1:23" x14ac:dyDescent="0.25">
      <c r="N54" s="30" t="e">
        <f t="shared" si="9"/>
        <v>#DIV/0!</v>
      </c>
      <c r="O54" s="30" t="e">
        <f t="shared" si="10"/>
        <v>#DIV/0!</v>
      </c>
      <c r="P54" s="30" t="e">
        <f t="shared" si="11"/>
        <v>#DIV/0!</v>
      </c>
      <c r="Q54" s="30" t="e">
        <f t="shared" si="12"/>
        <v>#DIV/0!</v>
      </c>
      <c r="R54" s="30" t="e">
        <f t="shared" si="13"/>
        <v>#DIV/0!</v>
      </c>
      <c r="T54" s="33"/>
      <c r="U54" s="23"/>
      <c r="V54" s="23"/>
      <c r="W54" s="23"/>
    </row>
    <row r="55" spans="1:23" x14ac:dyDescent="0.25">
      <c r="N55" s="30" t="e">
        <f t="shared" si="9"/>
        <v>#DIV/0!</v>
      </c>
      <c r="O55" s="30" t="e">
        <f t="shared" si="10"/>
        <v>#DIV/0!</v>
      </c>
      <c r="P55" s="30" t="e">
        <f t="shared" si="11"/>
        <v>#DIV/0!</v>
      </c>
      <c r="Q55" s="30" t="e">
        <f t="shared" si="12"/>
        <v>#DIV/0!</v>
      </c>
      <c r="R55" s="30" t="e">
        <f t="shared" si="13"/>
        <v>#DIV/0!</v>
      </c>
      <c r="T55" s="33"/>
      <c r="U55" s="23"/>
      <c r="V55" s="23"/>
      <c r="W55" s="23"/>
    </row>
    <row r="56" spans="1:23" x14ac:dyDescent="0.25">
      <c r="N56" s="30" t="e">
        <f t="shared" si="9"/>
        <v>#DIV/0!</v>
      </c>
      <c r="O56" s="30" t="e">
        <f t="shared" si="10"/>
        <v>#DIV/0!</v>
      </c>
      <c r="P56" s="30" t="e">
        <f t="shared" si="11"/>
        <v>#DIV/0!</v>
      </c>
      <c r="Q56" s="30" t="e">
        <f t="shared" si="12"/>
        <v>#DIV/0!</v>
      </c>
      <c r="R56" s="30" t="e">
        <f t="shared" si="13"/>
        <v>#DIV/0!</v>
      </c>
      <c r="T56" s="33"/>
      <c r="U56" s="23"/>
      <c r="V56" s="23"/>
      <c r="W56" s="23"/>
    </row>
    <row r="57" spans="1:23" x14ac:dyDescent="0.25">
      <c r="N57" s="30" t="e">
        <f t="shared" si="9"/>
        <v>#DIV/0!</v>
      </c>
      <c r="O57" s="30" t="e">
        <f t="shared" si="10"/>
        <v>#DIV/0!</v>
      </c>
      <c r="P57" s="30" t="e">
        <f t="shared" si="11"/>
        <v>#DIV/0!</v>
      </c>
      <c r="Q57" s="30" t="e">
        <f t="shared" si="12"/>
        <v>#DIV/0!</v>
      </c>
      <c r="R57" s="30" t="e">
        <f t="shared" si="13"/>
        <v>#DIV/0!</v>
      </c>
      <c r="T57" s="33"/>
      <c r="U57" s="23"/>
      <c r="V57" s="23"/>
      <c r="W57" s="23"/>
    </row>
    <row r="58" spans="1:23" x14ac:dyDescent="0.25">
      <c r="N58" s="30" t="e">
        <f t="shared" si="9"/>
        <v>#DIV/0!</v>
      </c>
      <c r="O58" s="30" t="e">
        <f t="shared" si="10"/>
        <v>#DIV/0!</v>
      </c>
      <c r="P58" s="30" t="e">
        <f t="shared" si="11"/>
        <v>#DIV/0!</v>
      </c>
      <c r="Q58" s="30" t="e">
        <f t="shared" si="12"/>
        <v>#DIV/0!</v>
      </c>
      <c r="R58" s="30" t="e">
        <f t="shared" si="13"/>
        <v>#DIV/0!</v>
      </c>
      <c r="T58" s="33"/>
      <c r="U58" s="23"/>
      <c r="V58" s="23"/>
      <c r="W58" s="23"/>
    </row>
    <row r="59" spans="1:23" x14ac:dyDescent="0.25">
      <c r="N59" s="30" t="e">
        <f t="shared" si="9"/>
        <v>#DIV/0!</v>
      </c>
      <c r="O59" s="30" t="e">
        <f t="shared" si="10"/>
        <v>#DIV/0!</v>
      </c>
      <c r="P59" s="30" t="e">
        <f t="shared" si="11"/>
        <v>#DIV/0!</v>
      </c>
      <c r="Q59" s="30" t="e">
        <f t="shared" si="12"/>
        <v>#DIV/0!</v>
      </c>
      <c r="R59" s="30" t="e">
        <f t="shared" si="13"/>
        <v>#DIV/0!</v>
      </c>
      <c r="T59" s="33"/>
      <c r="U59" s="23"/>
      <c r="V59" s="23"/>
      <c r="W59" s="23"/>
    </row>
    <row r="60" spans="1:23" x14ac:dyDescent="0.25">
      <c r="N60" s="30" t="e">
        <f t="shared" si="9"/>
        <v>#DIV/0!</v>
      </c>
      <c r="O60" s="30" t="e">
        <f t="shared" si="10"/>
        <v>#DIV/0!</v>
      </c>
      <c r="P60" s="30" t="e">
        <f t="shared" si="11"/>
        <v>#DIV/0!</v>
      </c>
      <c r="Q60" s="30" t="e">
        <f t="shared" si="12"/>
        <v>#DIV/0!</v>
      </c>
      <c r="R60" s="30" t="e">
        <f t="shared" si="13"/>
        <v>#DIV/0!</v>
      </c>
      <c r="T60" s="33"/>
      <c r="U60" s="23"/>
      <c r="V60" s="23"/>
      <c r="W60" s="23"/>
    </row>
    <row r="61" spans="1:23" x14ac:dyDescent="0.25">
      <c r="A61" s="1" t="s">
        <v>942</v>
      </c>
    </row>
  </sheetData>
  <mergeCells count="6">
    <mergeCell ref="A1:F1"/>
    <mergeCell ref="H1:L1"/>
    <mergeCell ref="N1:R1"/>
    <mergeCell ref="U4:W4"/>
    <mergeCell ref="T1:W1"/>
    <mergeCell ref="H2:L2"/>
  </mergeCells>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51</vt:i4>
      </vt:variant>
    </vt:vector>
  </HeadingPairs>
  <TitlesOfParts>
    <vt:vector size="62" baseType="lpstr">
      <vt:lpstr>XFLR5 Twist Study</vt:lpstr>
      <vt:lpstr>XFLR5 ReTwist Study</vt:lpstr>
      <vt:lpstr>XFLR5 Outs</vt:lpstr>
      <vt:lpstr>XFLR5 Lift Distribution</vt:lpstr>
      <vt:lpstr>CD0</vt:lpstr>
      <vt:lpstr>CoolingDrag_IC</vt:lpstr>
      <vt:lpstr>CoolingDrag_Electric</vt:lpstr>
      <vt:lpstr>Drag Polar Clean</vt:lpstr>
      <vt:lpstr>CD0 High Lift</vt:lpstr>
      <vt:lpstr>Drag Polar High Lift</vt:lpstr>
      <vt:lpstr>Comparison</vt:lpstr>
      <vt:lpstr>CoolingDrag_Electric!Aexit</vt:lpstr>
      <vt:lpstr>Aexit</vt:lpstr>
      <vt:lpstr>CoolingDrag_Electric!Aexit2</vt:lpstr>
      <vt:lpstr>Aexit2</vt:lpstr>
      <vt:lpstr>'Drag Polar Clean'!Cbar</vt:lpstr>
      <vt:lpstr>'Drag Polar High Lift'!Cbar</vt:lpstr>
      <vt:lpstr>'Drag Polar Clean'!CG_Loc</vt:lpstr>
      <vt:lpstr>CD0!Cp</vt:lpstr>
      <vt:lpstr>'CD0 High Lift'!Cp</vt:lpstr>
      <vt:lpstr>CD0!Den</vt:lpstr>
      <vt:lpstr>'CD0 High Lift'!Den</vt:lpstr>
      <vt:lpstr>CD0!Mach</vt:lpstr>
      <vt:lpstr>'CD0 High Lift'!Mach</vt:lpstr>
      <vt:lpstr>CoolingDrag_Electric!mdot_cool</vt:lpstr>
      <vt:lpstr>mdot_cool</vt:lpstr>
      <vt:lpstr>CoolingDrag_Electric!mdot_cool2</vt:lpstr>
      <vt:lpstr>mdot_cool2</vt:lpstr>
      <vt:lpstr>CoolingDrag_Electric!pexit</vt:lpstr>
      <vt:lpstr>pexit</vt:lpstr>
      <vt:lpstr>CoolingDrag_Electric!pexit2</vt:lpstr>
      <vt:lpstr>pexit2</vt:lpstr>
      <vt:lpstr>CoolingDrag_Electric!pinf</vt:lpstr>
      <vt:lpstr>pinf</vt:lpstr>
      <vt:lpstr>CoolingDrag_Electric!pinf2</vt:lpstr>
      <vt:lpstr>pinf2</vt:lpstr>
      <vt:lpstr>CoolingDrag_Electric!qinf</vt:lpstr>
      <vt:lpstr>qinf</vt:lpstr>
      <vt:lpstr>CoolingDrag_Electric!qinf2</vt:lpstr>
      <vt:lpstr>qinf2</vt:lpstr>
      <vt:lpstr>CD0!Ref_Area</vt:lpstr>
      <vt:lpstr>'CD0 High Lift'!Ref_Area</vt:lpstr>
      <vt:lpstr>CoolingDrag_Electric!rhoexit</vt:lpstr>
      <vt:lpstr>rhoexit</vt:lpstr>
      <vt:lpstr>CoolingDrag_Electric!rhoexit2</vt:lpstr>
      <vt:lpstr>rhoexit2</vt:lpstr>
      <vt:lpstr>'Drag Polar Clean'!S</vt:lpstr>
      <vt:lpstr>'Drag Polar High Lift'!S</vt:lpstr>
      <vt:lpstr>CD0!Vel</vt:lpstr>
      <vt:lpstr>'CD0 High Lift'!Vel</vt:lpstr>
      <vt:lpstr>CoolingDrag_Electric!Vexit</vt:lpstr>
      <vt:lpstr>Vexit</vt:lpstr>
      <vt:lpstr>CoolingDrag_Electric!Vexit2</vt:lpstr>
      <vt:lpstr>Vexit2</vt:lpstr>
      <vt:lpstr>CoolingDrag_Electric!Vinf</vt:lpstr>
      <vt:lpstr>Vinf</vt:lpstr>
      <vt:lpstr>CoolingDrag_Electric!Vinf2</vt:lpstr>
      <vt:lpstr>Vinf2</vt:lpstr>
      <vt:lpstr>CD0!Vis</vt:lpstr>
      <vt:lpstr>'CD0 High Lift'!Vis</vt:lpstr>
      <vt:lpstr>'Drag Polar Clean'!Weight</vt:lpstr>
      <vt:lpstr>'Drag Polar High Lift'!Weight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mpatterson</dc:creator>
  <cp:lastModifiedBy>mdmoore</cp:lastModifiedBy>
  <cp:lastPrinted>2009-07-08T15:16:35Z</cp:lastPrinted>
  <dcterms:created xsi:type="dcterms:W3CDTF">2009-05-14T14:11:01Z</dcterms:created>
  <dcterms:modified xsi:type="dcterms:W3CDTF">2013-07-26T03:22:48Z</dcterms:modified>
</cp:coreProperties>
</file>